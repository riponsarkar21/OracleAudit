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Ripon\"/>
    </mc:Choice>
  </mc:AlternateContent>
  <xr:revisionPtr revIDLastSave="0" documentId="13_ncr:1_{E2BD4430-4186-438D-B64F-CFF9BC58DD5D}" xr6:coauthVersionLast="47" xr6:coauthVersionMax="47" xr10:uidLastSave="{00000000-0000-0000-0000-000000000000}"/>
  <bookViews>
    <workbookView xWindow="-120" yWindow="-120" windowWidth="20730" windowHeight="11160" tabRatio="699" firstSheet="2" activeTab="7" xr2:uid="{00000000-000D-0000-FFFF-FFFF00000000}"/>
  </bookViews>
  <sheets>
    <sheet name="Imported Data" sheetId="6" r:id="rId1"/>
    <sheet name="Check Report" sheetId="7" r:id="rId2"/>
    <sheet name="Material Transaction" sheetId="8" r:id="rId3"/>
    <sheet name="Check Mat Trans" sheetId="9" r:id="rId4"/>
    <sheet name="Ledger Summery" sheetId="1" r:id="rId5"/>
    <sheet name="Check ILS" sheetId="2" r:id="rId6"/>
    <sheet name="On Hand Details" sheetId="3" r:id="rId7"/>
    <sheet name="Check OHD" sheetId="5" r:id="rId8"/>
  </sheets>
  <externalReferences>
    <externalReference r:id="rId9"/>
  </externalReferences>
  <definedNames>
    <definedName name="BurstingOracleDB">'Check Report'!$AW$13:$BK$21</definedName>
  </definedNames>
  <calcPr calcId="191029"/>
</workbook>
</file>

<file path=xl/calcChain.xml><?xml version="1.0" encoding="utf-8"?>
<calcChain xmlns="http://schemas.openxmlformats.org/spreadsheetml/2006/main">
  <c r="B3" i="9" l="1"/>
  <c r="B4" i="9"/>
  <c r="B5" i="9"/>
  <c r="B6" i="9"/>
  <c r="B2" i="9"/>
  <c r="G6" i="9"/>
  <c r="G5" i="9"/>
  <c r="G4" i="9"/>
  <c r="G2" i="9"/>
  <c r="G3" i="9"/>
  <c r="E9" i="9"/>
  <c r="E8" i="9"/>
  <c r="E7" i="9"/>
  <c r="E6" i="9"/>
  <c r="E5" i="9"/>
  <c r="E4" i="9"/>
  <c r="E3" i="9"/>
  <c r="E2" i="9"/>
  <c r="E15" i="9"/>
  <c r="E14" i="9"/>
  <c r="E13" i="9"/>
  <c r="E12" i="9"/>
  <c r="E11" i="9"/>
  <c r="E10" i="9"/>
  <c r="AC18" i="7"/>
  <c r="AB18" i="7"/>
  <c r="AA18" i="7"/>
  <c r="Z18" i="7"/>
  <c r="Y18" i="7"/>
  <c r="W18" i="7"/>
  <c r="V18" i="7"/>
  <c r="U18" i="7"/>
  <c r="T18" i="7"/>
  <c r="S18" i="7"/>
  <c r="AC17" i="7"/>
  <c r="AB17" i="7"/>
  <c r="AA17" i="7"/>
  <c r="Z17" i="7"/>
  <c r="Y17" i="7"/>
  <c r="W17" i="7"/>
  <c r="V17" i="7"/>
  <c r="U17" i="7"/>
  <c r="T17" i="7"/>
  <c r="S17" i="7"/>
  <c r="AC16" i="7"/>
  <c r="AC19" i="7" s="1"/>
  <c r="AB16" i="7"/>
  <c r="AA16" i="7"/>
  <c r="Z16" i="7"/>
  <c r="Y16" i="7"/>
  <c r="W16" i="7"/>
  <c r="W19" i="7" s="1"/>
  <c r="V16" i="7"/>
  <c r="U16" i="7"/>
  <c r="T16" i="7"/>
  <c r="S16" i="7"/>
  <c r="AC9" i="7"/>
  <c r="AB9" i="7"/>
  <c r="AA9" i="7"/>
  <c r="Z9" i="7"/>
  <c r="Y9" i="7"/>
  <c r="AD9" i="7" s="1"/>
  <c r="W9" i="7"/>
  <c r="V9" i="7"/>
  <c r="U9" i="7"/>
  <c r="T9" i="7"/>
  <c r="S9" i="7"/>
  <c r="X9" i="7" s="1"/>
  <c r="AC8" i="7"/>
  <c r="AB8" i="7"/>
  <c r="AA8" i="7"/>
  <c r="Z8" i="7"/>
  <c r="Y8" i="7"/>
  <c r="W8" i="7"/>
  <c r="V8" i="7"/>
  <c r="U8" i="7"/>
  <c r="T8" i="7"/>
  <c r="S8" i="7"/>
  <c r="AC7" i="7"/>
  <c r="AB7" i="7"/>
  <c r="AA7" i="7"/>
  <c r="Z7" i="7"/>
  <c r="Z10" i="7" s="1"/>
  <c r="Y7" i="7"/>
  <c r="W7" i="7"/>
  <c r="V7" i="7"/>
  <c r="U7" i="7"/>
  <c r="T7" i="7"/>
  <c r="T10" i="7" s="1"/>
  <c r="S7" i="7"/>
  <c r="B102" i="5"/>
  <c r="C102" i="5" s="1"/>
  <c r="D102" i="5" s="1"/>
  <c r="E102" i="5" s="1"/>
  <c r="F102" i="5" s="1"/>
  <c r="G102" i="5" s="1"/>
  <c r="H102" i="5" s="1"/>
  <c r="I102" i="5" s="1"/>
  <c r="J102" i="5" s="1"/>
  <c r="K102" i="5" s="1"/>
  <c r="B101" i="5"/>
  <c r="C101" i="5" s="1"/>
  <c r="D101" i="5" s="1"/>
  <c r="E101" i="5" s="1"/>
  <c r="F101" i="5" s="1"/>
  <c r="G101" i="5" s="1"/>
  <c r="H101" i="5" s="1"/>
  <c r="I101" i="5" s="1"/>
  <c r="J101" i="5" s="1"/>
  <c r="K101" i="5" s="1"/>
  <c r="B100" i="5"/>
  <c r="C100" i="5" s="1"/>
  <c r="D100" i="5" s="1"/>
  <c r="E100" i="5" s="1"/>
  <c r="F100" i="5" s="1"/>
  <c r="G100" i="5" s="1"/>
  <c r="H100" i="5" s="1"/>
  <c r="I100" i="5" s="1"/>
  <c r="J100" i="5" s="1"/>
  <c r="K100" i="5" s="1"/>
  <c r="B99" i="5"/>
  <c r="C99" i="5" s="1"/>
  <c r="D99" i="5" s="1"/>
  <c r="E99" i="5" s="1"/>
  <c r="F99" i="5" s="1"/>
  <c r="G99" i="5" s="1"/>
  <c r="H99" i="5" s="1"/>
  <c r="I99" i="5" s="1"/>
  <c r="J99" i="5" s="1"/>
  <c r="K99" i="5" s="1"/>
  <c r="B98" i="5"/>
  <c r="C98" i="5" s="1"/>
  <c r="D98" i="5" s="1"/>
  <c r="E98" i="5" s="1"/>
  <c r="F98" i="5" s="1"/>
  <c r="G98" i="5" s="1"/>
  <c r="H98" i="5" s="1"/>
  <c r="I98" i="5" s="1"/>
  <c r="J98" i="5" s="1"/>
  <c r="K98" i="5" s="1"/>
  <c r="B97" i="5"/>
  <c r="C97" i="5" s="1"/>
  <c r="D97" i="5" s="1"/>
  <c r="E97" i="5" s="1"/>
  <c r="F97" i="5" s="1"/>
  <c r="G97" i="5" s="1"/>
  <c r="H97" i="5" s="1"/>
  <c r="I97" i="5" s="1"/>
  <c r="J97" i="5" s="1"/>
  <c r="K97" i="5" s="1"/>
  <c r="B96" i="5"/>
  <c r="C96" i="5" s="1"/>
  <c r="D96" i="5" s="1"/>
  <c r="E96" i="5" s="1"/>
  <c r="F96" i="5" s="1"/>
  <c r="G96" i="5" s="1"/>
  <c r="H96" i="5" s="1"/>
  <c r="I96" i="5" s="1"/>
  <c r="J96" i="5" s="1"/>
  <c r="K96" i="5" s="1"/>
  <c r="B95" i="5"/>
  <c r="C95" i="5" s="1"/>
  <c r="D95" i="5" s="1"/>
  <c r="E95" i="5" s="1"/>
  <c r="F95" i="5" s="1"/>
  <c r="G95" i="5" s="1"/>
  <c r="H95" i="5" s="1"/>
  <c r="I95" i="5" s="1"/>
  <c r="J95" i="5" s="1"/>
  <c r="K95" i="5" s="1"/>
  <c r="B94" i="5"/>
  <c r="C94" i="5" s="1"/>
  <c r="D94" i="5" s="1"/>
  <c r="E94" i="5" s="1"/>
  <c r="F94" i="5" s="1"/>
  <c r="G94" i="5" s="1"/>
  <c r="H94" i="5" s="1"/>
  <c r="I94" i="5" s="1"/>
  <c r="J94" i="5" s="1"/>
  <c r="K94" i="5" s="1"/>
  <c r="B93" i="5"/>
  <c r="C93" i="5" s="1"/>
  <c r="D93" i="5" s="1"/>
  <c r="E93" i="5" s="1"/>
  <c r="F93" i="5" s="1"/>
  <c r="G93" i="5" s="1"/>
  <c r="H93" i="5" s="1"/>
  <c r="I93" i="5" s="1"/>
  <c r="J93" i="5" s="1"/>
  <c r="K93" i="5" s="1"/>
  <c r="B92" i="5"/>
  <c r="C92" i="5" s="1"/>
  <c r="D92" i="5" s="1"/>
  <c r="E92" i="5" s="1"/>
  <c r="F92" i="5" s="1"/>
  <c r="G92" i="5" s="1"/>
  <c r="H92" i="5" s="1"/>
  <c r="I92" i="5" s="1"/>
  <c r="J92" i="5" s="1"/>
  <c r="K92" i="5" s="1"/>
  <c r="B91" i="5"/>
  <c r="C91" i="5" s="1"/>
  <c r="D91" i="5" s="1"/>
  <c r="E91" i="5" s="1"/>
  <c r="F91" i="5" s="1"/>
  <c r="G91" i="5" s="1"/>
  <c r="H91" i="5" s="1"/>
  <c r="I91" i="5" s="1"/>
  <c r="J91" i="5" s="1"/>
  <c r="K91" i="5" s="1"/>
  <c r="B90" i="5"/>
  <c r="C90" i="5" s="1"/>
  <c r="D90" i="5" s="1"/>
  <c r="E90" i="5" s="1"/>
  <c r="F90" i="5" s="1"/>
  <c r="G90" i="5" s="1"/>
  <c r="H90" i="5" s="1"/>
  <c r="I90" i="5" s="1"/>
  <c r="J90" i="5" s="1"/>
  <c r="K90" i="5" s="1"/>
  <c r="B89" i="5"/>
  <c r="C89" i="5" s="1"/>
  <c r="D89" i="5" s="1"/>
  <c r="E89" i="5" s="1"/>
  <c r="F89" i="5" s="1"/>
  <c r="G89" i="5" s="1"/>
  <c r="H89" i="5" s="1"/>
  <c r="I89" i="5" s="1"/>
  <c r="J89" i="5" s="1"/>
  <c r="K89" i="5" s="1"/>
  <c r="B88" i="5"/>
  <c r="C88" i="5" s="1"/>
  <c r="D88" i="5" s="1"/>
  <c r="E88" i="5" s="1"/>
  <c r="F88" i="5" s="1"/>
  <c r="G88" i="5" s="1"/>
  <c r="H88" i="5" s="1"/>
  <c r="I88" i="5" s="1"/>
  <c r="J88" i="5" s="1"/>
  <c r="K88" i="5" s="1"/>
  <c r="B87" i="5"/>
  <c r="C87" i="5" s="1"/>
  <c r="D87" i="5" s="1"/>
  <c r="E87" i="5" s="1"/>
  <c r="F87" i="5" s="1"/>
  <c r="G87" i="5" s="1"/>
  <c r="H87" i="5" s="1"/>
  <c r="I87" i="5" s="1"/>
  <c r="J87" i="5" s="1"/>
  <c r="K87" i="5" s="1"/>
  <c r="B86" i="5"/>
  <c r="C86" i="5" s="1"/>
  <c r="D86" i="5" s="1"/>
  <c r="E86" i="5" s="1"/>
  <c r="F86" i="5" s="1"/>
  <c r="G86" i="5" s="1"/>
  <c r="H86" i="5" s="1"/>
  <c r="I86" i="5" s="1"/>
  <c r="J86" i="5" s="1"/>
  <c r="K86" i="5" s="1"/>
  <c r="B85" i="5"/>
  <c r="C85" i="5" s="1"/>
  <c r="D85" i="5" s="1"/>
  <c r="E85" i="5" s="1"/>
  <c r="F85" i="5" s="1"/>
  <c r="G85" i="5" s="1"/>
  <c r="H85" i="5" s="1"/>
  <c r="I85" i="5" s="1"/>
  <c r="J85" i="5" s="1"/>
  <c r="K85" i="5" s="1"/>
  <c r="B84" i="5"/>
  <c r="C84" i="5" s="1"/>
  <c r="D84" i="5" s="1"/>
  <c r="E84" i="5" s="1"/>
  <c r="F84" i="5" s="1"/>
  <c r="G84" i="5" s="1"/>
  <c r="H84" i="5" s="1"/>
  <c r="I84" i="5" s="1"/>
  <c r="J84" i="5" s="1"/>
  <c r="K84" i="5" s="1"/>
  <c r="B83" i="5"/>
  <c r="C83" i="5" s="1"/>
  <c r="D83" i="5" s="1"/>
  <c r="E83" i="5" s="1"/>
  <c r="F83" i="5" s="1"/>
  <c r="G83" i="5" s="1"/>
  <c r="H83" i="5" s="1"/>
  <c r="I83" i="5" s="1"/>
  <c r="J83" i="5" s="1"/>
  <c r="K83" i="5" s="1"/>
  <c r="B82" i="5"/>
  <c r="C82" i="5" s="1"/>
  <c r="D82" i="5" s="1"/>
  <c r="E82" i="5" s="1"/>
  <c r="F82" i="5" s="1"/>
  <c r="G82" i="5" s="1"/>
  <c r="H82" i="5" s="1"/>
  <c r="I82" i="5" s="1"/>
  <c r="J82" i="5" s="1"/>
  <c r="K82" i="5" s="1"/>
  <c r="B81" i="5"/>
  <c r="C81" i="5" s="1"/>
  <c r="D81" i="5" s="1"/>
  <c r="E81" i="5" s="1"/>
  <c r="F81" i="5" s="1"/>
  <c r="G81" i="5" s="1"/>
  <c r="H81" i="5" s="1"/>
  <c r="I81" i="5" s="1"/>
  <c r="J81" i="5" s="1"/>
  <c r="K81" i="5" s="1"/>
  <c r="B80" i="5"/>
  <c r="C80" i="5" s="1"/>
  <c r="D80" i="5" s="1"/>
  <c r="E80" i="5" s="1"/>
  <c r="F80" i="5" s="1"/>
  <c r="G80" i="5" s="1"/>
  <c r="H80" i="5" s="1"/>
  <c r="I80" i="5" s="1"/>
  <c r="J80" i="5" s="1"/>
  <c r="K80" i="5" s="1"/>
  <c r="B79" i="5"/>
  <c r="C79" i="5" s="1"/>
  <c r="D79" i="5" s="1"/>
  <c r="E79" i="5" s="1"/>
  <c r="F79" i="5" s="1"/>
  <c r="G79" i="5" s="1"/>
  <c r="H79" i="5" s="1"/>
  <c r="I79" i="5" s="1"/>
  <c r="J79" i="5" s="1"/>
  <c r="K79" i="5" s="1"/>
  <c r="B78" i="5"/>
  <c r="C78" i="5" s="1"/>
  <c r="D78" i="5" s="1"/>
  <c r="E78" i="5" s="1"/>
  <c r="F78" i="5" s="1"/>
  <c r="G78" i="5" s="1"/>
  <c r="H78" i="5" s="1"/>
  <c r="I78" i="5" s="1"/>
  <c r="J78" i="5" s="1"/>
  <c r="K78" i="5" s="1"/>
  <c r="B77" i="5"/>
  <c r="C77" i="5" s="1"/>
  <c r="D77" i="5" s="1"/>
  <c r="E77" i="5" s="1"/>
  <c r="F77" i="5" s="1"/>
  <c r="G77" i="5" s="1"/>
  <c r="H77" i="5" s="1"/>
  <c r="I77" i="5" s="1"/>
  <c r="J77" i="5" s="1"/>
  <c r="K77" i="5" s="1"/>
  <c r="B76" i="5"/>
  <c r="C76" i="5" s="1"/>
  <c r="D76" i="5" s="1"/>
  <c r="E76" i="5" s="1"/>
  <c r="F76" i="5" s="1"/>
  <c r="G76" i="5" s="1"/>
  <c r="H76" i="5" s="1"/>
  <c r="I76" i="5" s="1"/>
  <c r="J76" i="5" s="1"/>
  <c r="K76" i="5" s="1"/>
  <c r="B75" i="5"/>
  <c r="C75" i="5" s="1"/>
  <c r="D75" i="5" s="1"/>
  <c r="E75" i="5" s="1"/>
  <c r="F75" i="5" s="1"/>
  <c r="G75" i="5" s="1"/>
  <c r="H75" i="5" s="1"/>
  <c r="I75" i="5" s="1"/>
  <c r="J75" i="5" s="1"/>
  <c r="K75" i="5" s="1"/>
  <c r="B74" i="5"/>
  <c r="C74" i="5" s="1"/>
  <c r="D74" i="5" s="1"/>
  <c r="E74" i="5" s="1"/>
  <c r="F74" i="5" s="1"/>
  <c r="G74" i="5" s="1"/>
  <c r="H74" i="5" s="1"/>
  <c r="I74" i="5" s="1"/>
  <c r="J74" i="5" s="1"/>
  <c r="K74" i="5" s="1"/>
  <c r="B73" i="5"/>
  <c r="C73" i="5" s="1"/>
  <c r="D73" i="5" s="1"/>
  <c r="E73" i="5" s="1"/>
  <c r="F73" i="5" s="1"/>
  <c r="G73" i="5" s="1"/>
  <c r="H73" i="5" s="1"/>
  <c r="I73" i="5" s="1"/>
  <c r="J73" i="5" s="1"/>
  <c r="K73" i="5" s="1"/>
  <c r="B72" i="5"/>
  <c r="C72" i="5" s="1"/>
  <c r="D72" i="5" s="1"/>
  <c r="E72" i="5" s="1"/>
  <c r="F72" i="5" s="1"/>
  <c r="G72" i="5" s="1"/>
  <c r="H72" i="5" s="1"/>
  <c r="I72" i="5" s="1"/>
  <c r="J72" i="5" s="1"/>
  <c r="K72" i="5" s="1"/>
  <c r="B71" i="5"/>
  <c r="C71" i="5" s="1"/>
  <c r="D71" i="5" s="1"/>
  <c r="E71" i="5" s="1"/>
  <c r="F71" i="5" s="1"/>
  <c r="G71" i="5" s="1"/>
  <c r="H71" i="5" s="1"/>
  <c r="I71" i="5" s="1"/>
  <c r="J71" i="5" s="1"/>
  <c r="K71" i="5" s="1"/>
  <c r="B70" i="5"/>
  <c r="C70" i="5" s="1"/>
  <c r="D70" i="5" s="1"/>
  <c r="E70" i="5" s="1"/>
  <c r="F70" i="5" s="1"/>
  <c r="G70" i="5" s="1"/>
  <c r="H70" i="5" s="1"/>
  <c r="I70" i="5" s="1"/>
  <c r="J70" i="5" s="1"/>
  <c r="K70" i="5" s="1"/>
  <c r="B69" i="5"/>
  <c r="C69" i="5" s="1"/>
  <c r="D69" i="5" s="1"/>
  <c r="E69" i="5" s="1"/>
  <c r="F69" i="5" s="1"/>
  <c r="G69" i="5" s="1"/>
  <c r="H69" i="5" s="1"/>
  <c r="I69" i="5" s="1"/>
  <c r="J69" i="5" s="1"/>
  <c r="K69" i="5" s="1"/>
  <c r="B68" i="5"/>
  <c r="C68" i="5" s="1"/>
  <c r="D68" i="5" s="1"/>
  <c r="E68" i="5" s="1"/>
  <c r="F68" i="5" s="1"/>
  <c r="G68" i="5" s="1"/>
  <c r="H68" i="5" s="1"/>
  <c r="I68" i="5" s="1"/>
  <c r="J68" i="5" s="1"/>
  <c r="K68" i="5" s="1"/>
  <c r="B67" i="5"/>
  <c r="C67" i="5" s="1"/>
  <c r="D67" i="5" s="1"/>
  <c r="E67" i="5" s="1"/>
  <c r="F67" i="5" s="1"/>
  <c r="G67" i="5" s="1"/>
  <c r="H67" i="5" s="1"/>
  <c r="I67" i="5" s="1"/>
  <c r="J67" i="5" s="1"/>
  <c r="K67" i="5" s="1"/>
  <c r="B66" i="5"/>
  <c r="C66" i="5" s="1"/>
  <c r="D66" i="5" s="1"/>
  <c r="E66" i="5" s="1"/>
  <c r="F66" i="5" s="1"/>
  <c r="G66" i="5" s="1"/>
  <c r="H66" i="5" s="1"/>
  <c r="I66" i="5" s="1"/>
  <c r="J66" i="5" s="1"/>
  <c r="K66" i="5" s="1"/>
  <c r="B65" i="5"/>
  <c r="C65" i="5" s="1"/>
  <c r="D65" i="5" s="1"/>
  <c r="E65" i="5" s="1"/>
  <c r="F65" i="5" s="1"/>
  <c r="G65" i="5" s="1"/>
  <c r="H65" i="5" s="1"/>
  <c r="I65" i="5" s="1"/>
  <c r="J65" i="5" s="1"/>
  <c r="K65" i="5" s="1"/>
  <c r="B64" i="5"/>
  <c r="C64" i="5" s="1"/>
  <c r="D64" i="5" s="1"/>
  <c r="E64" i="5" s="1"/>
  <c r="F64" i="5" s="1"/>
  <c r="G64" i="5" s="1"/>
  <c r="H64" i="5" s="1"/>
  <c r="I64" i="5" s="1"/>
  <c r="J64" i="5" s="1"/>
  <c r="K64" i="5" s="1"/>
  <c r="B63" i="5"/>
  <c r="C63" i="5" s="1"/>
  <c r="D63" i="5" s="1"/>
  <c r="E63" i="5" s="1"/>
  <c r="F63" i="5" s="1"/>
  <c r="G63" i="5" s="1"/>
  <c r="H63" i="5" s="1"/>
  <c r="I63" i="5" s="1"/>
  <c r="J63" i="5" s="1"/>
  <c r="K63" i="5" s="1"/>
  <c r="B62" i="5"/>
  <c r="C62" i="5" s="1"/>
  <c r="D62" i="5" s="1"/>
  <c r="E62" i="5" s="1"/>
  <c r="F62" i="5" s="1"/>
  <c r="G62" i="5" s="1"/>
  <c r="H62" i="5" s="1"/>
  <c r="I62" i="5" s="1"/>
  <c r="J62" i="5" s="1"/>
  <c r="K62" i="5" s="1"/>
  <c r="B61" i="5"/>
  <c r="C61" i="5" s="1"/>
  <c r="D61" i="5" s="1"/>
  <c r="E61" i="5" s="1"/>
  <c r="F61" i="5" s="1"/>
  <c r="G61" i="5" s="1"/>
  <c r="H61" i="5" s="1"/>
  <c r="I61" i="5" s="1"/>
  <c r="J61" i="5" s="1"/>
  <c r="K61" i="5" s="1"/>
  <c r="B60" i="5"/>
  <c r="C60" i="5" s="1"/>
  <c r="D60" i="5" s="1"/>
  <c r="E60" i="5" s="1"/>
  <c r="F60" i="5" s="1"/>
  <c r="G60" i="5" s="1"/>
  <c r="H60" i="5" s="1"/>
  <c r="I60" i="5" s="1"/>
  <c r="J60" i="5" s="1"/>
  <c r="K60" i="5" s="1"/>
  <c r="B59" i="5"/>
  <c r="C59" i="5" s="1"/>
  <c r="D59" i="5" s="1"/>
  <c r="E59" i="5" s="1"/>
  <c r="F59" i="5" s="1"/>
  <c r="G59" i="5" s="1"/>
  <c r="H59" i="5" s="1"/>
  <c r="I59" i="5" s="1"/>
  <c r="J59" i="5" s="1"/>
  <c r="K59" i="5" s="1"/>
  <c r="B58" i="5"/>
  <c r="C58" i="5" s="1"/>
  <c r="D58" i="5" s="1"/>
  <c r="E58" i="5" s="1"/>
  <c r="F58" i="5" s="1"/>
  <c r="G58" i="5" s="1"/>
  <c r="H58" i="5" s="1"/>
  <c r="I58" i="5" s="1"/>
  <c r="J58" i="5" s="1"/>
  <c r="K58" i="5" s="1"/>
  <c r="B57" i="5"/>
  <c r="C57" i="5" s="1"/>
  <c r="D57" i="5" s="1"/>
  <c r="E57" i="5" s="1"/>
  <c r="F57" i="5" s="1"/>
  <c r="G57" i="5" s="1"/>
  <c r="H57" i="5" s="1"/>
  <c r="I57" i="5" s="1"/>
  <c r="J57" i="5" s="1"/>
  <c r="K57" i="5" s="1"/>
  <c r="B56" i="5"/>
  <c r="C56" i="5" s="1"/>
  <c r="D56" i="5" s="1"/>
  <c r="E56" i="5" s="1"/>
  <c r="F56" i="5" s="1"/>
  <c r="G56" i="5" s="1"/>
  <c r="H56" i="5" s="1"/>
  <c r="I56" i="5" s="1"/>
  <c r="J56" i="5" s="1"/>
  <c r="K56" i="5" s="1"/>
  <c r="B55" i="5"/>
  <c r="C55" i="5" s="1"/>
  <c r="D55" i="5" s="1"/>
  <c r="E55" i="5" s="1"/>
  <c r="F55" i="5" s="1"/>
  <c r="G55" i="5" s="1"/>
  <c r="H55" i="5" s="1"/>
  <c r="I55" i="5" s="1"/>
  <c r="J55" i="5" s="1"/>
  <c r="K55" i="5" s="1"/>
  <c r="B54" i="5"/>
  <c r="C54" i="5" s="1"/>
  <c r="D54" i="5" s="1"/>
  <c r="E54" i="5" s="1"/>
  <c r="F54" i="5" s="1"/>
  <c r="G54" i="5" s="1"/>
  <c r="H54" i="5" s="1"/>
  <c r="I54" i="5" s="1"/>
  <c r="J54" i="5" s="1"/>
  <c r="K54" i="5" s="1"/>
  <c r="B53" i="5"/>
  <c r="C53" i="5" s="1"/>
  <c r="D53" i="5" s="1"/>
  <c r="E53" i="5" s="1"/>
  <c r="F53" i="5" s="1"/>
  <c r="G53" i="5" s="1"/>
  <c r="H53" i="5" s="1"/>
  <c r="I53" i="5" s="1"/>
  <c r="J53" i="5" s="1"/>
  <c r="K53" i="5" s="1"/>
  <c r="B52" i="5"/>
  <c r="C52" i="5" s="1"/>
  <c r="D52" i="5" s="1"/>
  <c r="E52" i="5" s="1"/>
  <c r="F52" i="5" s="1"/>
  <c r="G52" i="5" s="1"/>
  <c r="H52" i="5" s="1"/>
  <c r="I52" i="5" s="1"/>
  <c r="J52" i="5" s="1"/>
  <c r="K52" i="5" s="1"/>
  <c r="B51" i="5"/>
  <c r="C51" i="5" s="1"/>
  <c r="D51" i="5" s="1"/>
  <c r="E51" i="5" s="1"/>
  <c r="F51" i="5" s="1"/>
  <c r="G51" i="5" s="1"/>
  <c r="H51" i="5" s="1"/>
  <c r="I51" i="5" s="1"/>
  <c r="J51" i="5" s="1"/>
  <c r="K51" i="5" s="1"/>
  <c r="B50" i="5"/>
  <c r="C50" i="5" s="1"/>
  <c r="D50" i="5" s="1"/>
  <c r="E50" i="5" s="1"/>
  <c r="F50" i="5" s="1"/>
  <c r="G50" i="5" s="1"/>
  <c r="H50" i="5" s="1"/>
  <c r="I50" i="5" s="1"/>
  <c r="J50" i="5" s="1"/>
  <c r="K50" i="5" s="1"/>
  <c r="B49" i="5"/>
  <c r="C49" i="5" s="1"/>
  <c r="D49" i="5" s="1"/>
  <c r="E49" i="5" s="1"/>
  <c r="F49" i="5" s="1"/>
  <c r="G49" i="5" s="1"/>
  <c r="H49" i="5" s="1"/>
  <c r="I49" i="5" s="1"/>
  <c r="J49" i="5" s="1"/>
  <c r="K49" i="5" s="1"/>
  <c r="B48" i="5"/>
  <c r="C48" i="5" s="1"/>
  <c r="D48" i="5" s="1"/>
  <c r="E48" i="5" s="1"/>
  <c r="F48" i="5" s="1"/>
  <c r="G48" i="5" s="1"/>
  <c r="H48" i="5" s="1"/>
  <c r="I48" i="5" s="1"/>
  <c r="J48" i="5" s="1"/>
  <c r="K48" i="5" s="1"/>
  <c r="B47" i="5"/>
  <c r="C47" i="5" s="1"/>
  <c r="D47" i="5" s="1"/>
  <c r="E47" i="5" s="1"/>
  <c r="F47" i="5" s="1"/>
  <c r="G47" i="5" s="1"/>
  <c r="H47" i="5" s="1"/>
  <c r="I47" i="5" s="1"/>
  <c r="J47" i="5" s="1"/>
  <c r="K47" i="5" s="1"/>
  <c r="B46" i="5"/>
  <c r="C46" i="5" s="1"/>
  <c r="D46" i="5" s="1"/>
  <c r="E46" i="5" s="1"/>
  <c r="F46" i="5" s="1"/>
  <c r="G46" i="5" s="1"/>
  <c r="H46" i="5" s="1"/>
  <c r="I46" i="5" s="1"/>
  <c r="J46" i="5" s="1"/>
  <c r="K46" i="5" s="1"/>
  <c r="B45" i="5"/>
  <c r="C45" i="5" s="1"/>
  <c r="D45" i="5" s="1"/>
  <c r="E45" i="5" s="1"/>
  <c r="F45" i="5" s="1"/>
  <c r="G45" i="5" s="1"/>
  <c r="H45" i="5" s="1"/>
  <c r="I45" i="5" s="1"/>
  <c r="J45" i="5" s="1"/>
  <c r="K45" i="5" s="1"/>
  <c r="B44" i="5"/>
  <c r="C44" i="5" s="1"/>
  <c r="D44" i="5" s="1"/>
  <c r="E44" i="5" s="1"/>
  <c r="F44" i="5" s="1"/>
  <c r="G44" i="5" s="1"/>
  <c r="H44" i="5" s="1"/>
  <c r="I44" i="5" s="1"/>
  <c r="J44" i="5" s="1"/>
  <c r="K44" i="5" s="1"/>
  <c r="B43" i="5"/>
  <c r="C43" i="5" s="1"/>
  <c r="D43" i="5" s="1"/>
  <c r="E43" i="5" s="1"/>
  <c r="F43" i="5" s="1"/>
  <c r="G43" i="5" s="1"/>
  <c r="H43" i="5" s="1"/>
  <c r="I43" i="5" s="1"/>
  <c r="J43" i="5" s="1"/>
  <c r="K43" i="5" s="1"/>
  <c r="B42" i="5"/>
  <c r="C42" i="5" s="1"/>
  <c r="D42" i="5" s="1"/>
  <c r="E42" i="5" s="1"/>
  <c r="F42" i="5" s="1"/>
  <c r="G42" i="5" s="1"/>
  <c r="H42" i="5" s="1"/>
  <c r="I42" i="5" s="1"/>
  <c r="J42" i="5" s="1"/>
  <c r="K42" i="5" s="1"/>
  <c r="B41" i="5"/>
  <c r="C41" i="5" s="1"/>
  <c r="D41" i="5" s="1"/>
  <c r="E41" i="5" s="1"/>
  <c r="F41" i="5" s="1"/>
  <c r="G41" i="5" s="1"/>
  <c r="H41" i="5" s="1"/>
  <c r="I41" i="5" s="1"/>
  <c r="J41" i="5" s="1"/>
  <c r="K41" i="5" s="1"/>
  <c r="B40" i="5"/>
  <c r="C40" i="5" s="1"/>
  <c r="D40" i="5" s="1"/>
  <c r="E40" i="5" s="1"/>
  <c r="F40" i="5" s="1"/>
  <c r="G40" i="5" s="1"/>
  <c r="H40" i="5" s="1"/>
  <c r="I40" i="5" s="1"/>
  <c r="J40" i="5" s="1"/>
  <c r="K40" i="5" s="1"/>
  <c r="B39" i="5"/>
  <c r="C39" i="5" s="1"/>
  <c r="D39" i="5" s="1"/>
  <c r="E39" i="5" s="1"/>
  <c r="F39" i="5" s="1"/>
  <c r="G39" i="5" s="1"/>
  <c r="H39" i="5" s="1"/>
  <c r="I39" i="5" s="1"/>
  <c r="J39" i="5" s="1"/>
  <c r="K39" i="5" s="1"/>
  <c r="B38" i="5"/>
  <c r="C38" i="5" s="1"/>
  <c r="D38" i="5" s="1"/>
  <c r="E38" i="5" s="1"/>
  <c r="F38" i="5" s="1"/>
  <c r="G38" i="5" s="1"/>
  <c r="H38" i="5" s="1"/>
  <c r="I38" i="5" s="1"/>
  <c r="J38" i="5" s="1"/>
  <c r="K38" i="5" s="1"/>
  <c r="B37" i="5"/>
  <c r="C37" i="5" s="1"/>
  <c r="D37" i="5" s="1"/>
  <c r="E37" i="5" s="1"/>
  <c r="F37" i="5" s="1"/>
  <c r="G37" i="5" s="1"/>
  <c r="H37" i="5" s="1"/>
  <c r="I37" i="5" s="1"/>
  <c r="J37" i="5" s="1"/>
  <c r="K37" i="5" s="1"/>
  <c r="B36" i="5"/>
  <c r="C36" i="5" s="1"/>
  <c r="D36" i="5" s="1"/>
  <c r="E36" i="5" s="1"/>
  <c r="F36" i="5" s="1"/>
  <c r="G36" i="5" s="1"/>
  <c r="H36" i="5" s="1"/>
  <c r="I36" i="5" s="1"/>
  <c r="J36" i="5" s="1"/>
  <c r="K36" i="5" s="1"/>
  <c r="B35" i="5"/>
  <c r="C35" i="5" s="1"/>
  <c r="D35" i="5" s="1"/>
  <c r="E35" i="5" s="1"/>
  <c r="F35" i="5" s="1"/>
  <c r="G35" i="5" s="1"/>
  <c r="H35" i="5" s="1"/>
  <c r="I35" i="5" s="1"/>
  <c r="J35" i="5" s="1"/>
  <c r="K35" i="5" s="1"/>
  <c r="B34" i="5"/>
  <c r="C34" i="5" s="1"/>
  <c r="D34" i="5" s="1"/>
  <c r="E34" i="5" s="1"/>
  <c r="F34" i="5" s="1"/>
  <c r="G34" i="5" s="1"/>
  <c r="H34" i="5" s="1"/>
  <c r="I34" i="5" s="1"/>
  <c r="J34" i="5" s="1"/>
  <c r="K34" i="5" s="1"/>
  <c r="B33" i="5"/>
  <c r="C33" i="5" s="1"/>
  <c r="D33" i="5" s="1"/>
  <c r="E33" i="5" s="1"/>
  <c r="F33" i="5" s="1"/>
  <c r="G33" i="5" s="1"/>
  <c r="H33" i="5" s="1"/>
  <c r="I33" i="5" s="1"/>
  <c r="J33" i="5" s="1"/>
  <c r="K33" i="5" s="1"/>
  <c r="B32" i="5"/>
  <c r="C32" i="5" s="1"/>
  <c r="D32" i="5" s="1"/>
  <c r="E32" i="5" s="1"/>
  <c r="F32" i="5" s="1"/>
  <c r="G32" i="5" s="1"/>
  <c r="H32" i="5" s="1"/>
  <c r="I32" i="5" s="1"/>
  <c r="J32" i="5" s="1"/>
  <c r="K32" i="5" s="1"/>
  <c r="B31" i="5"/>
  <c r="C31" i="5" s="1"/>
  <c r="D31" i="5" s="1"/>
  <c r="E31" i="5" s="1"/>
  <c r="F31" i="5" s="1"/>
  <c r="G31" i="5" s="1"/>
  <c r="H31" i="5" s="1"/>
  <c r="I31" i="5" s="1"/>
  <c r="J31" i="5" s="1"/>
  <c r="K31" i="5" s="1"/>
  <c r="B30" i="5"/>
  <c r="C30" i="5" s="1"/>
  <c r="D30" i="5" s="1"/>
  <c r="E30" i="5" s="1"/>
  <c r="F30" i="5" s="1"/>
  <c r="G30" i="5" s="1"/>
  <c r="H30" i="5" s="1"/>
  <c r="I30" i="5" s="1"/>
  <c r="J30" i="5" s="1"/>
  <c r="K30" i="5" s="1"/>
  <c r="B29" i="5"/>
  <c r="C29" i="5" s="1"/>
  <c r="D29" i="5" s="1"/>
  <c r="E29" i="5" s="1"/>
  <c r="F29" i="5" s="1"/>
  <c r="G29" i="5" s="1"/>
  <c r="H29" i="5" s="1"/>
  <c r="I29" i="5" s="1"/>
  <c r="J29" i="5" s="1"/>
  <c r="K29" i="5" s="1"/>
  <c r="N8" i="5"/>
  <c r="H5" i="5"/>
  <c r="D5" i="5"/>
  <c r="L2" i="5"/>
  <c r="BK1" i="5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B21" i="2"/>
  <c r="B20" i="2"/>
  <c r="B19" i="2"/>
  <c r="B18" i="2"/>
  <c r="B17" i="2"/>
  <c r="G13" i="2"/>
  <c r="F13" i="2"/>
  <c r="E13" i="2"/>
  <c r="D13" i="2"/>
  <c r="C13" i="2"/>
  <c r="B13" i="2"/>
  <c r="G12" i="2"/>
  <c r="F12" i="2"/>
  <c r="E12" i="2"/>
  <c r="D12" i="2"/>
  <c r="C12" i="2"/>
  <c r="B12" i="2"/>
  <c r="G11" i="2"/>
  <c r="F11" i="2"/>
  <c r="E11" i="2"/>
  <c r="D11" i="2"/>
  <c r="C11" i="2"/>
  <c r="B11" i="2"/>
  <c r="G10" i="2"/>
  <c r="F10" i="2"/>
  <c r="E10" i="2"/>
  <c r="D10" i="2"/>
  <c r="C10" i="2"/>
  <c r="B10" i="2"/>
  <c r="G9" i="2"/>
  <c r="F9" i="2"/>
  <c r="E9" i="2"/>
  <c r="D9" i="2"/>
  <c r="C9" i="2"/>
  <c r="B9" i="2"/>
  <c r="J6" i="2"/>
  <c r="I6" i="2"/>
  <c r="B6" i="2"/>
  <c r="A6" i="2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BK20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BK19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BK17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BK16" i="7"/>
  <c r="BK13" i="7" s="1"/>
  <c r="BJ16" i="7"/>
  <c r="BJ13" i="7" s="1"/>
  <c r="BI16" i="7"/>
  <c r="BI13" i="7" s="1"/>
  <c r="BH16" i="7"/>
  <c r="BG16" i="7"/>
  <c r="BF16" i="7"/>
  <c r="BE16" i="7"/>
  <c r="BE13" i="7" s="1"/>
  <c r="BD16" i="7"/>
  <c r="BD13" i="7" s="1"/>
  <c r="BC16" i="7"/>
  <c r="BC13" i="7" s="1"/>
  <c r="BB16" i="7"/>
  <c r="BA16" i="7"/>
  <c r="AZ16" i="7"/>
  <c r="AY16" i="7"/>
  <c r="AY13" i="7" s="1"/>
  <c r="AX16" i="7"/>
  <c r="AW16" i="7"/>
  <c r="Q16" i="7"/>
  <c r="A16" i="7"/>
  <c r="AA15" i="7"/>
  <c r="Z15" i="7"/>
  <c r="Y15" i="7"/>
  <c r="X15" i="7"/>
  <c r="W15" i="7"/>
  <c r="V15" i="7"/>
  <c r="U15" i="7"/>
  <c r="T15" i="7"/>
  <c r="S15" i="7"/>
  <c r="N15" i="7"/>
  <c r="AD15" i="7" s="1"/>
  <c r="M15" i="7"/>
  <c r="AC15" i="7" s="1"/>
  <c r="L15" i="7"/>
  <c r="AB15" i="7" s="1"/>
  <c r="K15" i="7"/>
  <c r="J15" i="7"/>
  <c r="I15" i="7"/>
  <c r="BK14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BF13" i="7"/>
  <c r="AZ13" i="7"/>
  <c r="Q7" i="7"/>
  <c r="A7" i="7"/>
  <c r="AC6" i="7"/>
  <c r="AB6" i="7"/>
  <c r="X6" i="7"/>
  <c r="W6" i="7"/>
  <c r="V6" i="7"/>
  <c r="U6" i="7"/>
  <c r="T6" i="7"/>
  <c r="S6" i="7"/>
  <c r="N6" i="7"/>
  <c r="M6" i="7"/>
  <c r="L6" i="7"/>
  <c r="K6" i="7"/>
  <c r="AA6" i="7" s="1"/>
  <c r="J6" i="7"/>
  <c r="Z6" i="7" s="1"/>
  <c r="I6" i="7"/>
  <c r="Y6" i="7" s="1"/>
  <c r="AE5" i="7"/>
  <c r="AD5" i="7"/>
  <c r="Z5" i="7"/>
  <c r="Y5" i="7"/>
  <c r="X5" i="7"/>
  <c r="W5" i="7"/>
  <c r="V5" i="7"/>
  <c r="U5" i="7"/>
  <c r="T5" i="7"/>
  <c r="S5" i="7"/>
  <c r="M5" i="7"/>
  <c r="AC5" i="7" s="1"/>
  <c r="L5" i="7"/>
  <c r="AB5" i="7" s="1"/>
  <c r="K5" i="7"/>
  <c r="J5" i="7"/>
  <c r="I5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K9" i="7"/>
  <c r="I9" i="7"/>
  <c r="H9" i="7"/>
  <c r="E8" i="7"/>
  <c r="J8" i="7"/>
  <c r="N9" i="7"/>
  <c r="D9" i="7"/>
  <c r="C7" i="7"/>
  <c r="F9" i="7"/>
  <c r="F8" i="7"/>
  <c r="H7" i="7"/>
  <c r="E9" i="7"/>
  <c r="N7" i="7"/>
  <c r="J9" i="7"/>
  <c r="D8" i="7"/>
  <c r="L7" i="7"/>
  <c r="K8" i="7"/>
  <c r="L8" i="7"/>
  <c r="C8" i="7"/>
  <c r="K7" i="7"/>
  <c r="F7" i="7"/>
  <c r="G8" i="7"/>
  <c r="N8" i="7"/>
  <c r="D7" i="7"/>
  <c r="G9" i="7"/>
  <c r="E7" i="7"/>
  <c r="M8" i="7"/>
  <c r="J7" i="7"/>
  <c r="G7" i="7"/>
  <c r="H8" i="7"/>
  <c r="C9" i="7"/>
  <c r="AE9" i="7" l="1"/>
  <c r="B23" i="5"/>
  <c r="C23" i="5" s="1"/>
  <c r="D23" i="5" s="1"/>
  <c r="E23" i="5" s="1"/>
  <c r="F23" i="5" s="1"/>
  <c r="G23" i="5" s="1"/>
  <c r="H23" i="5" s="1"/>
  <c r="I23" i="5" s="1"/>
  <c r="J23" i="5" s="1"/>
  <c r="K23" i="5" s="1"/>
  <c r="B12" i="5"/>
  <c r="C12" i="5" s="1"/>
  <c r="D12" i="5" s="1"/>
  <c r="E12" i="5" s="1"/>
  <c r="F12" i="5" s="1"/>
  <c r="G12" i="5" s="1"/>
  <c r="H12" i="5" s="1"/>
  <c r="I12" i="5" s="1"/>
  <c r="N12" i="5" s="1"/>
  <c r="AK8" i="7"/>
  <c r="AQ8" i="7"/>
  <c r="AM9" i="7"/>
  <c r="E10" i="7"/>
  <c r="AH9" i="7"/>
  <c r="K10" i="7"/>
  <c r="AN9" i="7"/>
  <c r="O8" i="7"/>
  <c r="G10" i="7"/>
  <c r="F10" i="7"/>
  <c r="H10" i="7"/>
  <c r="O7" i="7"/>
  <c r="N10" i="7"/>
  <c r="C10" i="7"/>
  <c r="AG7" i="7"/>
  <c r="O9" i="7"/>
  <c r="AL9" i="7"/>
  <c r="AR9" i="7"/>
  <c r="D10" i="7"/>
  <c r="AH10" i="7" s="1"/>
  <c r="AH7" i="7"/>
  <c r="J10" i="7"/>
  <c r="AN10" i="7" s="1"/>
  <c r="AN7" i="7"/>
  <c r="AJ8" i="7"/>
  <c r="AP8" i="7"/>
  <c r="AG9" i="7"/>
  <c r="AD6" i="7"/>
  <c r="O6" i="7"/>
  <c r="AE6" i="7" s="1"/>
  <c r="AD7" i="7"/>
  <c r="AD10" i="7" s="1"/>
  <c r="Y10" i="7"/>
  <c r="E18" i="7"/>
  <c r="J18" i="7"/>
  <c r="J16" i="7"/>
  <c r="I18" i="7"/>
  <c r="I17" i="7"/>
  <c r="K17" i="7"/>
  <c r="AO17" i="7" s="1"/>
  <c r="F18" i="7"/>
  <c r="J17" i="7"/>
  <c r="C18" i="7"/>
  <c r="C16" i="7"/>
  <c r="X7" i="7"/>
  <c r="AL7" i="7" s="1"/>
  <c r="S10" i="7"/>
  <c r="AA5" i="7"/>
  <c r="U10" i="7"/>
  <c r="AA10" i="7"/>
  <c r="AI9" i="7"/>
  <c r="AO9" i="7"/>
  <c r="BB13" i="7"/>
  <c r="BH13" i="7"/>
  <c r="X17" i="7"/>
  <c r="AD17" i="7"/>
  <c r="X18" i="7"/>
  <c r="B11" i="5"/>
  <c r="C11" i="5" s="1"/>
  <c r="D11" i="5" s="1"/>
  <c r="E11" i="5" s="1"/>
  <c r="F11" i="5" s="1"/>
  <c r="G11" i="5" s="1"/>
  <c r="H11" i="5" s="1"/>
  <c r="I11" i="5" s="1"/>
  <c r="BA13" i="7"/>
  <c r="L18" i="7" s="1"/>
  <c r="V10" i="7"/>
  <c r="AB10" i="7"/>
  <c r="X8" i="7"/>
  <c r="AD8" i="7"/>
  <c r="AR8" i="7" s="1"/>
  <c r="AJ9" i="7"/>
  <c r="O15" i="7"/>
  <c r="AE15" i="7" s="1"/>
  <c r="T19" i="7"/>
  <c r="Z19" i="7"/>
  <c r="J7" i="2"/>
  <c r="B24" i="5"/>
  <c r="C24" i="5" s="1"/>
  <c r="D24" i="5" s="1"/>
  <c r="E24" i="5" s="1"/>
  <c r="F24" i="5" s="1"/>
  <c r="G24" i="5" s="1"/>
  <c r="H24" i="5" s="1"/>
  <c r="I24" i="5" s="1"/>
  <c r="J24" i="5" s="1"/>
  <c r="K24" i="5" s="1"/>
  <c r="W10" i="7"/>
  <c r="AC10" i="7"/>
  <c r="AH8" i="7"/>
  <c r="AN8" i="7"/>
  <c r="AK9" i="7"/>
  <c r="U19" i="7"/>
  <c r="AA19" i="7"/>
  <c r="B21" i="5"/>
  <c r="C21" i="5" s="1"/>
  <c r="D21" i="5" s="1"/>
  <c r="E21" i="5" s="1"/>
  <c r="F21" i="5" s="1"/>
  <c r="G21" i="5" s="1"/>
  <c r="H21" i="5" s="1"/>
  <c r="I21" i="5" s="1"/>
  <c r="J21" i="5" s="1"/>
  <c r="K21" i="5" s="1"/>
  <c r="B25" i="5"/>
  <c r="C25" i="5" s="1"/>
  <c r="D25" i="5" s="1"/>
  <c r="E25" i="5" s="1"/>
  <c r="F25" i="5" s="1"/>
  <c r="G25" i="5" s="1"/>
  <c r="H25" i="5" s="1"/>
  <c r="I25" i="5" s="1"/>
  <c r="J25" i="5" s="1"/>
  <c r="K25" i="5" s="1"/>
  <c r="BG13" i="7"/>
  <c r="M18" i="7" s="1"/>
  <c r="AQ18" i="7" s="1"/>
  <c r="AI8" i="7"/>
  <c r="AO8" i="7"/>
  <c r="V19" i="7"/>
  <c r="AB19" i="7"/>
  <c r="AD18" i="7"/>
  <c r="I7" i="2"/>
  <c r="B10" i="5"/>
  <c r="C10" i="5" s="1"/>
  <c r="D10" i="5" s="1"/>
  <c r="E10" i="5" s="1"/>
  <c r="F10" i="5" s="1"/>
  <c r="G10" i="5" s="1"/>
  <c r="H10" i="5" s="1"/>
  <c r="I10" i="5" s="1"/>
  <c r="B28" i="5"/>
  <c r="C28" i="5" s="1"/>
  <c r="D28" i="5" s="1"/>
  <c r="E28" i="5" s="1"/>
  <c r="F28" i="5" s="1"/>
  <c r="G28" i="5" s="1"/>
  <c r="H28" i="5" s="1"/>
  <c r="I28" i="5" s="1"/>
  <c r="J28" i="5" s="1"/>
  <c r="K28" i="5" s="1"/>
  <c r="B9" i="5"/>
  <c r="C9" i="5" s="1"/>
  <c r="D9" i="5" s="1"/>
  <c r="E9" i="5" s="1"/>
  <c r="F9" i="5" s="1"/>
  <c r="G9" i="5" s="1"/>
  <c r="H9" i="5" s="1"/>
  <c r="I9" i="5" s="1"/>
  <c r="B20" i="5"/>
  <c r="C20" i="5" s="1"/>
  <c r="D20" i="5" s="1"/>
  <c r="E20" i="5" s="1"/>
  <c r="F20" i="5" s="1"/>
  <c r="G20" i="5" s="1"/>
  <c r="H20" i="5" s="1"/>
  <c r="I20" i="5" s="1"/>
  <c r="J20" i="5" s="1"/>
  <c r="K20" i="5" s="1"/>
  <c r="B26" i="5"/>
  <c r="C26" i="5" s="1"/>
  <c r="D26" i="5" s="1"/>
  <c r="E26" i="5" s="1"/>
  <c r="F26" i="5" s="1"/>
  <c r="G26" i="5" s="1"/>
  <c r="H26" i="5" s="1"/>
  <c r="I26" i="5" s="1"/>
  <c r="J26" i="5" s="1"/>
  <c r="K26" i="5" s="1"/>
  <c r="B14" i="5"/>
  <c r="C14" i="5" s="1"/>
  <c r="D14" i="5" s="1"/>
  <c r="E14" i="5" s="1"/>
  <c r="F14" i="5" s="1"/>
  <c r="G14" i="5" s="1"/>
  <c r="H14" i="5" s="1"/>
  <c r="I14" i="5" s="1"/>
  <c r="J14" i="5" s="1"/>
  <c r="K14" i="5" s="1"/>
  <c r="B15" i="5"/>
  <c r="C15" i="5" s="1"/>
  <c r="D15" i="5" s="1"/>
  <c r="E15" i="5" s="1"/>
  <c r="F15" i="5" s="1"/>
  <c r="G15" i="5" s="1"/>
  <c r="H15" i="5" s="1"/>
  <c r="I15" i="5" s="1"/>
  <c r="J15" i="5" s="1"/>
  <c r="K15" i="5" s="1"/>
  <c r="B16" i="5"/>
  <c r="C16" i="5" s="1"/>
  <c r="D16" i="5" s="1"/>
  <c r="E16" i="5" s="1"/>
  <c r="F16" i="5" s="1"/>
  <c r="G16" i="5" s="1"/>
  <c r="H16" i="5" s="1"/>
  <c r="I16" i="5" s="1"/>
  <c r="J16" i="5" s="1"/>
  <c r="K16" i="5" s="1"/>
  <c r="B17" i="5"/>
  <c r="C17" i="5" s="1"/>
  <c r="D17" i="5" s="1"/>
  <c r="E17" i="5" s="1"/>
  <c r="F17" i="5" s="1"/>
  <c r="G17" i="5" s="1"/>
  <c r="H17" i="5" s="1"/>
  <c r="I17" i="5" s="1"/>
  <c r="J17" i="5" s="1"/>
  <c r="K17" i="5" s="1"/>
  <c r="B18" i="5"/>
  <c r="C18" i="5" s="1"/>
  <c r="D18" i="5" s="1"/>
  <c r="E18" i="5" s="1"/>
  <c r="F18" i="5" s="1"/>
  <c r="G18" i="5" s="1"/>
  <c r="H18" i="5" s="1"/>
  <c r="I18" i="5" s="1"/>
  <c r="J18" i="5" s="1"/>
  <c r="K18" i="5" s="1"/>
  <c r="B19" i="5"/>
  <c r="C19" i="5" s="1"/>
  <c r="D19" i="5" s="1"/>
  <c r="E19" i="5" s="1"/>
  <c r="F19" i="5" s="1"/>
  <c r="G19" i="5" s="1"/>
  <c r="H19" i="5" s="1"/>
  <c r="I19" i="5" s="1"/>
  <c r="B27" i="5"/>
  <c r="C27" i="5" s="1"/>
  <c r="D27" i="5" s="1"/>
  <c r="E27" i="5" s="1"/>
  <c r="F27" i="5" s="1"/>
  <c r="G27" i="5" s="1"/>
  <c r="H27" i="5" s="1"/>
  <c r="I27" i="5" s="1"/>
  <c r="J27" i="5" s="1"/>
  <c r="K27" i="5" s="1"/>
  <c r="B13" i="5"/>
  <c r="C13" i="5" s="1"/>
  <c r="D13" i="5" s="1"/>
  <c r="E13" i="5" s="1"/>
  <c r="F13" i="5" s="1"/>
  <c r="G13" i="5" s="1"/>
  <c r="H13" i="5" s="1"/>
  <c r="I13" i="5" s="1"/>
  <c r="B22" i="5"/>
  <c r="C22" i="5" s="1"/>
  <c r="D22" i="5" s="1"/>
  <c r="E22" i="5" s="1"/>
  <c r="F22" i="5" s="1"/>
  <c r="G22" i="5" s="1"/>
  <c r="H22" i="5" s="1"/>
  <c r="I22" i="5" s="1"/>
  <c r="J22" i="5" s="1"/>
  <c r="K22" i="5" s="1"/>
  <c r="I7" i="7"/>
  <c r="I8" i="7"/>
  <c r="M9" i="7"/>
  <c r="L9" i="7"/>
  <c r="M7" i="7"/>
  <c r="AS9" i="7" l="1"/>
  <c r="AI7" i="7"/>
  <c r="AE8" i="7"/>
  <c r="AS8" i="7" s="1"/>
  <c r="AN17" i="7"/>
  <c r="AN18" i="7"/>
  <c r="J12" i="5"/>
  <c r="K12" i="5" s="1"/>
  <c r="AJ18" i="7"/>
  <c r="AI18" i="7"/>
  <c r="AP18" i="7"/>
  <c r="AK10" i="7"/>
  <c r="AK7" i="7"/>
  <c r="AI10" i="7"/>
  <c r="AM8" i="7"/>
  <c r="AP9" i="7"/>
  <c r="L10" i="7"/>
  <c r="AP10" i="7" s="1"/>
  <c r="I10" i="7"/>
  <c r="AM10" i="7" s="1"/>
  <c r="AM7" i="7"/>
  <c r="AQ9" i="7"/>
  <c r="AQ7" i="7"/>
  <c r="M10" i="7"/>
  <c r="AQ10" i="7" s="1"/>
  <c r="AD16" i="7"/>
  <c r="AD19" i="7" s="1"/>
  <c r="Y19" i="7"/>
  <c r="H16" i="7"/>
  <c r="AG16" i="7"/>
  <c r="AL8" i="7"/>
  <c r="D16" i="7"/>
  <c r="C17" i="7"/>
  <c r="AE18" i="7"/>
  <c r="X10" i="7"/>
  <c r="AL10" i="7" s="1"/>
  <c r="AE7" i="7"/>
  <c r="E16" i="7"/>
  <c r="F16" i="7"/>
  <c r="M16" i="7"/>
  <c r="D18" i="7"/>
  <c r="AH18" i="7" s="1"/>
  <c r="AR7" i="7"/>
  <c r="AJ7" i="7"/>
  <c r="AO10" i="7"/>
  <c r="S19" i="7"/>
  <c r="X16" i="7"/>
  <c r="AM17" i="7"/>
  <c r="J19" i="7"/>
  <c r="AN19" i="7" s="1"/>
  <c r="AN16" i="7"/>
  <c r="G16" i="7"/>
  <c r="AO7" i="7"/>
  <c r="N13" i="5"/>
  <c r="J13" i="5"/>
  <c r="K13" i="5" s="1"/>
  <c r="J10" i="5"/>
  <c r="K10" i="5" s="1"/>
  <c r="N10" i="5"/>
  <c r="N11" i="5"/>
  <c r="J11" i="5"/>
  <c r="K11" i="5" s="1"/>
  <c r="K16" i="7"/>
  <c r="L16" i="7"/>
  <c r="F17" i="7"/>
  <c r="AJ17" i="7" s="1"/>
  <c r="G17" i="7"/>
  <c r="AK17" i="7" s="1"/>
  <c r="G18" i="7"/>
  <c r="AK18" i="7" s="1"/>
  <c r="AG10" i="7"/>
  <c r="AR10" i="7"/>
  <c r="AJ10" i="7"/>
  <c r="N19" i="5"/>
  <c r="J19" i="5"/>
  <c r="K19" i="5" s="1"/>
  <c r="AM18" i="7"/>
  <c r="N18" i="7"/>
  <c r="AR18" i="7" s="1"/>
  <c r="O10" i="7"/>
  <c r="AG8" i="7"/>
  <c r="AG18" i="7"/>
  <c r="J9" i="5"/>
  <c r="K9" i="5" s="1"/>
  <c r="N9" i="5"/>
  <c r="I16" i="7"/>
  <c r="K18" i="7"/>
  <c r="AO18" i="7" s="1"/>
  <c r="AE17" i="7"/>
  <c r="D17" i="7"/>
  <c r="AH17" i="7" s="1"/>
  <c r="E17" i="7"/>
  <c r="AI17" i="7" s="1"/>
  <c r="L17" i="7"/>
  <c r="AP17" i="7" s="1"/>
  <c r="M17" i="7"/>
  <c r="AQ17" i="7" s="1"/>
  <c r="AP7" i="7"/>
  <c r="AE10" i="7" l="1"/>
  <c r="AS10" i="7" s="1"/>
  <c r="AS7" i="7"/>
  <c r="K19" i="7"/>
  <c r="AO19" i="7" s="1"/>
  <c r="AO16" i="7"/>
  <c r="X19" i="7"/>
  <c r="AE16" i="7"/>
  <c r="AE19" i="7" s="1"/>
  <c r="M19" i="7"/>
  <c r="AQ19" i="7" s="1"/>
  <c r="AQ16" i="7"/>
  <c r="H17" i="7"/>
  <c r="AG17" i="7"/>
  <c r="H18" i="7"/>
  <c r="G19" i="7"/>
  <c r="AK19" i="7" s="1"/>
  <c r="AK16" i="7"/>
  <c r="F19" i="7"/>
  <c r="AJ19" i="7" s="1"/>
  <c r="AJ16" i="7"/>
  <c r="D19" i="7"/>
  <c r="AH19" i="7" s="1"/>
  <c r="AH16" i="7"/>
  <c r="L19" i="7"/>
  <c r="AP19" i="7" s="1"/>
  <c r="AP16" i="7"/>
  <c r="H19" i="7"/>
  <c r="AL16" i="7"/>
  <c r="E19" i="7"/>
  <c r="AI19" i="7" s="1"/>
  <c r="AI16" i="7"/>
  <c r="N17" i="7"/>
  <c r="AR17" i="7" s="1"/>
  <c r="N16" i="7"/>
  <c r="I19" i="7"/>
  <c r="AM19" i="7" s="1"/>
  <c r="AM16" i="7"/>
  <c r="C19" i="7"/>
  <c r="AG19" i="7" s="1"/>
  <c r="AL19" i="7" l="1"/>
  <c r="N19" i="7"/>
  <c r="AR19" i="7" s="1"/>
  <c r="AR16" i="7"/>
  <c r="O16" i="7"/>
  <c r="AL18" i="7"/>
  <c r="O18" i="7"/>
  <c r="AS18" i="7" s="1"/>
  <c r="O17" i="7"/>
  <c r="AS17" i="7" s="1"/>
  <c r="AL17" i="7"/>
  <c r="AS16" i="7" l="1"/>
  <c r="O19" i="7"/>
  <c r="AS19" i="7" s="1"/>
  <c r="C18" i="2" l="1"/>
  <c r="C19" i="2" l="1"/>
  <c r="C21" i="2"/>
  <c r="C20" i="2" l="1"/>
  <c r="C17" i="2"/>
  <c r="F19" i="2" l="1"/>
  <c r="F21" i="2"/>
  <c r="F20" i="2"/>
  <c r="F10" i="9" l="1"/>
  <c r="J11" i="2"/>
  <c r="J12" i="2"/>
  <c r="I11" i="2"/>
  <c r="E19" i="2"/>
  <c r="J13" i="2"/>
  <c r="E21" i="2"/>
  <c r="I13" i="2"/>
  <c r="E18" i="2"/>
  <c r="I10" i="2"/>
  <c r="I12" i="2"/>
  <c r="E20" i="2"/>
  <c r="J10" i="2"/>
  <c r="F18" i="2"/>
  <c r="F13" i="9"/>
  <c r="F14" i="9"/>
  <c r="F11" i="9"/>
  <c r="F12" i="9"/>
  <c r="K12" i="2" l="1"/>
  <c r="F5" i="9"/>
  <c r="F6" i="9"/>
  <c r="F4" i="9"/>
  <c r="F3" i="9"/>
  <c r="K13" i="2"/>
  <c r="K11" i="2"/>
  <c r="K10" i="2"/>
  <c r="F9" i="9" l="1"/>
  <c r="F8" i="9"/>
  <c r="F17" i="2" l="1"/>
  <c r="I9" i="2" l="1"/>
  <c r="F7" i="9" l="1"/>
  <c r="J9" i="2"/>
  <c r="K9" i="2" s="1"/>
  <c r="E17" i="2"/>
  <c r="F2" i="9"/>
  <c r="F15" i="9" l="1"/>
  <c r="M17" i="5" l="1"/>
  <c r="N17" i="5" s="1"/>
  <c r="M14" i="5"/>
  <c r="N14" i="5" s="1"/>
  <c r="M18" i="5"/>
  <c r="N18" i="5" s="1"/>
  <c r="M16" i="5" l="1"/>
  <c r="N16" i="5" s="1"/>
  <c r="M15" i="5"/>
  <c r="N15" i="5" s="1"/>
  <c r="G21" i="2" l="1"/>
  <c r="J21" i="2" s="1"/>
  <c r="G18" i="2"/>
  <c r="J18" i="2" s="1"/>
  <c r="G19" i="2" l="1"/>
  <c r="J19" i="2" s="1"/>
  <c r="G20" i="2"/>
  <c r="J20" i="2" s="1"/>
  <c r="G17" i="2"/>
  <c r="J17" i="2" s="1"/>
</calcChain>
</file>

<file path=xl/sharedStrings.xml><?xml version="1.0" encoding="utf-8"?>
<sst xmlns="http://schemas.openxmlformats.org/spreadsheetml/2006/main" count="57573" uniqueCount="565">
  <si>
    <t>SHUN SHING CEMENT INDUSTRIES LTD - CIM</t>
  </si>
  <si>
    <t>BOKTIARPARA, UNION- NO-03, SHIKOLBAHA, KARNAPHULY;PATIYA;CHITTAGONG</t>
  </si>
  <si>
    <t>PACKER WISE BAG CEMENT PRODUCTION</t>
  </si>
  <si>
    <t>From 06-OCT-23 To 06-OCT-23</t>
  </si>
  <si>
    <r>
      <rPr>
        <sz val="8"/>
        <color rgb="FF000000"/>
        <rFont val="Arial"/>
        <family val="2"/>
      </rPr>
      <t>        Print Date:</t>
    </r>
    <r>
      <rPr>
        <b/>
        <sz val="8"/>
        <color rgb="FF000000"/>
        <rFont val="Courier New"/>
        <family val="3"/>
      </rPr>
      <t>06-10-2023</t>
    </r>
  </si>
  <si>
    <t>Production Date</t>
  </si>
  <si>
    <t>Shift</t>
  </si>
  <si>
    <t>CKER - 1</t>
  </si>
  <si>
    <t>Total</t>
  </si>
  <si>
    <t>BAG CEMENT B-M (PCC)</t>
  </si>
  <si>
    <t>BAG CEMENT GOLD (OPC)</t>
  </si>
  <si>
    <t>A</t>
  </si>
  <si>
    <t>Grand Total</t>
  </si>
  <si>
    <t>SHIFT</t>
  </si>
  <si>
    <t>BUSTING BAG CEMENT</t>
  </si>
  <si>
    <t>Production</t>
  </si>
  <si>
    <t>Date</t>
  </si>
  <si>
    <t>Grand Total=</t>
  </si>
  <si>
    <r>
      <rPr>
        <b/>
        <sz val="11"/>
        <color rgb="FF000000"/>
        <rFont val="Calibri"/>
        <family val="2"/>
        <scheme val="minor"/>
      </rPr>
      <t xml:space="preserve">1 </t>
    </r>
    <r>
      <rPr>
        <sz val="11"/>
        <color rgb="FF000000"/>
        <rFont val="Calibri"/>
        <family val="2"/>
        <scheme val="minor"/>
      </rPr>
      <t>|</t>
    </r>
    <r>
      <rPr>
        <b/>
        <sz val="11"/>
        <color rgb="FF000000"/>
        <rFont val="Calibri"/>
        <family val="2"/>
        <scheme val="minor"/>
      </rPr>
      <t xml:space="preserve"> </t>
    </r>
    <r>
      <rPr>
        <sz val="11"/>
        <color rgb="FF808080"/>
        <rFont val="Calibri"/>
        <family val="2"/>
        <scheme val="minor"/>
      </rPr>
      <t>Page</t>
    </r>
  </si>
  <si>
    <t>BM (2 PLY)</t>
  </si>
  <si>
    <t>AM (2 Ply)</t>
  </si>
  <si>
    <t>AM (1 PLY )</t>
  </si>
  <si>
    <t>AM (MES)</t>
  </si>
  <si>
    <t>Gold (2 PLY)</t>
  </si>
  <si>
    <t>Gold (1 PLY)</t>
  </si>
  <si>
    <t>Gold (1 Ply MES)</t>
  </si>
  <si>
    <t>CKER - 2</t>
  </si>
  <si>
    <t>BAG CEMENT A-M SPECIAL (PCC)</t>
  </si>
  <si>
    <t>BAG CEMENT A-M (SPECIAL) PCC 1 PLY</t>
  </si>
  <si>
    <t>BAG CEMENT GOLD (OPC) 1 PLY</t>
  </si>
  <si>
    <t>B</t>
  </si>
  <si>
    <t>C</t>
  </si>
  <si>
    <t>Bursting</t>
  </si>
  <si>
    <t>xxx</t>
  </si>
  <si>
    <t>Item Code</t>
  </si>
  <si>
    <t>Description</t>
  </si>
  <si>
    <t>Unit</t>
  </si>
  <si>
    <t>Opening Balance</t>
  </si>
  <si>
    <t>Rcv From Production</t>
  </si>
  <si>
    <t>Issue to</t>
  </si>
  <si>
    <t>Move Order</t>
  </si>
  <si>
    <t>Closing</t>
  </si>
  <si>
    <t>EBAG.CMNT.0243</t>
  </si>
  <si>
    <t>WPP BAG SEVEN RINGS BM (PCC) SSCIL</t>
  </si>
  <si>
    <t>PACKING MATERIALS</t>
  </si>
  <si>
    <t>PCS</t>
  </si>
  <si>
    <t>EBAG.CMNT.0244</t>
  </si>
  <si>
    <t>WPP BAG SEVEN RINGS CEMENT - GOLD (OPC) SSCIL</t>
  </si>
  <si>
    <t>EBAG.CMNT.0270</t>
  </si>
  <si>
    <t>WPP SR CEMENT-GOLD(OPC) SSCIL 1PLY</t>
  </si>
  <si>
    <t>EBAG.CMNT.0296</t>
  </si>
  <si>
    <t>WPP SR CEMENT (AM) SSCIL 1PLY</t>
  </si>
  <si>
    <t>EBAG.CMNT.0340</t>
  </si>
  <si>
    <t>WPP BAG SEVEN RING CEMENT AM SPECIAL SSCIL</t>
  </si>
  <si>
    <t>From</t>
  </si>
  <si>
    <t>To</t>
  </si>
  <si>
    <t>Issue to Production</t>
  </si>
  <si>
    <t>Short Name</t>
  </si>
  <si>
    <t>Adjustment</t>
  </si>
  <si>
    <t>Difference</t>
  </si>
  <si>
    <t>ITEM ON HAND DETAILS REPORT</t>
  </si>
  <si>
    <t>Category</t>
  </si>
  <si>
    <r>
      <rPr>
        <b/>
        <sz val="8"/>
        <color rgb="FF000000"/>
        <rFont val="Arial"/>
        <family val="2"/>
      </rP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</si>
  <si>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t>Sub Inventory</t>
  </si>
  <si>
    <r>
      <rPr>
        <b/>
        <sz val="8"/>
        <color rgb="FF000000"/>
        <rFont val="Arial"/>
        <family val="2"/>
      </rPr>
      <t xml:space="preserve">: </t>
    </r>
    <r>
      <rPr>
        <sz val="8"/>
        <color rgb="FF000000"/>
        <rFont val="Arial"/>
        <family val="2"/>
      </rPr>
      <t>ALL</t>
    </r>
  </si>
  <si>
    <t>Item Type</t>
  </si>
  <si>
    <t>Use of Area</t>
  </si>
  <si>
    <t>Locator</t>
  </si>
  <si>
    <t>Qty</t>
  </si>
  <si>
    <t>Unit Cost</t>
  </si>
  <si>
    <t>Total Cost</t>
  </si>
  <si>
    <t>SCRP.IDST.0001</t>
  </si>
  <si>
    <t>IRON DUST</t>
  </si>
  <si>
    <t>MT</t>
  </si>
  <si>
    <t>PROCESS SCRAP</t>
  </si>
  <si>
    <t>BY PRODUCT</t>
  </si>
  <si>
    <t>SCRAP</t>
  </si>
  <si>
    <t>CI - WAST</t>
  </si>
  <si>
    <t>SPMC.SHFT.4476</t>
  </si>
  <si>
    <t>TEFLON SHAFT 40MM</t>
  </si>
  <si>
    <t>MECHANICAL</t>
  </si>
  <si>
    <t>SPARES</t>
  </si>
  <si>
    <t>WEAVING SECTION</t>
  </si>
  <si>
    <t>RMTL.FLSH.0001</t>
  </si>
  <si>
    <t>FLY ASH</t>
  </si>
  <si>
    <t>INGREDIENT</t>
  </si>
  <si>
    <t>TRADING</t>
  </si>
  <si>
    <t>RMTL.GYPS.0001</t>
  </si>
  <si>
    <t>GYPSUM</t>
  </si>
  <si>
    <t>RAW MATERIALS</t>
  </si>
  <si>
    <t>CI - RM</t>
  </si>
  <si>
    <t>SR BRAND</t>
  </si>
  <si>
    <t>CI - SFLR</t>
  </si>
  <si>
    <t>FGCM.BULK.0003</t>
  </si>
  <si>
    <t>BULK CEMENT GOLD (OPC)</t>
  </si>
  <si>
    <t>FINISH GOODS</t>
  </si>
  <si>
    <t>FINISHED GOODS</t>
  </si>
  <si>
    <t>BULK CEMENT</t>
  </si>
  <si>
    <t>CI - FG</t>
  </si>
  <si>
    <t>FGCM.BULK.0001</t>
  </si>
  <si>
    <t>BULK CEMENT B-M (PCC)</t>
  </si>
  <si>
    <t>FGCM.BULK.0002</t>
  </si>
  <si>
    <t>BULK CEMENT A-M SPECIAL (PCC)</t>
  </si>
  <si>
    <t>FGCM.PCKT.0001</t>
  </si>
  <si>
    <t>BAG</t>
  </si>
  <si>
    <t>FINISHED GOODS-DUAL</t>
  </si>
  <si>
    <t>BAG CEMENT</t>
  </si>
  <si>
    <t>FGCM.PCKT.0002</t>
  </si>
  <si>
    <t>FGCM.PCKT.0003</t>
  </si>
  <si>
    <t>FGCM.PCKT.0006</t>
  </si>
  <si>
    <t>FGCM.PCKT.0008</t>
  </si>
  <si>
    <t>SCRP.BBAG.0001</t>
  </si>
  <si>
    <t>WASTAGE</t>
  </si>
  <si>
    <t>CNPD.GMDA.0006</t>
  </si>
  <si>
    <t>GRINDING AID</t>
  </si>
  <si>
    <t>KG</t>
  </si>
  <si>
    <t>PROCESS MATERIALS</t>
  </si>
  <si>
    <t>GRINDING SYSTEM</t>
  </si>
  <si>
    <t>CNFL.DISL.0001</t>
  </si>
  <si>
    <t>DIESEL</t>
  </si>
  <si>
    <t>LTR</t>
  </si>
  <si>
    <t>PROCESS MATERIAL-COAL MILL</t>
  </si>
  <si>
    <t>CONSUMABLES-FUEL</t>
  </si>
  <si>
    <t>COAL MILL</t>
  </si>
  <si>
    <t>EMPTY BAG</t>
  </si>
  <si>
    <t>EBAG.CMNT.0271</t>
  </si>
  <si>
    <t>WPP SR CEMENT (BM) SSCIL 1PLY</t>
  </si>
  <si>
    <t>RMTL.CLNK.0001</t>
  </si>
  <si>
    <t>CLINKER</t>
  </si>
  <si>
    <t>RMTL.COAL.0001</t>
  </si>
  <si>
    <t>COAL</t>
  </si>
  <si>
    <t>RMTL.LIME.0001</t>
  </si>
  <si>
    <t>LIME STONE</t>
  </si>
  <si>
    <t>RMTL.SLAG.0001</t>
  </si>
  <si>
    <t>SLAG</t>
  </si>
  <si>
    <t>RMTL.POZO.0001</t>
  </si>
  <si>
    <t>NATURAL POZZOLANA</t>
  </si>
  <si>
    <t>RM-CEMENT</t>
  </si>
  <si>
    <t>SPEL.PUMP.6032</t>
  </si>
  <si>
    <t>SUBMERSIBLE PUMP 2 HP</t>
  </si>
  <si>
    <t>ELECTRICAL</t>
  </si>
  <si>
    <t>GENERAL USE</t>
  </si>
  <si>
    <t>CNMC.GMDA.0005</t>
  </si>
  <si>
    <t>GRINDING MEDIA DIA-60</t>
  </si>
  <si>
    <t>PRODUCTION</t>
  </si>
  <si>
    <t>CONSUMABLES</t>
  </si>
  <si>
    <t>BALL MILL</t>
  </si>
  <si>
    <t>GRAND TOTAL</t>
  </si>
  <si>
    <r>
      <rPr>
        <b/>
        <sz val="8"/>
        <color rgb="FF000000"/>
        <rFont val="Calibri"/>
        <family val="2"/>
        <scheme val="minor"/>
      </rPr>
      <t>Stock Date:</t>
    </r>
    <r>
      <rPr>
        <sz val="8"/>
        <color rgb="FF000000"/>
        <rFont val="Calibri"/>
        <family val="2"/>
        <scheme val="minor"/>
      </rPr>
      <t xml:space="preserve"> 09-SEP-23</t>
    </r>
  </si>
  <si>
    <r>
      <rPr>
        <sz val="8"/>
        <color rgb="FF000000"/>
        <rFont val="Cambria"/>
        <family val="1"/>
      </rP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:09-09-2023</t>
    </r>
  </si>
  <si>
    <t>Desired Sub Inventory</t>
  </si>
  <si>
    <t>Item Ledger Summary</t>
  </si>
  <si>
    <t>Sub Inventory CI - SFLR</t>
  </si>
  <si>
    <t>Item Category</t>
  </si>
  <si>
    <t>Rate</t>
  </si>
  <si>
    <t>Po</t>
  </si>
  <si>
    <t>Port and Other Receive</t>
  </si>
  <si>
    <t>Delivery</t>
  </si>
  <si>
    <t>RMA Recv.</t>
  </si>
  <si>
    <t>Port and Other Issue</t>
  </si>
  <si>
    <t>Receive</t>
  </si>
  <si>
    <t>Balance</t>
  </si>
  <si>
    <t>CI - VAT</t>
  </si>
  <si>
    <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</si>
  <si>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r>
      <t xml:space="preserve">: </t>
    </r>
    <r>
      <rPr>
        <sz val="8"/>
        <color rgb="FF000000"/>
        <rFont val="Arial"/>
        <family val="2"/>
      </rPr>
      <t>ALL</t>
    </r>
  </si>
  <si>
    <t xml:space="preserve">  </t>
  </si>
  <si>
    <t>Item</t>
  </si>
  <si>
    <t>Subinventory</t>
  </si>
  <si>
    <t>Location</t>
  </si>
  <si>
    <t>Material Classification Code</t>
  </si>
  <si>
    <t>Revision</t>
  </si>
  <si>
    <t>Transfer Subinventory</t>
  </si>
  <si>
    <t>Transfer Locator</t>
  </si>
  <si>
    <t>Transfer Org</t>
  </si>
  <si>
    <t>Owning Party</t>
  </si>
  <si>
    <t>Planning Party</t>
  </si>
  <si>
    <t>Supplier</t>
  </si>
  <si>
    <t>Transaction Date</t>
  </si>
  <si>
    <t>Transaction ID</t>
  </si>
  <si>
    <t>Transaction Quantity</t>
  </si>
  <si>
    <t>Transaction UOM</t>
  </si>
  <si>
    <t>Primary Quantity</t>
  </si>
  <si>
    <t>Primary UOM</t>
  </si>
  <si>
    <t>Secondary Quantity</t>
  </si>
  <si>
    <t>Secondary UOM</t>
  </si>
  <si>
    <t>Source Type</t>
  </si>
  <si>
    <t>Source</t>
  </si>
  <si>
    <t>Transaction Type</t>
  </si>
  <si>
    <t>[ ]</t>
  </si>
  <si>
    <t>Shipment Number</t>
  </si>
  <si>
    <t>Waybill/Airbill</t>
  </si>
  <si>
    <t>Freight Code</t>
  </si>
  <si>
    <t>Containers</t>
  </si>
  <si>
    <t>Reason</t>
  </si>
  <si>
    <t>Error Code</t>
  </si>
  <si>
    <t>Reference</t>
  </si>
  <si>
    <t>Costed</t>
  </si>
  <si>
    <t>Transferred to Projects</t>
  </si>
  <si>
    <t>Error Explanation</t>
  </si>
  <si>
    <t>Supplier Lot</t>
  </si>
  <si>
    <t>Source Code</t>
  </si>
  <si>
    <t>Source Line ID</t>
  </si>
  <si>
    <t>Transfer Transaction ID</t>
  </si>
  <si>
    <t>Parent Transaction Id</t>
  </si>
  <si>
    <t>Logical Transactions Created</t>
  </si>
  <si>
    <t>Logical Transaction</t>
  </si>
  <si>
    <t>Operating Unit</t>
  </si>
  <si>
    <t>Organization</t>
  </si>
  <si>
    <t>Transaction Header</t>
  </si>
  <si>
    <t>Receiving Transaction ID</t>
  </si>
  <si>
    <t>Move Transaction ID</t>
  </si>
  <si>
    <t>Completion Transaction ID</t>
  </si>
  <si>
    <t>Department Code</t>
  </si>
  <si>
    <t>Operation Sequence</t>
  </si>
  <si>
    <t>Source Project Number</t>
  </si>
  <si>
    <t>Source Task Number</t>
  </si>
  <si>
    <t>Project Number</t>
  </si>
  <si>
    <t>Task Number</t>
  </si>
  <si>
    <t>To Project Number</t>
  </si>
  <si>
    <t>To Task Number</t>
  </si>
  <si>
    <t>Expenditure Type</t>
  </si>
  <si>
    <t>Expenditure Org</t>
  </si>
  <si>
    <t>Transaction Action</t>
  </si>
  <si>
    <t>From Owning Party</t>
  </si>
  <si>
    <t>Creation Status</t>
  </si>
  <si>
    <t>182-SHUN SHING CEMENT INDUSTRIES LTD - CIM</t>
  </si>
  <si>
    <t>Job or Schedule</t>
  </si>
  <si>
    <t>BATCH9866</t>
  </si>
  <si>
    <t>WIP Issue</t>
  </si>
  <si>
    <t>.</t>
  </si>
  <si>
    <t>No</t>
  </si>
  <si>
    <t>Not Applicable</t>
  </si>
  <si>
    <t>OPM</t>
  </si>
  <si>
    <t>SHUN SHING CEMENT INDUSTRIES</t>
  </si>
  <si>
    <t>Issue from stores</t>
  </si>
  <si>
    <t>WIP Completion</t>
  </si>
  <si>
    <t>Assembly completion</t>
  </si>
  <si>
    <t>WIP Byproduct Completion</t>
  </si>
  <si>
    <t>BATCH9869</t>
  </si>
  <si>
    <t>BATCH9868</t>
  </si>
  <si>
    <t>BATCH9867</t>
  </si>
  <si>
    <t>BATCH9865</t>
  </si>
  <si>
    <t>BATCH9864</t>
  </si>
  <si>
    <t>BATCH9863</t>
  </si>
  <si>
    <t>BATCH9862</t>
  </si>
  <si>
    <t>BATCH9861</t>
  </si>
  <si>
    <t>BATCH9860</t>
  </si>
  <si>
    <t>BATCH9859</t>
  </si>
  <si>
    <t>BATCH9857</t>
  </si>
  <si>
    <t>BATCH9856</t>
  </si>
  <si>
    <t>BATCH9855</t>
  </si>
  <si>
    <t>WIP Return</t>
  </si>
  <si>
    <t>Receipt into stores</t>
  </si>
  <si>
    <t>BATCH9858</t>
  </si>
  <si>
    <t>BATCH9854</t>
  </si>
  <si>
    <t>BATCH9853</t>
  </si>
  <si>
    <t>BATCH9852</t>
  </si>
  <si>
    <t>BATCH9851</t>
  </si>
  <si>
    <t>BATCH9850</t>
  </si>
  <si>
    <t>BATCH9846</t>
  </si>
  <si>
    <t>BATCH9845</t>
  </si>
  <si>
    <t>BATCH9844</t>
  </si>
  <si>
    <t>BATCH9848</t>
  </si>
  <si>
    <t>BATCH9849</t>
  </si>
  <si>
    <t>BATCH9847</t>
  </si>
  <si>
    <t>BATCH9843</t>
  </si>
  <si>
    <t>BATCH9842</t>
  </si>
  <si>
    <t>BATCH9841</t>
  </si>
  <si>
    <t>BATCH9840</t>
  </si>
  <si>
    <t>BATCH9838</t>
  </si>
  <si>
    <t>BATCH9839</t>
  </si>
  <si>
    <t>BATCH9837</t>
  </si>
  <si>
    <t>BATCH9836</t>
  </si>
  <si>
    <t>BATCH9835</t>
  </si>
  <si>
    <t>Mat Trans</t>
  </si>
  <si>
    <t>ILS</t>
  </si>
  <si>
    <r>
      <t>Stock Date:</t>
    </r>
    <r>
      <rPr>
        <sz val="8"/>
        <color rgb="FF000000"/>
        <rFont val="Calibri"/>
        <family val="2"/>
        <scheme val="minor"/>
      </rPr>
      <t xml:space="preserve"> 26-MAR-24</t>
    </r>
  </si>
  <si>
    <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:26-03-2024</t>
    </r>
  </si>
  <si>
    <t>From 01-MAR-24 To 31-MAR-24</t>
  </si>
  <si>
    <r>
      <t>       Print Date :</t>
    </r>
    <r>
      <rPr>
        <b/>
        <sz val="8"/>
        <color rgb="FF000000"/>
        <rFont val="Arial"/>
        <family val="2"/>
      </rPr>
      <t>26-03-2024</t>
    </r>
  </si>
  <si>
    <t>BATCH10149</t>
  </si>
  <si>
    <t>BATCH10148</t>
  </si>
  <si>
    <t>BATCH10147</t>
  </si>
  <si>
    <t>BATCH10151</t>
  </si>
  <si>
    <t>BATCH10150</t>
  </si>
  <si>
    <t>BATCH10146</t>
  </si>
  <si>
    <t>BATCH10143</t>
  </si>
  <si>
    <t>BATCH10145</t>
  </si>
  <si>
    <t>BATCH10144</t>
  </si>
  <si>
    <t>BATCH10142</t>
  </si>
  <si>
    <t>BATCH10141</t>
  </si>
  <si>
    <t>BATCH10140</t>
  </si>
  <si>
    <t>BATCH10139</t>
  </si>
  <si>
    <t>BATCH10138</t>
  </si>
  <si>
    <t>BATCH10131</t>
  </si>
  <si>
    <t>BATCH10136</t>
  </si>
  <si>
    <t>BATCH10129</t>
  </si>
  <si>
    <t>BATCH10128</t>
  </si>
  <si>
    <t>BATCH10127</t>
  </si>
  <si>
    <t>WIP Byproduct Return</t>
  </si>
  <si>
    <t>Assembly return</t>
  </si>
  <si>
    <t>BATCH10137</t>
  </si>
  <si>
    <t>BATCH10126</t>
  </si>
  <si>
    <t>BATCH10133</t>
  </si>
  <si>
    <t>BATCH10130</t>
  </si>
  <si>
    <t>BATCH10135</t>
  </si>
  <si>
    <t>BATCH10125</t>
  </si>
  <si>
    <t>BATCH10134</t>
  </si>
  <si>
    <t>BATCH10124</t>
  </si>
  <si>
    <t>BATCH10123</t>
  </si>
  <si>
    <t>BATCH10132</t>
  </si>
  <si>
    <t>BATCH10121</t>
  </si>
  <si>
    <t>BATCH10120</t>
  </si>
  <si>
    <t>BATCH10119</t>
  </si>
  <si>
    <t>BATCH10118</t>
  </si>
  <si>
    <t>BATCH10117</t>
  </si>
  <si>
    <t>BATCH10116</t>
  </si>
  <si>
    <t>BATCH10122</t>
  </si>
  <si>
    <t>BATCH10115</t>
  </si>
  <si>
    <t>BATCH10114</t>
  </si>
  <si>
    <t>BATCH10113</t>
  </si>
  <si>
    <t>BATCH10111</t>
  </si>
  <si>
    <t>BATCH10110</t>
  </si>
  <si>
    <t>BATCH10109</t>
  </si>
  <si>
    <t>BATCH10112</t>
  </si>
  <si>
    <t>BATCH10108</t>
  </si>
  <si>
    <t>BATCH10107</t>
  </si>
  <si>
    <t>BATCH10106</t>
  </si>
  <si>
    <t>BATCH10105</t>
  </si>
  <si>
    <t>BATCH10104</t>
  </si>
  <si>
    <t>BATCH10103</t>
  </si>
  <si>
    <t>BATCH10102</t>
  </si>
  <si>
    <t>BATCH10101</t>
  </si>
  <si>
    <t>BATCH10100</t>
  </si>
  <si>
    <t>BATCH10097</t>
  </si>
  <si>
    <t>BATCH10096</t>
  </si>
  <si>
    <t>BATCH10099</t>
  </si>
  <si>
    <t>BATCH10098</t>
  </si>
  <si>
    <t>BATCH10093</t>
  </si>
  <si>
    <t>BATCH10095</t>
  </si>
  <si>
    <t>BATCH10094</t>
  </si>
  <si>
    <t>BATCH10089</t>
  </si>
  <si>
    <t>BATCH10090</t>
  </si>
  <si>
    <t>BATCH10088</t>
  </si>
  <si>
    <t>BATCH10092</t>
  </si>
  <si>
    <t>BATCH10091</t>
  </si>
  <si>
    <t>BATCH10087</t>
  </si>
  <si>
    <t>BATCH10086</t>
  </si>
  <si>
    <t>BATCH10085</t>
  </si>
  <si>
    <t>BATCH10084</t>
  </si>
  <si>
    <t>BATCH10083</t>
  </si>
  <si>
    <t>BATCH10082</t>
  </si>
  <si>
    <t>BATCH10081</t>
  </si>
  <si>
    <t>BATCH10080</t>
  </si>
  <si>
    <t>BATCH10079</t>
  </si>
  <si>
    <t>BATCH10078</t>
  </si>
  <si>
    <t>BATCH10077</t>
  </si>
  <si>
    <t>BATCH10076</t>
  </si>
  <si>
    <t>BATCH10075</t>
  </si>
  <si>
    <t>BATCH10074</t>
  </si>
  <si>
    <t>BATCH10073</t>
  </si>
  <si>
    <t>BATCH10072</t>
  </si>
  <si>
    <t>BATCH10070</t>
  </si>
  <si>
    <t>BATCH10071</t>
  </si>
  <si>
    <t>BATCH10069</t>
  </si>
  <si>
    <t>BATCH10065</t>
  </si>
  <si>
    <t>BATCH10064</t>
  </si>
  <si>
    <t>BATCH10068</t>
  </si>
  <si>
    <t>BATCH10067</t>
  </si>
  <si>
    <t>BATCH10066</t>
  </si>
  <si>
    <t>BATCH10063</t>
  </si>
  <si>
    <t>BATCH10062</t>
  </si>
  <si>
    <t>BATCH10061</t>
  </si>
  <si>
    <t>BATCH10060</t>
  </si>
  <si>
    <t>BATCH10059</t>
  </si>
  <si>
    <t>BATCH10058</t>
  </si>
  <si>
    <t>BATCH10057</t>
  </si>
  <si>
    <t>BATCH10054</t>
  </si>
  <si>
    <t>BATCH10056</t>
  </si>
  <si>
    <t>BATCH10055</t>
  </si>
  <si>
    <t>BATCH10053</t>
  </si>
  <si>
    <t>BATCH10052</t>
  </si>
  <si>
    <t>BATCH10051</t>
  </si>
  <si>
    <t>BATCH10050</t>
  </si>
  <si>
    <t>BATCH10049</t>
  </si>
  <si>
    <t>BATCH10044</t>
  </si>
  <si>
    <t>BATCH10048</t>
  </si>
  <si>
    <t>BATCH10043</t>
  </si>
  <si>
    <t>BATCH10047</t>
  </si>
  <si>
    <t>BATCH10042</t>
  </si>
  <si>
    <t>BATCH10046</t>
  </si>
  <si>
    <t>BATCH10041</t>
  </si>
  <si>
    <t>BATCH10040</t>
  </si>
  <si>
    <t>BATCH10045</t>
  </si>
  <si>
    <t>BATCH10039</t>
  </si>
  <si>
    <t>BATCH10038</t>
  </si>
  <si>
    <t>BATCH10037</t>
  </si>
  <si>
    <t>BATCH10036</t>
  </si>
  <si>
    <t>BATCH10035</t>
  </si>
  <si>
    <t>BATCH10034</t>
  </si>
  <si>
    <t>BATCH10033</t>
  </si>
  <si>
    <t>BATCH10032</t>
  </si>
  <si>
    <t>BATCH10031</t>
  </si>
  <si>
    <t>BATCH10030</t>
  </si>
  <si>
    <t>BATCH10029</t>
  </si>
  <si>
    <t>BATCH10028</t>
  </si>
  <si>
    <t>BATCH10026</t>
  </si>
  <si>
    <t>BATCH10027</t>
  </si>
  <si>
    <t>BATCH10018</t>
  </si>
  <si>
    <t>BATCH10025</t>
  </si>
  <si>
    <t>BATCH10024</t>
  </si>
  <si>
    <t>BATCH10023</t>
  </si>
  <si>
    <t>BATCH10022</t>
  </si>
  <si>
    <t>BATCH10019</t>
  </si>
  <si>
    <t>BATCH10017</t>
  </si>
  <si>
    <t>BATCH10016</t>
  </si>
  <si>
    <t>BATCH10015</t>
  </si>
  <si>
    <t>BATCH10014</t>
  </si>
  <si>
    <t>BATCH10021</t>
  </si>
  <si>
    <t>BATCH10020</t>
  </si>
  <si>
    <t>BATCH10013</t>
  </si>
  <si>
    <t>BATCH10012</t>
  </si>
  <si>
    <t>BATCH10011</t>
  </si>
  <si>
    <t>BATCH10010</t>
  </si>
  <si>
    <t>BATCH10009</t>
  </si>
  <si>
    <t>BATCH10006</t>
  </si>
  <si>
    <t>BATCH10005</t>
  </si>
  <si>
    <t>BATCH10008</t>
  </si>
  <si>
    <t>BATCH10007</t>
  </si>
  <si>
    <t>BATCH10004</t>
  </si>
  <si>
    <t>BATCH10003</t>
  </si>
  <si>
    <t>BATCH10002</t>
  </si>
  <si>
    <t>BATCH10001</t>
  </si>
  <si>
    <t>BATCH10000</t>
  </si>
  <si>
    <t>BATCH9999</t>
  </si>
  <si>
    <t>BATCH9998</t>
  </si>
  <si>
    <t>BATCH9997</t>
  </si>
  <si>
    <t>BATCH9996</t>
  </si>
  <si>
    <t>BATCH9991</t>
  </si>
  <si>
    <t>BATCH9995</t>
  </si>
  <si>
    <t>BATCH9994</t>
  </si>
  <si>
    <t>BATCH9993</t>
  </si>
  <si>
    <t>BATCH9992</t>
  </si>
  <si>
    <t>BATCH9990</t>
  </si>
  <si>
    <t>BATCH9989</t>
  </si>
  <si>
    <t>BATCH9988</t>
  </si>
  <si>
    <t>BATCH9987</t>
  </si>
  <si>
    <t>BATCH9986</t>
  </si>
  <si>
    <t>BATCH9985</t>
  </si>
  <si>
    <t>BATCH9984</t>
  </si>
  <si>
    <t>BATCH9982</t>
  </si>
  <si>
    <t>BATCH9981</t>
  </si>
  <si>
    <t>BATCH9980</t>
  </si>
  <si>
    <t>BATCH9979</t>
  </si>
  <si>
    <t>BATCH9983</t>
  </si>
  <si>
    <t>BATCH9978</t>
  </si>
  <si>
    <t>BATCH9976</t>
  </si>
  <si>
    <t>BATCH9977</t>
  </si>
  <si>
    <t>BATCH9975</t>
  </si>
  <si>
    <t>BATCH9973</t>
  </si>
  <si>
    <t>BATCH9972</t>
  </si>
  <si>
    <t>BATCH9974</t>
  </si>
  <si>
    <t>BATCH9970</t>
  </si>
  <si>
    <t>BATCH9969</t>
  </si>
  <si>
    <t>BATCH9968</t>
  </si>
  <si>
    <t>BATCH9967</t>
  </si>
  <si>
    <t>BATCH9971</t>
  </si>
  <si>
    <t>BATCH9966</t>
  </si>
  <si>
    <t>BATCH9965</t>
  </si>
  <si>
    <t>BATCH9964</t>
  </si>
  <si>
    <t>BATCH9963</t>
  </si>
  <si>
    <t>BATCH9962</t>
  </si>
  <si>
    <t>BATCH9961</t>
  </si>
  <si>
    <t>BATCH9960</t>
  </si>
  <si>
    <t>BATCH9957</t>
  </si>
  <si>
    <t>BATCH9956</t>
  </si>
  <si>
    <t>BATCH9959</t>
  </si>
  <si>
    <t>BATCH9958</t>
  </si>
  <si>
    <t>BATCH9952</t>
  </si>
  <si>
    <t>BATCH9955</t>
  </si>
  <si>
    <t>BATCH9954</t>
  </si>
  <si>
    <t>BATCH9953</t>
  </si>
  <si>
    <t>BATCH9949</t>
  </si>
  <si>
    <t>BATCH9951</t>
  </si>
  <si>
    <t>BATCH9948</t>
  </si>
  <si>
    <t>BATCH9947</t>
  </si>
  <si>
    <t>BATCH9950</t>
  </si>
  <si>
    <t>BATCH9945</t>
  </si>
  <si>
    <t>BATCH9944</t>
  </si>
  <si>
    <t>BATCH9943</t>
  </si>
  <si>
    <t>BATCH9942</t>
  </si>
  <si>
    <t>BATCH9946</t>
  </si>
  <si>
    <t>BATCH9941</t>
  </si>
  <si>
    <t>BATCH9932</t>
  </si>
  <si>
    <t>BATCH9935</t>
  </si>
  <si>
    <t>BATCH9940</t>
  </si>
  <si>
    <t>BATCH9939</t>
  </si>
  <si>
    <t>BATCH9938</t>
  </si>
  <si>
    <t>BATCH9937</t>
  </si>
  <si>
    <t>BATCH9934</t>
  </si>
  <si>
    <t>BATCH9933</t>
  </si>
  <si>
    <t>BATCH9930</t>
  </si>
  <si>
    <t>BATCH9931</t>
  </si>
  <si>
    <t>BATCH9936</t>
  </si>
  <si>
    <t>BATCH9927</t>
  </si>
  <si>
    <t>BATCH9929</t>
  </si>
  <si>
    <t>BATCH9923</t>
  </si>
  <si>
    <t>BATCH9926</t>
  </si>
  <si>
    <t>BATCH9925</t>
  </si>
  <si>
    <t>BATCH9924</t>
  </si>
  <si>
    <t>BATCH9922</t>
  </si>
  <si>
    <t>BATCH9921</t>
  </si>
  <si>
    <t>BATCH9920</t>
  </si>
  <si>
    <t>BATCH9919</t>
  </si>
  <si>
    <t>BATCH9928</t>
  </si>
  <si>
    <t>BATCH9918</t>
  </si>
  <si>
    <t>BATCH9917</t>
  </si>
  <si>
    <t>BATCH9916</t>
  </si>
  <si>
    <t>BATCH9915</t>
  </si>
  <si>
    <t>BATCH9914</t>
  </si>
  <si>
    <t>BATCH9913</t>
  </si>
  <si>
    <t>BATCH9908</t>
  </si>
  <si>
    <t>BATCH9907</t>
  </si>
  <si>
    <t>BATCH9906</t>
  </si>
  <si>
    <t>BATCH9905</t>
  </si>
  <si>
    <t>BATCH9912</t>
  </si>
  <si>
    <t>BATCH9911</t>
  </si>
  <si>
    <t>BATCH9910</t>
  </si>
  <si>
    <t>BATCH9909</t>
  </si>
  <si>
    <t>BATCH9904</t>
  </si>
  <si>
    <t>BATCH9903</t>
  </si>
  <si>
    <t>BATCH9902</t>
  </si>
  <si>
    <t>BATCH9901</t>
  </si>
  <si>
    <t>BATCH9900</t>
  </si>
  <si>
    <t>BATCH9899</t>
  </si>
  <si>
    <t>BATCH9898</t>
  </si>
  <si>
    <t>BATCH9897</t>
  </si>
  <si>
    <t>BATCH9896</t>
  </si>
  <si>
    <t>BATCH9894</t>
  </si>
  <si>
    <t>BATCH9895</t>
  </si>
  <si>
    <t>BATCH9892</t>
  </si>
  <si>
    <t>BATCH9891</t>
  </si>
  <si>
    <t>BATCH9890</t>
  </si>
  <si>
    <t>BATCH9889</t>
  </si>
  <si>
    <t>BATCH9893</t>
  </si>
  <si>
    <t>BATCH9886</t>
  </si>
  <si>
    <t>BATCH9885</t>
  </si>
  <si>
    <t>BATCH9887</t>
  </si>
  <si>
    <t>BATCH9888</t>
  </si>
  <si>
    <t>BATCH9884</t>
  </si>
  <si>
    <t>BATCH9883</t>
  </si>
  <si>
    <t>BATCH9882</t>
  </si>
  <si>
    <t>BATCH9881</t>
  </si>
  <si>
    <t>BATCH9880</t>
  </si>
  <si>
    <t>BATCH9879</t>
  </si>
  <si>
    <t>BATCH9878</t>
  </si>
  <si>
    <t>BATCH9877</t>
  </si>
  <si>
    <t>BATCH9872</t>
  </si>
  <si>
    <t>BATCH9871</t>
  </si>
  <si>
    <t>BATCH9870</t>
  </si>
  <si>
    <t>BATCH9873</t>
  </si>
  <si>
    <t>BATCH9876</t>
  </si>
  <si>
    <t>BATCH9875</t>
  </si>
  <si>
    <t>BATCH9874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</si>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</sst>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;@"/>
    <numFmt numFmtId="165" formatCode="@&quot; Production&quot;"/>
    <numFmt numFmtId="166" formatCode="@&quot; Balance&quot;"/>
  </numFmts>
  <fonts count="72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rgb="FF000000"/>
      <name val="Cambria"/>
      <family val="1"/>
    </font>
    <font>
      <b/>
      <sz val="11"/>
      <color rgb="FF000000"/>
      <name val="Calibri"/>
      <family val="2"/>
      <scheme val="minor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color rgb="FF000000"/>
      <name val="Cambria"/>
      <family val="1"/>
    </font>
    <font>
      <b/>
      <sz val="8"/>
      <color rgb="FF000000"/>
      <name val="Courier New"/>
      <family val="3"/>
    </font>
    <font>
      <sz val="11"/>
      <color rgb="FF80808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Cambria"/>
      <family val="1"/>
    </font>
    <font>
      <b/>
      <sz val="9"/>
      <color rgb="FF000000"/>
      <name val="Cambria"/>
      <family val="1"/>
    </font>
    <font>
      <sz val="8"/>
      <name val="Calibri"/>
      <charset val="134"/>
      <scheme val="minor"/>
    </font>
    <font>
      <sz val="1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03">
    <xf numFmtId="0" fontId="0" fillId="0" borderId="0"/>
    <xf numFmtId="0" fontId="53" fillId="0" borderId="0" applyNumberFormat="0" applyFill="0" applyBorder="0" applyAlignment="0" applyProtection="0"/>
    <xf numFmtId="0" fontId="54" fillId="0" borderId="14" applyNumberFormat="0" applyFill="0" applyAlignment="0" applyProtection="0"/>
    <xf numFmtId="0" fontId="55" fillId="0" borderId="15" applyNumberFormat="0" applyFill="0" applyAlignment="0" applyProtection="0"/>
    <xf numFmtId="0" fontId="56" fillId="0" borderId="16" applyNumberFormat="0" applyFill="0" applyAlignment="0" applyProtection="0"/>
    <xf numFmtId="0" fontId="56" fillId="0" borderId="0" applyNumberFormat="0" applyFill="0" applyBorder="0" applyAlignment="0" applyProtection="0"/>
    <xf numFmtId="0" fontId="57" fillId="17" borderId="0" applyNumberFormat="0" applyBorder="0" applyAlignment="0" applyProtection="0"/>
    <xf numFmtId="0" fontId="58" fillId="18" borderId="0" applyNumberFormat="0" applyBorder="0" applyAlignment="0" applyProtection="0"/>
    <xf numFmtId="0" fontId="59" fillId="19" borderId="0" applyNumberFormat="0" applyBorder="0" applyAlignment="0" applyProtection="0"/>
    <xf numFmtId="0" fontId="60" fillId="20" borderId="17" applyNumberFormat="0" applyAlignment="0" applyProtection="0"/>
    <xf numFmtId="0" fontId="61" fillId="21" borderId="18" applyNumberFormat="0" applyAlignment="0" applyProtection="0"/>
    <xf numFmtId="0" fontId="62" fillId="21" borderId="17" applyNumberFormat="0" applyAlignment="0" applyProtection="0"/>
    <xf numFmtId="0" fontId="63" fillId="0" borderId="19" applyNumberFormat="0" applyFill="0" applyAlignment="0" applyProtection="0"/>
    <xf numFmtId="0" fontId="64" fillId="22" borderId="20" applyNumberFormat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36" fillId="0" borderId="22" applyNumberFormat="0" applyFill="0" applyAlignment="0" applyProtection="0"/>
    <xf numFmtId="0" fontId="67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67" fillId="28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1" borderId="0" applyNumberFormat="0" applyBorder="0" applyAlignment="0" applyProtection="0"/>
    <xf numFmtId="0" fontId="67" fillId="32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5" borderId="0" applyNumberFormat="0" applyBorder="0" applyAlignment="0" applyProtection="0"/>
    <xf numFmtId="0" fontId="67" fillId="36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67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67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0" borderId="0"/>
    <xf numFmtId="0" fontId="30" fillId="23" borderId="21" applyNumberFormat="0" applyFont="0" applyAlignment="0" applyProtection="0"/>
    <xf numFmtId="0" fontId="29" fillId="0" borderId="0"/>
    <xf numFmtId="0" fontId="29" fillId="23" borderId="21" applyNumberFormat="0" applyFont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NumberFormat="0" applyBorder="0" applyAlignment="0" applyProtection="0"/>
    <xf numFmtId="0" fontId="29" fillId="39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NumberFormat="0" applyBorder="0" applyAlignment="0" applyProtection="0"/>
    <xf numFmtId="0" fontId="29" fillId="43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NumberFormat="0" applyBorder="0" applyAlignment="0" applyProtection="0"/>
    <xf numFmtId="0" fontId="29" fillId="47" borderId="0" applyNumberFormat="0" applyBorder="0" applyAlignment="0" applyProtection="0"/>
    <xf numFmtId="0" fontId="28" fillId="0" borderId="0"/>
    <xf numFmtId="0" fontId="28" fillId="23" borderId="21" applyNumberFormat="0" applyFont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7" borderId="0" applyNumberFormat="0" applyBorder="0" applyAlignment="0" applyProtection="0"/>
    <xf numFmtId="0" fontId="28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41" borderId="0" applyNumberFormat="0" applyBorder="0" applyAlignment="0" applyProtection="0"/>
    <xf numFmtId="0" fontId="28" fillId="42" borderId="0" applyNumberFormat="0" applyBorder="0" applyAlignment="0" applyProtection="0"/>
    <xf numFmtId="0" fontId="28" fillId="43" borderId="0" applyNumberFormat="0" applyBorder="0" applyAlignment="0" applyProtection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0" fontId="28" fillId="47" borderId="0" applyNumberFormat="0" applyBorder="0" applyAlignment="0" applyProtection="0"/>
    <xf numFmtId="0" fontId="27" fillId="0" borderId="0"/>
    <xf numFmtId="0" fontId="27" fillId="23" borderId="21" applyNumberFormat="0" applyFont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27" fillId="39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6" fillId="0" borderId="0"/>
    <xf numFmtId="0" fontId="26" fillId="23" borderId="21" applyNumberFormat="0" applyFont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45" borderId="0" applyNumberFormat="0" applyBorder="0" applyAlignment="0" applyProtection="0"/>
    <xf numFmtId="0" fontId="26" fillId="46" borderId="0" applyNumberFormat="0" applyBorder="0" applyAlignment="0" applyProtection="0"/>
    <xf numFmtId="0" fontId="26" fillId="47" borderId="0" applyNumberFormat="0" applyBorder="0" applyAlignment="0" applyProtection="0"/>
    <xf numFmtId="0" fontId="25" fillId="0" borderId="0"/>
    <xf numFmtId="0" fontId="25" fillId="23" borderId="21" applyNumberFormat="0" applyFont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4" fillId="0" borderId="0"/>
    <xf numFmtId="0" fontId="24" fillId="23" borderId="21" applyNumberFormat="0" applyFont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3" fillId="0" borderId="0"/>
    <xf numFmtId="0" fontId="23" fillId="23" borderId="21" applyNumberFormat="0" applyFont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2" fillId="0" borderId="0"/>
    <xf numFmtId="0" fontId="22" fillId="23" borderId="21" applyNumberFormat="0" applyFont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1" fillId="0" borderId="0"/>
    <xf numFmtId="0" fontId="21" fillId="23" borderId="2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0" fillId="0" borderId="0"/>
    <xf numFmtId="0" fontId="20" fillId="23" borderId="2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19" fillId="0" borderId="0"/>
    <xf numFmtId="0" fontId="19" fillId="23" borderId="2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2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2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6" fillId="0" borderId="0"/>
    <xf numFmtId="0" fontId="16" fillId="23" borderId="2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5" fillId="0" borderId="0"/>
    <xf numFmtId="0" fontId="15" fillId="23" borderId="2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2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3" fillId="0" borderId="0"/>
    <xf numFmtId="0" fontId="13" fillId="23" borderId="2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1" fillId="0" borderId="0"/>
    <xf numFmtId="0" fontId="11" fillId="23" borderId="2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0" fillId="0" borderId="0"/>
    <xf numFmtId="0" fontId="10" fillId="23" borderId="2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9" fillId="0" borderId="0"/>
    <xf numFmtId="0" fontId="9" fillId="23" borderId="2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8" fillId="0" borderId="0"/>
    <xf numFmtId="0" fontId="8" fillId="23" borderId="2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7" fillId="0" borderId="0"/>
    <xf numFmtId="0" fontId="7" fillId="23" borderId="2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6" fillId="0" borderId="0"/>
    <xf numFmtId="0" fontId="6" fillId="23" borderId="2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5" fillId="0" borderId="0"/>
    <xf numFmtId="0" fontId="5" fillId="23" borderId="21" applyNumberFormat="0" applyFont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3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7" borderId="0" applyNumberFormat="0" applyBorder="0" applyAlignment="0" applyProtection="0"/>
    <xf numFmtId="0" fontId="4" fillId="0" borderId="0"/>
    <xf numFmtId="0" fontId="4" fillId="23" borderId="21" applyNumberFormat="0" applyFont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3" fillId="0" borderId="0"/>
    <xf numFmtId="0" fontId="3" fillId="23" borderId="21" applyNumberFormat="0" applyFont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2" fillId="0" borderId="0"/>
    <xf numFmtId="0" fontId="2" fillId="23" borderId="21" applyNumberFormat="0" applyFont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1" fillId="0" borderId="0"/>
    <xf numFmtId="0" fontId="1" fillId="23" borderId="21" applyNumberFormat="0" applyFont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</cellStyleXfs>
  <cellXfs count="178">
    <xf numFmtId="0" fontId="0" fillId="0" borderId="0" xfId="0"/>
    <xf numFmtId="164" fontId="36" fillId="0" borderId="0" xfId="0" applyNumberFormat="1" applyFont="1" applyAlignment="1">
      <alignment horizontal="left"/>
    </xf>
    <xf numFmtId="0" fontId="33" fillId="2" borderId="1" xfId="0" applyFont="1" applyFill="1" applyBorder="1" applyAlignment="1">
      <alignment horizontal="center"/>
    </xf>
    <xf numFmtId="0" fontId="32" fillId="3" borderId="0" xfId="0" applyFont="1" applyFill="1" applyAlignment="1">
      <alignment vertical="top"/>
    </xf>
    <xf numFmtId="0" fontId="32" fillId="4" borderId="0" xfId="0" applyFont="1" applyFill="1" applyAlignment="1">
      <alignment vertical="top"/>
    </xf>
    <xf numFmtId="0" fontId="32" fillId="5" borderId="0" xfId="0" applyFont="1" applyFill="1" applyAlignment="1">
      <alignment vertical="top"/>
    </xf>
    <xf numFmtId="0" fontId="32" fillId="6" borderId="0" xfId="0" applyFont="1" applyFill="1" applyAlignment="1">
      <alignment vertical="top"/>
    </xf>
    <xf numFmtId="0" fontId="32" fillId="0" borderId="0" xfId="0" applyFont="1" applyAlignment="1">
      <alignment vertical="top"/>
    </xf>
    <xf numFmtId="0" fontId="35" fillId="2" borderId="2" xfId="0" applyFont="1" applyFill="1" applyBorder="1" applyAlignment="1">
      <alignment horizontal="center"/>
    </xf>
    <xf numFmtId="0" fontId="35" fillId="2" borderId="3" xfId="0" applyFont="1" applyFill="1" applyBorder="1" applyAlignment="1">
      <alignment horizontal="left"/>
    </xf>
    <xf numFmtId="0" fontId="33" fillId="2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vertical="top" wrapText="1"/>
    </xf>
    <xf numFmtId="0" fontId="0" fillId="0" borderId="3" xfId="0" applyBorder="1"/>
    <xf numFmtId="165" fontId="0" fillId="0" borderId="3" xfId="0" applyNumberFormat="1" applyBorder="1"/>
    <xf numFmtId="166" fontId="0" fillId="0" borderId="3" xfId="0" applyNumberFormat="1" applyBorder="1"/>
    <xf numFmtId="0" fontId="38" fillId="2" borderId="3" xfId="0" applyFont="1" applyFill="1" applyBorder="1" applyAlignment="1">
      <alignment vertical="top"/>
    </xf>
    <xf numFmtId="0" fontId="0" fillId="7" borderId="3" xfId="0" applyFill="1" applyBorder="1"/>
    <xf numFmtId="0" fontId="0" fillId="3" borderId="0" xfId="0" applyFill="1"/>
    <xf numFmtId="164" fontId="0" fillId="3" borderId="0" xfId="0" applyNumberFormat="1" applyFill="1"/>
    <xf numFmtId="0" fontId="36" fillId="3" borderId="0" xfId="0" applyFont="1" applyFill="1"/>
    <xf numFmtId="0" fontId="0" fillId="0" borderId="7" xfId="0" applyBorder="1"/>
    <xf numFmtId="0" fontId="43" fillId="8" borderId="0" xfId="0" applyFont="1" applyFill="1"/>
    <xf numFmtId="0" fontId="31" fillId="9" borderId="1" xfId="0" applyFont="1" applyFill="1" applyBorder="1" applyAlignment="1">
      <alignment vertical="top" wrapText="1"/>
    </xf>
    <xf numFmtId="0" fontId="31" fillId="9" borderId="1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vertical="top" wrapText="1"/>
    </xf>
    <xf numFmtId="0" fontId="44" fillId="9" borderId="2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top" wrapText="1"/>
    </xf>
    <xf numFmtId="0" fontId="31" fillId="10" borderId="3" xfId="0" applyFont="1" applyFill="1" applyBorder="1" applyAlignment="1">
      <alignment horizontal="center" vertical="top" wrapText="1"/>
    </xf>
    <xf numFmtId="0" fontId="31" fillId="9" borderId="9" xfId="0" applyFont="1" applyFill="1" applyBorder="1" applyAlignment="1">
      <alignment vertical="top" wrapText="1"/>
    </xf>
    <xf numFmtId="0" fontId="31" fillId="0" borderId="10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46" fillId="0" borderId="3" xfId="0" applyFont="1" applyBorder="1"/>
    <xf numFmtId="0" fontId="44" fillId="9" borderId="1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top" wrapText="1"/>
    </xf>
    <xf numFmtId="0" fontId="31" fillId="10" borderId="1" xfId="0" applyFont="1" applyFill="1" applyBorder="1" applyAlignment="1">
      <alignment horizontal="center" vertical="top" wrapText="1"/>
    </xf>
    <xf numFmtId="0" fontId="31" fillId="11" borderId="3" xfId="0" applyFont="1" applyFill="1" applyBorder="1" applyAlignment="1">
      <alignment horizontal="center" vertical="top" wrapText="1"/>
    </xf>
    <xf numFmtId="0" fontId="31" fillId="12" borderId="3" xfId="0" applyFont="1" applyFill="1" applyBorder="1" applyAlignment="1">
      <alignment horizontal="center" vertical="top" wrapText="1"/>
    </xf>
    <xf numFmtId="0" fontId="31" fillId="9" borderId="3" xfId="0" applyFont="1" applyFill="1" applyBorder="1" applyAlignment="1">
      <alignment vertical="top" wrapText="1"/>
    </xf>
    <xf numFmtId="0" fontId="31" fillId="11" borderId="1" xfId="0" applyFont="1" applyFill="1" applyBorder="1" applyAlignment="1">
      <alignment horizontal="center" vertical="top" wrapText="1"/>
    </xf>
    <xf numFmtId="0" fontId="31" fillId="12" borderId="1" xfId="0" applyFont="1" applyFill="1" applyBorder="1" applyAlignment="1">
      <alignment horizontal="center" vertical="top" wrapText="1"/>
    </xf>
    <xf numFmtId="0" fontId="31" fillId="9" borderId="2" xfId="0" applyFont="1" applyFill="1" applyBorder="1" applyAlignment="1">
      <alignment horizontal="center" vertical="center" wrapText="1"/>
    </xf>
    <xf numFmtId="0" fontId="31" fillId="2" borderId="10" xfId="0" applyFont="1" applyFill="1" applyBorder="1" applyAlignment="1">
      <alignment horizontal="center" vertical="center" wrapText="1"/>
    </xf>
    <xf numFmtId="0" fontId="0" fillId="13" borderId="3" xfId="0" applyFill="1" applyBorder="1"/>
    <xf numFmtId="15" fontId="0" fillId="4" borderId="3" xfId="0" applyNumberFormat="1" applyFill="1" applyBorder="1"/>
    <xf numFmtId="0" fontId="36" fillId="10" borderId="3" xfId="0" applyFont="1" applyFill="1" applyBorder="1"/>
    <xf numFmtId="0" fontId="31" fillId="2" borderId="2" xfId="0" applyFont="1" applyFill="1" applyBorder="1" applyAlignment="1">
      <alignment horizontal="center" vertical="center" wrapText="1"/>
    </xf>
    <xf numFmtId="0" fontId="46" fillId="14" borderId="3" xfId="0" applyFont="1" applyFill="1" applyBorder="1"/>
    <xf numFmtId="0" fontId="43" fillId="14" borderId="3" xfId="0" applyFont="1" applyFill="1" applyBorder="1"/>
    <xf numFmtId="0" fontId="43" fillId="10" borderId="3" xfId="0" applyFont="1" applyFill="1" applyBorder="1"/>
    <xf numFmtId="15" fontId="0" fillId="0" borderId="0" xfId="0" applyNumberFormat="1"/>
    <xf numFmtId="0" fontId="31" fillId="9" borderId="3" xfId="0" applyFont="1" applyFill="1" applyBorder="1" applyAlignment="1">
      <alignment horizontal="center" vertical="top" wrapText="1"/>
    </xf>
    <xf numFmtId="0" fontId="36" fillId="12" borderId="3" xfId="0" applyFont="1" applyFill="1" applyBorder="1"/>
    <xf numFmtId="0" fontId="47" fillId="0" borderId="3" xfId="0" applyFont="1" applyBorder="1"/>
    <xf numFmtId="0" fontId="43" fillId="12" borderId="3" xfId="0" applyFont="1" applyFill="1" applyBorder="1"/>
    <xf numFmtId="0" fontId="0" fillId="15" borderId="3" xfId="0" applyFill="1" applyBorder="1"/>
    <xf numFmtId="0" fontId="34" fillId="9" borderId="4" xfId="0" applyFont="1" applyFill="1" applyBorder="1" applyAlignment="1">
      <alignment horizontal="center" vertical="top" wrapText="1"/>
    </xf>
    <xf numFmtId="0" fontId="33" fillId="9" borderId="4" xfId="0" applyFont="1" applyFill="1" applyBorder="1" applyAlignment="1">
      <alignment horizontal="center" vertical="top" wrapText="1"/>
    </xf>
    <xf numFmtId="15" fontId="48" fillId="2" borderId="4" xfId="0" applyNumberFormat="1" applyFont="1" applyFill="1" applyBorder="1" applyAlignment="1">
      <alignment vertical="top" wrapText="1"/>
    </xf>
    <xf numFmtId="0" fontId="48" fillId="2" borderId="4" xfId="0" applyFont="1" applyFill="1" applyBorder="1" applyAlignment="1">
      <alignment vertical="top" wrapText="1"/>
    </xf>
    <xf numFmtId="0" fontId="48" fillId="2" borderId="4" xfId="0" applyFont="1" applyFill="1" applyBorder="1" applyAlignment="1">
      <alignment horizontal="right" vertical="top" wrapText="1"/>
    </xf>
    <xf numFmtId="0" fontId="33" fillId="2" borderId="4" xfId="0" applyFont="1" applyFill="1" applyBorder="1" applyAlignment="1">
      <alignment horizontal="right" vertical="top" wrapText="1"/>
    </xf>
    <xf numFmtId="0" fontId="34" fillId="16" borderId="4" xfId="0" applyFont="1" applyFill="1" applyBorder="1" applyAlignment="1">
      <alignment horizontal="center" vertical="top" wrapText="1"/>
    </xf>
    <xf numFmtId="15" fontId="48" fillId="2" borderId="4" xfId="0" applyNumberFormat="1" applyFont="1" applyFill="1" applyBorder="1" applyAlignment="1">
      <alignment wrapText="1"/>
    </xf>
    <xf numFmtId="0" fontId="48" fillId="2" borderId="4" xfId="0" applyFont="1" applyFill="1" applyBorder="1" applyAlignment="1">
      <alignment wrapText="1"/>
    </xf>
    <xf numFmtId="0" fontId="34" fillId="2" borderId="10" xfId="0" applyFont="1" applyFill="1" applyBorder="1" applyAlignment="1">
      <alignment vertical="top" wrapText="1"/>
    </xf>
    <xf numFmtId="0" fontId="0" fillId="2" borderId="13" xfId="0" applyFill="1" applyBorder="1" applyAlignment="1">
      <alignment vertical="top" wrapText="1"/>
    </xf>
    <xf numFmtId="0" fontId="34" fillId="2" borderId="4" xfId="0" applyFont="1" applyFill="1" applyBorder="1" applyAlignment="1">
      <alignment horizontal="right" vertical="top" wrapText="1"/>
    </xf>
    <xf numFmtId="0" fontId="33" fillId="16" borderId="1" xfId="0" applyFont="1" applyFill="1" applyBorder="1" applyAlignment="1">
      <alignment horizontal="center" wrapText="1"/>
    </xf>
    <xf numFmtId="0" fontId="33" fillId="16" borderId="8" xfId="0" applyFont="1" applyFill="1" applyBorder="1" applyAlignment="1">
      <alignment horizontal="center" wrapText="1"/>
    </xf>
    <xf numFmtId="15" fontId="32" fillId="2" borderId="4" xfId="0" applyNumberFormat="1" applyFont="1" applyFill="1" applyBorder="1" applyAlignment="1">
      <alignment horizontal="center" wrapText="1"/>
    </xf>
    <xf numFmtId="0" fontId="48" fillId="2" borderId="4" xfId="0" applyFont="1" applyFill="1" applyBorder="1" applyAlignment="1">
      <alignment horizontal="center" wrapText="1"/>
    </xf>
    <xf numFmtId="0" fontId="38" fillId="0" borderId="0" xfId="0" applyFont="1"/>
    <xf numFmtId="0" fontId="35" fillId="0" borderId="0" xfId="0" applyFont="1" applyAlignment="1">
      <alignment vertical="top"/>
    </xf>
    <xf numFmtId="22" fontId="0" fillId="0" borderId="0" xfId="0" applyNumberFormat="1"/>
    <xf numFmtId="0" fontId="12" fillId="0" borderId="0" xfId="0" applyFont="1"/>
    <xf numFmtId="0" fontId="0" fillId="48" borderId="0" xfId="0" applyFill="1"/>
    <xf numFmtId="0" fontId="12" fillId="48" borderId="0" xfId="0" applyFont="1" applyFill="1"/>
    <xf numFmtId="0" fontId="0" fillId="49" borderId="0" xfId="0" applyFill="1"/>
    <xf numFmtId="0" fontId="0" fillId="13" borderId="0" xfId="0" applyFill="1"/>
    <xf numFmtId="0" fontId="12" fillId="13" borderId="0" xfId="0" applyFont="1" applyFill="1"/>
    <xf numFmtId="0" fontId="0" fillId="50" borderId="0" xfId="0" applyFill="1"/>
    <xf numFmtId="0" fontId="12" fillId="50" borderId="0" xfId="0" applyFont="1" applyFill="1"/>
    <xf numFmtId="0" fontId="39" fillId="0" borderId="0" xfId="0" applyFont="1" applyAlignment="1">
      <alignment horizontal="center" wrapText="1"/>
    </xf>
    <xf numFmtId="0" fontId="0" fillId="0" borderId="0" xfId="0"/>
    <xf numFmtId="0" fontId="40" fillId="0" borderId="0" xfId="0" applyFont="1" applyAlignment="1">
      <alignment horizontal="center" wrapText="1"/>
    </xf>
    <xf numFmtId="0" fontId="41" fillId="0" borderId="0" xfId="0" applyFont="1" applyAlignment="1">
      <alignment horizontal="center" wrapText="1"/>
    </xf>
    <xf numFmtId="0" fontId="42" fillId="0" borderId="0" xfId="0" applyFont="1" applyAlignment="1">
      <alignment horizontal="center" wrapText="1"/>
    </xf>
    <xf numFmtId="0" fontId="32" fillId="16" borderId="1" xfId="0" applyFont="1" applyFill="1" applyBorder="1" applyAlignment="1">
      <alignment horizontal="center" wrapText="1"/>
    </xf>
    <xf numFmtId="0" fontId="32" fillId="16" borderId="8" xfId="0" applyFont="1" applyFill="1" applyBorder="1" applyAlignment="1">
      <alignment horizontal="center" wrapText="1"/>
    </xf>
    <xf numFmtId="0" fontId="34" fillId="16" borderId="1" xfId="0" applyFont="1" applyFill="1" applyBorder="1" applyAlignment="1">
      <alignment horizontal="center" wrapText="1"/>
    </xf>
    <xf numFmtId="0" fontId="34" fillId="16" borderId="9" xfId="0" applyFont="1" applyFill="1" applyBorder="1" applyAlignment="1">
      <alignment horizontal="center" wrapText="1"/>
    </xf>
    <xf numFmtId="0" fontId="34" fillId="16" borderId="8" xfId="0" applyFont="1" applyFill="1" applyBorder="1" applyAlignment="1">
      <alignment horizontal="center" wrapText="1"/>
    </xf>
    <xf numFmtId="0" fontId="49" fillId="16" borderId="1" xfId="0" applyFont="1" applyFill="1" applyBorder="1" applyAlignment="1">
      <alignment horizontal="center" wrapText="1"/>
    </xf>
    <xf numFmtId="0" fontId="49" fillId="16" borderId="8" xfId="0" applyFont="1" applyFill="1" applyBorder="1" applyAlignment="1">
      <alignment horizontal="center" wrapText="1"/>
    </xf>
    <xf numFmtId="0" fontId="33" fillId="9" borderId="1" xfId="0" applyFont="1" applyFill="1" applyBorder="1" applyAlignment="1">
      <alignment horizontal="center" vertical="top" wrapText="1"/>
    </xf>
    <xf numFmtId="0" fontId="33" fillId="9" borderId="8" xfId="0" applyFont="1" applyFill="1" applyBorder="1" applyAlignment="1">
      <alignment horizontal="center" vertical="top" wrapText="1"/>
    </xf>
    <xf numFmtId="0" fontId="33" fillId="9" borderId="10" xfId="0" applyFont="1" applyFill="1" applyBorder="1" applyAlignment="1">
      <alignment horizontal="center" vertical="top" wrapText="1"/>
    </xf>
    <xf numFmtId="0" fontId="33" fillId="9" borderId="12" xfId="0" applyFont="1" applyFill="1" applyBorder="1" applyAlignment="1">
      <alignment horizontal="center" vertical="top" wrapText="1"/>
    </xf>
    <xf numFmtId="0" fontId="33" fillId="9" borderId="13" xfId="0" applyFont="1" applyFill="1" applyBorder="1" applyAlignment="1">
      <alignment horizontal="center" vertical="top" wrapText="1"/>
    </xf>
    <xf numFmtId="0" fontId="33" fillId="2" borderId="10" xfId="0" applyFont="1" applyFill="1" applyBorder="1" applyAlignment="1">
      <alignment vertical="top" wrapText="1"/>
    </xf>
    <xf numFmtId="0" fontId="33" fillId="2" borderId="13" xfId="0" applyFont="1" applyFill="1" applyBorder="1" applyAlignment="1">
      <alignment vertical="top" wrapText="1"/>
    </xf>
    <xf numFmtId="0" fontId="33" fillId="9" borderId="1" xfId="0" applyFont="1" applyFill="1" applyBorder="1" applyAlignment="1">
      <alignment vertical="top" wrapText="1"/>
    </xf>
    <xf numFmtId="0" fontId="33" fillId="9" borderId="8" xfId="0" applyFont="1" applyFill="1" applyBorder="1" applyAlignment="1">
      <alignment vertical="top" wrapText="1"/>
    </xf>
    <xf numFmtId="0" fontId="33" fillId="16" borderId="1" xfId="0" applyFont="1" applyFill="1" applyBorder="1" applyAlignment="1">
      <alignment horizontal="center" vertical="top" wrapText="1"/>
    </xf>
    <xf numFmtId="0" fontId="33" fillId="16" borderId="9" xfId="0" applyFont="1" applyFill="1" applyBorder="1" applyAlignment="1">
      <alignment horizontal="center" vertical="top" wrapText="1"/>
    </xf>
    <xf numFmtId="0" fontId="33" fillId="16" borderId="8" xfId="0" applyFont="1" applyFill="1" applyBorder="1" applyAlignment="1">
      <alignment horizontal="center" vertical="top" wrapText="1"/>
    </xf>
    <xf numFmtId="0" fontId="34" fillId="16" borderId="1" xfId="0" applyFont="1" applyFill="1" applyBorder="1" applyAlignment="1">
      <alignment horizontal="center" vertical="top" wrapText="1"/>
    </xf>
    <xf numFmtId="0" fontId="34" fillId="16" borderId="9" xfId="0" applyFont="1" applyFill="1" applyBorder="1" applyAlignment="1">
      <alignment horizontal="center" vertical="top" wrapText="1"/>
    </xf>
    <xf numFmtId="0" fontId="34" fillId="16" borderId="8" xfId="0" applyFont="1" applyFill="1" applyBorder="1" applyAlignment="1">
      <alignment horizontal="center" vertical="top" wrapText="1"/>
    </xf>
    <xf numFmtId="15" fontId="45" fillId="0" borderId="1" xfId="0" applyNumberFormat="1" applyFont="1" applyBorder="1" applyAlignment="1">
      <alignment vertical="top" wrapText="1"/>
    </xf>
    <xf numFmtId="15" fontId="45" fillId="0" borderId="9" xfId="0" applyNumberFormat="1" applyFont="1" applyBorder="1" applyAlignment="1">
      <alignment vertical="top" wrapText="1"/>
    </xf>
    <xf numFmtId="15" fontId="45" fillId="0" borderId="11" xfId="0" applyNumberFormat="1" applyFont="1" applyBorder="1" applyAlignment="1">
      <alignment vertical="top" wrapText="1"/>
    </xf>
    <xf numFmtId="15" fontId="45" fillId="2" borderId="1" xfId="0" applyNumberFormat="1" applyFont="1" applyFill="1" applyBorder="1" applyAlignment="1">
      <alignment vertical="top" wrapText="1"/>
    </xf>
    <xf numFmtId="15" fontId="45" fillId="2" borderId="9" xfId="0" applyNumberFormat="1" applyFont="1" applyFill="1" applyBorder="1" applyAlignment="1">
      <alignment vertical="top" wrapText="1"/>
    </xf>
    <xf numFmtId="15" fontId="45" fillId="2" borderId="11" xfId="0" applyNumberFormat="1" applyFont="1" applyFill="1" applyBorder="1" applyAlignment="1">
      <alignment vertical="top" wrapText="1"/>
    </xf>
    <xf numFmtId="0" fontId="31" fillId="9" borderId="3" xfId="0" applyFont="1" applyFill="1" applyBorder="1" applyAlignment="1">
      <alignment horizontal="center" vertical="top" wrapText="1"/>
    </xf>
    <xf numFmtId="0" fontId="31" fillId="9" borderId="1" xfId="0" applyFont="1" applyFill="1" applyBorder="1" applyAlignment="1">
      <alignment horizontal="center" vertical="top" wrapText="1"/>
    </xf>
    <xf numFmtId="0" fontId="31" fillId="9" borderId="9" xfId="0" applyFont="1" applyFill="1" applyBorder="1" applyAlignment="1">
      <alignment horizontal="center" vertical="top" wrapText="1"/>
    </xf>
    <xf numFmtId="0" fontId="31" fillId="3" borderId="2" xfId="0" applyFont="1" applyFill="1" applyBorder="1" applyAlignment="1">
      <alignment horizontal="center" vertical="top" wrapText="1"/>
    </xf>
    <xf numFmtId="0" fontId="31" fillId="3" borderId="5" xfId="0" applyFont="1" applyFill="1" applyBorder="1" applyAlignment="1">
      <alignment horizontal="center" vertical="top" wrapText="1"/>
    </xf>
    <xf numFmtId="0" fontId="31" fillId="3" borderId="6" xfId="0" applyFont="1" applyFill="1" applyBorder="1" applyAlignment="1">
      <alignment horizontal="center" vertical="top" wrapText="1"/>
    </xf>
    <xf numFmtId="0" fontId="31" fillId="11" borderId="2" xfId="0" applyFont="1" applyFill="1" applyBorder="1" applyAlignment="1">
      <alignment horizontal="center" vertical="top" wrapText="1"/>
    </xf>
    <xf numFmtId="0" fontId="31" fillId="11" borderId="5" xfId="0" applyFont="1" applyFill="1" applyBorder="1" applyAlignment="1">
      <alignment horizontal="center" vertical="top" wrapText="1"/>
    </xf>
    <xf numFmtId="0" fontId="31" fillId="11" borderId="6" xfId="0" applyFont="1" applyFill="1" applyBorder="1" applyAlignment="1">
      <alignment horizontal="center" vertical="top" wrapText="1"/>
    </xf>
    <xf numFmtId="0" fontId="31" fillId="3" borderId="3" xfId="0" applyFont="1" applyFill="1" applyBorder="1" applyAlignment="1">
      <alignment horizontal="center" vertical="top" wrapText="1"/>
    </xf>
    <xf numFmtId="0" fontId="31" fillId="11" borderId="3" xfId="0" applyFont="1" applyFill="1" applyBorder="1" applyAlignment="1">
      <alignment horizontal="center" vertical="top" wrapText="1"/>
    </xf>
    <xf numFmtId="0" fontId="31" fillId="3" borderId="10" xfId="0" applyFont="1" applyFill="1" applyBorder="1" applyAlignment="1">
      <alignment horizontal="center" vertical="top" wrapText="1"/>
    </xf>
    <xf numFmtId="0" fontId="31" fillId="3" borderId="12" xfId="0" applyFont="1" applyFill="1" applyBorder="1" applyAlignment="1">
      <alignment horizontal="center" vertical="top" wrapText="1"/>
    </xf>
    <xf numFmtId="0" fontId="31" fillId="3" borderId="13" xfId="0" applyFont="1" applyFill="1" applyBorder="1" applyAlignment="1">
      <alignment horizontal="center" vertical="top" wrapText="1"/>
    </xf>
    <xf numFmtId="0" fontId="31" fillId="11" borderId="10" xfId="0" applyFont="1" applyFill="1" applyBorder="1" applyAlignment="1">
      <alignment horizontal="center" vertical="top" wrapText="1"/>
    </xf>
    <xf numFmtId="0" fontId="31" fillId="11" borderId="12" xfId="0" applyFont="1" applyFill="1" applyBorder="1" applyAlignment="1">
      <alignment horizontal="center" vertical="top" wrapText="1"/>
    </xf>
    <xf numFmtId="0" fontId="31" fillId="11" borderId="13" xfId="0" applyFont="1" applyFill="1" applyBorder="1" applyAlignment="1">
      <alignment horizontal="center" vertical="top" wrapText="1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7" fillId="0" borderId="0" xfId="0" applyFont="1" applyAlignment="1">
      <alignment horizontal="right"/>
    </xf>
    <xf numFmtId="0" fontId="32" fillId="0" borderId="0" xfId="583" applyFont="1" applyAlignment="1">
      <alignment horizontal="center" wrapText="1"/>
    </xf>
    <xf numFmtId="0" fontId="41" fillId="0" borderId="0" xfId="583" applyFont="1" applyAlignment="1">
      <alignment horizontal="center" wrapText="1"/>
    </xf>
    <xf numFmtId="2" fontId="12" fillId="49" borderId="0" xfId="0" applyNumberFormat="1" applyFont="1" applyFill="1"/>
    <xf numFmtId="0" fontId="34" fillId="0" borderId="0" xfId="583" applyFont="1" applyAlignment="1">
      <alignment horizontal="center" wrapText="1"/>
    </xf>
    <xf numFmtId="0" fontId="69" fillId="2" borderId="8" xfId="583" applyFont="1" applyFill="1" applyBorder="1" applyAlignment="1">
      <alignment horizontal="center" vertical="top" wrapText="1"/>
    </xf>
    <xf numFmtId="0" fontId="33" fillId="0" borderId="0" xfId="583" applyFont="1" applyAlignment="1">
      <alignment horizontal="center" wrapText="1"/>
    </xf>
    <xf numFmtId="0" fontId="1" fillId="0" borderId="0" xfId="0" applyFont="1"/>
    <xf numFmtId="0" fontId="37" fillId="0" borderId="0" xfId="583" applyFont="1" applyAlignment="1">
      <alignment horizontal="right" wrapText="1"/>
    </xf>
    <xf numFmtId="0" fontId="31" fillId="0" borderId="0" xfId="583" applyFont="1" applyAlignment="1">
      <alignment horizontal="center" wrapText="1"/>
    </xf>
    <xf numFmtId="0" fontId="1" fillId="0" borderId="0" xfId="583"/>
    <xf numFmtId="0" fontId="69" fillId="2" borderId="1" xfId="583" applyFont="1" applyFill="1" applyBorder="1" applyAlignment="1">
      <alignment horizontal="center" vertical="top" wrapText="1"/>
    </xf>
    <xf numFmtId="0" fontId="39" fillId="0" borderId="0" xfId="583" applyFont="1" applyAlignment="1">
      <alignment horizontal="center" wrapText="1"/>
    </xf>
    <xf numFmtId="2" fontId="0" fillId="0" borderId="0" xfId="0" applyNumberFormat="1"/>
    <xf numFmtId="0" fontId="42" fillId="0" borderId="0" xfId="583" applyFont="1" applyAlignment="1">
      <alignment horizontal="center" wrapText="1"/>
    </xf>
    <xf numFmtId="0" fontId="1" fillId="0" borderId="0" xfId="583"/>
    <xf numFmtId="0" fontId="35" fillId="2" borderId="0" xfId="583" applyFont="1" applyFill="1" applyAlignment="1">
      <alignment vertical="top" wrapText="1"/>
    </xf>
    <xf numFmtId="0" fontId="33" fillId="2" borderId="4" xfId="583" applyFont="1" applyFill="1" applyBorder="1" applyAlignment="1">
      <alignment horizontal="center" wrapText="1"/>
    </xf>
    <xf numFmtId="0" fontId="35" fillId="2" borderId="4" xfId="583" applyFont="1" applyFill="1" applyBorder="1" applyAlignment="1">
      <alignment horizontal="center" wrapText="1"/>
    </xf>
    <xf numFmtId="0" fontId="1" fillId="2" borderId="4" xfId="583" applyFill="1" applyBorder="1" applyAlignment="1">
      <alignment vertical="top" wrapText="1"/>
    </xf>
    <xf numFmtId="0" fontId="32" fillId="2" borderId="4" xfId="583" applyFont="1" applyFill="1" applyBorder="1" applyAlignment="1">
      <alignment vertical="top" wrapText="1"/>
    </xf>
    <xf numFmtId="0" fontId="32" fillId="2" borderId="4" xfId="583" applyFont="1" applyFill="1" applyBorder="1" applyAlignment="1">
      <alignment horizontal="center" vertical="top" wrapText="1"/>
    </xf>
    <xf numFmtId="0" fontId="32" fillId="2" borderId="4" xfId="583" applyFont="1" applyFill="1" applyBorder="1" applyAlignment="1">
      <alignment horizontal="right" vertical="top" wrapText="1"/>
    </xf>
    <xf numFmtId="0" fontId="32" fillId="2" borderId="4" xfId="583" applyFont="1" applyFill="1" applyBorder="1" applyAlignment="1">
      <alignment horizontal="right" wrapText="1"/>
    </xf>
    <xf numFmtId="4" fontId="32" fillId="2" borderId="4" xfId="583" applyNumberFormat="1" applyFont="1" applyFill="1" applyBorder="1" applyAlignment="1">
      <alignment horizontal="right" vertical="top" wrapText="1"/>
    </xf>
    <xf numFmtId="4" fontId="32" fillId="2" borderId="4" xfId="583" applyNumberFormat="1" applyFont="1" applyFill="1" applyBorder="1" applyAlignment="1">
      <alignment horizontal="right" wrapText="1"/>
    </xf>
    <xf numFmtId="0" fontId="1" fillId="2" borderId="5" xfId="583" applyFill="1" applyBorder="1" applyAlignment="1">
      <alignment vertical="top" wrapText="1"/>
    </xf>
    <xf numFmtId="0" fontId="1" fillId="2" borderId="6" xfId="583" applyFill="1" applyBorder="1" applyAlignment="1">
      <alignment vertical="top" wrapText="1"/>
    </xf>
    <xf numFmtId="4" fontId="35" fillId="2" borderId="4" xfId="583" applyNumberFormat="1" applyFont="1" applyFill="1" applyBorder="1" applyAlignment="1">
      <alignment horizontal="right" wrapText="1"/>
    </xf>
    <xf numFmtId="0" fontId="40" fillId="0" borderId="0" xfId="583" applyFont="1" applyAlignment="1">
      <alignment horizontal="center" wrapText="1"/>
    </xf>
    <xf numFmtId="2" fontId="71" fillId="51" borderId="0" xfId="0" applyNumberFormat="1" applyFont="1" applyFill="1"/>
    <xf numFmtId="0" fontId="71" fillId="51" borderId="0" xfId="0" applyFont="1" applyFill="1"/>
    <xf numFmtId="0" fontId="1" fillId="0" borderId="0" xfId="583"/>
    <xf numFmtId="0" fontId="32" fillId="0" borderId="0" xfId="583" applyFont="1"/>
    <xf numFmtId="0" fontId="69" fillId="2" borderId="1" xfId="583" applyFont="1" applyFill="1" applyBorder="1" applyAlignment="1">
      <alignment horizontal="center" vertical="top" wrapText="1"/>
    </xf>
    <xf numFmtId="0" fontId="69" fillId="2" borderId="8" xfId="583" applyFont="1" applyFill="1" applyBorder="1" applyAlignment="1">
      <alignment horizontal="center" vertical="top" wrapText="1"/>
    </xf>
    <xf numFmtId="0" fontId="34" fillId="2" borderId="4" xfId="583" applyFont="1" applyFill="1" applyBorder="1" applyAlignment="1">
      <alignment vertical="top" wrapText="1"/>
    </xf>
    <xf numFmtId="0" fontId="32" fillId="2" borderId="4" xfId="583" applyFont="1" applyFill="1" applyBorder="1" applyAlignment="1">
      <alignment vertical="top" wrapText="1"/>
    </xf>
    <xf numFmtId="0" fontId="32" fillId="2" borderId="4" xfId="583" applyFont="1" applyFill="1" applyBorder="1" applyAlignment="1">
      <alignment horizontal="center" vertical="top" wrapText="1"/>
    </xf>
    <xf numFmtId="4" fontId="32" fillId="2" borderId="4" xfId="583" applyNumberFormat="1" applyFont="1" applyFill="1" applyBorder="1" applyAlignment="1">
      <alignment horizontal="right" vertical="top" wrapText="1"/>
    </xf>
    <xf numFmtId="0" fontId="32" fillId="2" borderId="4" xfId="583" applyFont="1" applyFill="1" applyBorder="1" applyAlignment="1">
      <alignment horizontal="right" vertical="top" wrapText="1"/>
    </xf>
    <xf numFmtId="0" fontId="68" fillId="2" borderId="4" xfId="583" applyFont="1" applyFill="1" applyBorder="1" applyAlignment="1">
      <alignment horizontal="right" vertical="top" wrapText="1"/>
    </xf>
  </cellXfs>
  <cellStyles count="603">
    <cellStyle name="20% - Accent1" xfId="18" builtinId="30" customBuiltin="1"/>
    <cellStyle name="20% - Accent1 10" xfId="205" xr:uid="{8EFBA9CC-9818-499B-B0D2-6BC5235EDF2E}"/>
    <cellStyle name="20% - Accent1 11" xfId="225" xr:uid="{39C34E68-4C0F-4B06-8B71-C521641A603A}"/>
    <cellStyle name="20% - Accent1 12" xfId="245" xr:uid="{6BA1BF07-2D50-438C-BBBC-143E7D776F86}"/>
    <cellStyle name="20% - Accent1 13" xfId="265" xr:uid="{C5D1A64E-6A43-41DA-AB3D-99606701D418}"/>
    <cellStyle name="20% - Accent1 14" xfId="285" xr:uid="{532AE628-9A6A-465B-9B12-50187893EA58}"/>
    <cellStyle name="20% - Accent1 15" xfId="305" xr:uid="{C04980AB-84C2-4DE2-AFDA-A2D3842B4969}"/>
    <cellStyle name="20% - Accent1 16" xfId="325" xr:uid="{15BA4EDE-C579-499B-9479-8F36A5105C4C}"/>
    <cellStyle name="20% - Accent1 17" xfId="345" xr:uid="{9E9B346D-3694-43C6-87C8-DB3C9C6C2103}"/>
    <cellStyle name="20% - Accent1 18" xfId="365" xr:uid="{E2C592DE-3472-4A35-967F-A0A7DF860E86}"/>
    <cellStyle name="20% - Accent1 19" xfId="385" xr:uid="{779DF9EA-5A14-44E6-B977-A4863D73D599}"/>
    <cellStyle name="20% - Accent1 2" xfId="45" xr:uid="{9501D1C7-E791-4DFD-AF30-24F54C652879}"/>
    <cellStyle name="20% - Accent1 20" xfId="405" xr:uid="{C033A91D-29CF-4DC9-A9BE-FE18393FFCF0}"/>
    <cellStyle name="20% - Accent1 21" xfId="425" xr:uid="{90F683DB-3C66-49BB-A072-CFE338420D26}"/>
    <cellStyle name="20% - Accent1 22" xfId="445" xr:uid="{ADE2DAB0-1BD1-4A65-82F1-334249E914EF}"/>
    <cellStyle name="20% - Accent1 23" xfId="465" xr:uid="{ADA551AE-FC0F-4A9D-96BE-586D77C7D7D5}"/>
    <cellStyle name="20% - Accent1 24" xfId="485" xr:uid="{9DD9BE6A-3906-46A3-BC02-551451A5C320}"/>
    <cellStyle name="20% - Accent1 25" xfId="505" xr:uid="{4700DDA7-411B-4394-B2C5-49CFC5A43FC5}"/>
    <cellStyle name="20% - Accent1 26" xfId="525" xr:uid="{E998ABA2-15CA-4598-9F51-F1C67039AD05}"/>
    <cellStyle name="20% - Accent1 27" xfId="545" xr:uid="{33CEEA74-97E2-4395-94EC-B0C785011C2A}"/>
    <cellStyle name="20% - Accent1 28" xfId="565" xr:uid="{273B2B35-1827-47EA-96FC-068D2B59EC78}"/>
    <cellStyle name="20% - Accent1 29" xfId="585" xr:uid="{9687174F-3380-440D-90EB-949A0C283935}"/>
    <cellStyle name="20% - Accent1 3" xfId="65" xr:uid="{6645EB46-6E8E-4F42-A27A-039E284E30EF}"/>
    <cellStyle name="20% - Accent1 4" xfId="85" xr:uid="{C31A699B-5FFB-4904-BC48-4A1DE5348A59}"/>
    <cellStyle name="20% - Accent1 5" xfId="105" xr:uid="{BDABBBE2-FAFB-4C79-97BD-6F1BA294E503}"/>
    <cellStyle name="20% - Accent1 6" xfId="125" xr:uid="{BF28DEB0-29E4-4F58-81B2-2E8C2109A31E}"/>
    <cellStyle name="20% - Accent1 7" xfId="145" xr:uid="{A2EDDEE8-2959-4065-AB48-DEB0D5137E97}"/>
    <cellStyle name="20% - Accent1 8" xfId="165" xr:uid="{B3F12CEA-4314-40D0-BF25-B75720E5F342}"/>
    <cellStyle name="20% - Accent1 9" xfId="185" xr:uid="{09768068-5E86-4223-B6DF-8391B200E3F9}"/>
    <cellStyle name="20% - Accent2" xfId="22" builtinId="34" customBuiltin="1"/>
    <cellStyle name="20% - Accent2 10" xfId="208" xr:uid="{8BE45AE5-B255-4B78-AA23-DF5168677AE8}"/>
    <cellStyle name="20% - Accent2 11" xfId="228" xr:uid="{998F8A64-E82D-42BE-B7CA-151C9190DD75}"/>
    <cellStyle name="20% - Accent2 12" xfId="248" xr:uid="{6FBE6575-56AC-4BF7-9085-51E1F634A7DD}"/>
    <cellStyle name="20% - Accent2 13" xfId="268" xr:uid="{08EF217D-F051-4AF5-8955-12C81A8B49D2}"/>
    <cellStyle name="20% - Accent2 14" xfId="288" xr:uid="{D9CACEFE-FAEB-4B3B-8AB2-67923DE839AF}"/>
    <cellStyle name="20% - Accent2 15" xfId="308" xr:uid="{60E58484-54C3-4208-8572-41714D3C9258}"/>
    <cellStyle name="20% - Accent2 16" xfId="328" xr:uid="{BCA3ADE6-B82D-4C9B-88D5-0C80702E7C3D}"/>
    <cellStyle name="20% - Accent2 17" xfId="348" xr:uid="{147C81A2-5DC2-4ECC-9F9A-EAA127A6E102}"/>
    <cellStyle name="20% - Accent2 18" xfId="368" xr:uid="{27BB73F5-6447-4BF2-8749-813FB5D9D3F8}"/>
    <cellStyle name="20% - Accent2 19" xfId="388" xr:uid="{963BDB44-02AC-4964-9CEE-86C4E23D6FB3}"/>
    <cellStyle name="20% - Accent2 2" xfId="48" xr:uid="{E04D607B-9F9E-4E14-ADC8-727782A52E4D}"/>
    <cellStyle name="20% - Accent2 20" xfId="408" xr:uid="{2D4F0B03-5907-4FDB-BDF7-53C44015B0A8}"/>
    <cellStyle name="20% - Accent2 21" xfId="428" xr:uid="{B03C4091-CD1C-4ED0-A963-E90C43FF181C}"/>
    <cellStyle name="20% - Accent2 22" xfId="448" xr:uid="{CFEA8DC9-BB1D-42F9-BEB1-2766BD8898A4}"/>
    <cellStyle name="20% - Accent2 23" xfId="468" xr:uid="{76BDC222-C335-4314-90AE-B343A6403BF4}"/>
    <cellStyle name="20% - Accent2 24" xfId="488" xr:uid="{DBE7DDF3-96F7-4A62-95FF-3FAE25172F44}"/>
    <cellStyle name="20% - Accent2 25" xfId="508" xr:uid="{9C2F7084-4C31-465A-99F1-96CDCE84CF5C}"/>
    <cellStyle name="20% - Accent2 26" xfId="528" xr:uid="{CA7B4EE5-1942-4F3C-834F-EDB9786D2697}"/>
    <cellStyle name="20% - Accent2 27" xfId="548" xr:uid="{6A64DCDE-02BE-4D31-83F8-56D744861BC4}"/>
    <cellStyle name="20% - Accent2 28" xfId="568" xr:uid="{2C72C173-A9C6-48AA-93CE-58C8B63B08B3}"/>
    <cellStyle name="20% - Accent2 29" xfId="588" xr:uid="{74567BA5-C340-42FD-B68D-F159358FC889}"/>
    <cellStyle name="20% - Accent2 3" xfId="68" xr:uid="{2D947D16-3A63-440E-ADCC-52F65D58FC80}"/>
    <cellStyle name="20% - Accent2 4" xfId="88" xr:uid="{035E8B58-4B02-48EF-9728-5920A1C34E91}"/>
    <cellStyle name="20% - Accent2 5" xfId="108" xr:uid="{4D0CCADB-6CCE-43C5-BACE-5CFE1AA72517}"/>
    <cellStyle name="20% - Accent2 6" xfId="128" xr:uid="{C09EDE64-89B8-4EB4-9126-8B3F6CA252C8}"/>
    <cellStyle name="20% - Accent2 7" xfId="148" xr:uid="{0649EE24-B5C5-4BD2-84CF-035B2A5BC0F0}"/>
    <cellStyle name="20% - Accent2 8" xfId="168" xr:uid="{BF885465-E1A6-46C0-B3F5-26B3B83842E5}"/>
    <cellStyle name="20% - Accent2 9" xfId="188" xr:uid="{A07F5BF7-0C24-48E5-844E-E444C192F58D}"/>
    <cellStyle name="20% - Accent3" xfId="26" builtinId="38" customBuiltin="1"/>
    <cellStyle name="20% - Accent3 10" xfId="211" xr:uid="{F533FBC2-B97B-4ECF-A1A7-8747C2D10402}"/>
    <cellStyle name="20% - Accent3 11" xfId="231" xr:uid="{A64C3387-5CF5-49EF-A8BB-9F745D030B6C}"/>
    <cellStyle name="20% - Accent3 12" xfId="251" xr:uid="{7813B998-3F59-43AF-B9C0-ED74A30D2CB6}"/>
    <cellStyle name="20% - Accent3 13" xfId="271" xr:uid="{A5556AB0-499C-4082-BD5D-A5BCC6C9C9A6}"/>
    <cellStyle name="20% - Accent3 14" xfId="291" xr:uid="{7CCB19E7-66A7-40A9-BEB4-E70DACFD4D18}"/>
    <cellStyle name="20% - Accent3 15" xfId="311" xr:uid="{A39AE25E-2F32-4A53-9AD9-2DDB58D1209A}"/>
    <cellStyle name="20% - Accent3 16" xfId="331" xr:uid="{7869B94F-FBD2-4B9C-9788-8CE4B41CE978}"/>
    <cellStyle name="20% - Accent3 17" xfId="351" xr:uid="{88CCD1DC-732C-4208-ADA7-CC9CE1DC115B}"/>
    <cellStyle name="20% - Accent3 18" xfId="371" xr:uid="{62D1639A-C786-42B0-B007-A7A47A70D4A2}"/>
    <cellStyle name="20% - Accent3 19" xfId="391" xr:uid="{73DA46BA-7A7D-47F5-BC53-AF71CE20FF67}"/>
    <cellStyle name="20% - Accent3 2" xfId="51" xr:uid="{DD1606AF-4E85-4D42-97F9-E398A476661A}"/>
    <cellStyle name="20% - Accent3 20" xfId="411" xr:uid="{DAA3330A-DCC7-40AA-91C8-29421CF40574}"/>
    <cellStyle name="20% - Accent3 21" xfId="431" xr:uid="{C146AFEA-EC12-4C82-B59E-54120DF24CCE}"/>
    <cellStyle name="20% - Accent3 22" xfId="451" xr:uid="{B50B58AA-F872-4B81-ADAA-18B49D0F1DC0}"/>
    <cellStyle name="20% - Accent3 23" xfId="471" xr:uid="{A3B65B00-2DF9-41E2-93D7-2A3173099C7E}"/>
    <cellStyle name="20% - Accent3 24" xfId="491" xr:uid="{5F42ADB0-6341-4A9F-993C-22B2E4BC17CD}"/>
    <cellStyle name="20% - Accent3 25" xfId="511" xr:uid="{DC7ECD7F-1AFB-4891-9B94-D8AD941A2E5C}"/>
    <cellStyle name="20% - Accent3 26" xfId="531" xr:uid="{0F00B203-EF2C-46DC-A8F1-3593F607A8F7}"/>
    <cellStyle name="20% - Accent3 27" xfId="551" xr:uid="{9F711286-5419-4839-94D6-F04C34DE621C}"/>
    <cellStyle name="20% - Accent3 28" xfId="571" xr:uid="{0662678E-A846-4DC9-A74E-F4BC1CFD5150}"/>
    <cellStyle name="20% - Accent3 29" xfId="591" xr:uid="{AAE3E0FF-EF9F-44C4-96D7-BCFA575ED3D7}"/>
    <cellStyle name="20% - Accent3 3" xfId="71" xr:uid="{050B53D0-D6B9-40CD-9152-699DD1610EA7}"/>
    <cellStyle name="20% - Accent3 4" xfId="91" xr:uid="{3BC4827D-5E58-4FE1-8C7D-8BA4878569BD}"/>
    <cellStyle name="20% - Accent3 5" xfId="111" xr:uid="{2772372A-5956-44DB-B703-87837F6A9705}"/>
    <cellStyle name="20% - Accent3 6" xfId="131" xr:uid="{F51D5D3F-A9DA-4B34-9C05-E4CF3D4F6401}"/>
    <cellStyle name="20% - Accent3 7" xfId="151" xr:uid="{4A5A8F59-66E0-41BB-85DC-C135A695F5C6}"/>
    <cellStyle name="20% - Accent3 8" xfId="171" xr:uid="{D1538089-3207-494D-8881-09169E52A8F7}"/>
    <cellStyle name="20% - Accent3 9" xfId="191" xr:uid="{E0E78FBC-AFE4-4535-8A69-FD7F41D10F83}"/>
    <cellStyle name="20% - Accent4" xfId="30" builtinId="42" customBuiltin="1"/>
    <cellStyle name="20% - Accent4 10" xfId="214" xr:uid="{588F6CF6-22F9-452C-9F09-F5823588A6D5}"/>
    <cellStyle name="20% - Accent4 11" xfId="234" xr:uid="{116519EF-0E6C-4043-B773-A50C1C193B01}"/>
    <cellStyle name="20% - Accent4 12" xfId="254" xr:uid="{03AEC4BE-C983-4418-8209-6B27D138857C}"/>
    <cellStyle name="20% - Accent4 13" xfId="274" xr:uid="{9BD3E607-E12A-4BC2-B2A1-630F8F549F80}"/>
    <cellStyle name="20% - Accent4 14" xfId="294" xr:uid="{342AA803-D5D0-4E52-8332-0A403C6D1774}"/>
    <cellStyle name="20% - Accent4 15" xfId="314" xr:uid="{A650DBC1-3734-408C-87DC-988D462122E7}"/>
    <cellStyle name="20% - Accent4 16" xfId="334" xr:uid="{554AE6D1-6169-491A-87B1-2C0137ACB8A4}"/>
    <cellStyle name="20% - Accent4 17" xfId="354" xr:uid="{E83A5DB6-0763-4642-BAE1-6D453895205A}"/>
    <cellStyle name="20% - Accent4 18" xfId="374" xr:uid="{76AA0ED5-BE2A-4996-A265-90FB4AE98897}"/>
    <cellStyle name="20% - Accent4 19" xfId="394" xr:uid="{79259600-2D57-41F4-8ABC-FCE2E22EA5E0}"/>
    <cellStyle name="20% - Accent4 2" xfId="54" xr:uid="{CA2A1C56-8ECB-4859-85E7-E4CDDC2A3E8A}"/>
    <cellStyle name="20% - Accent4 20" xfId="414" xr:uid="{F9729047-BCA1-4329-80C9-F1815B5424DC}"/>
    <cellStyle name="20% - Accent4 21" xfId="434" xr:uid="{D679BE9B-F815-4749-8D86-B919C762534B}"/>
    <cellStyle name="20% - Accent4 22" xfId="454" xr:uid="{8F924F70-C9EC-406C-9E64-61820F638710}"/>
    <cellStyle name="20% - Accent4 23" xfId="474" xr:uid="{DDEF5DF5-B95A-4E91-8535-71D9F3BDD481}"/>
    <cellStyle name="20% - Accent4 24" xfId="494" xr:uid="{10A1C9D4-2E2F-488B-8089-BB593FFC2F8F}"/>
    <cellStyle name="20% - Accent4 25" xfId="514" xr:uid="{B75722CA-881C-4AFF-A373-F21EB7FEB10F}"/>
    <cellStyle name="20% - Accent4 26" xfId="534" xr:uid="{20094431-976A-4287-955A-A24E3E5A941B}"/>
    <cellStyle name="20% - Accent4 27" xfId="554" xr:uid="{657FFDC7-8DBF-4ED2-A009-ED8FA4330D8F}"/>
    <cellStyle name="20% - Accent4 28" xfId="574" xr:uid="{7FAD86B2-ADA5-478A-BBEC-D137B51739AE}"/>
    <cellStyle name="20% - Accent4 29" xfId="594" xr:uid="{EAA1BA3D-79F9-4EAE-ADD7-F34D0A34D21C}"/>
    <cellStyle name="20% - Accent4 3" xfId="74" xr:uid="{97B707F2-3D29-4B03-94D3-23578960BE6A}"/>
    <cellStyle name="20% - Accent4 4" xfId="94" xr:uid="{A649A350-508A-4371-B31A-B472E038426E}"/>
    <cellStyle name="20% - Accent4 5" xfId="114" xr:uid="{339CDE17-8AFF-44C6-B204-2DCB808DD01F}"/>
    <cellStyle name="20% - Accent4 6" xfId="134" xr:uid="{06541D0B-8906-4F1D-BDEA-074BD63E3E37}"/>
    <cellStyle name="20% - Accent4 7" xfId="154" xr:uid="{C236A784-8F4A-4E26-B343-B2503C9E6C0D}"/>
    <cellStyle name="20% - Accent4 8" xfId="174" xr:uid="{00C93432-CE69-419A-8EBB-BEF9B5D54FC9}"/>
    <cellStyle name="20% - Accent4 9" xfId="194" xr:uid="{16F71CA9-8CE9-4908-9EB9-12E1494B3CAF}"/>
    <cellStyle name="20% - Accent5" xfId="34" builtinId="46" customBuiltin="1"/>
    <cellStyle name="20% - Accent5 10" xfId="217" xr:uid="{C4807893-BE42-49BC-ADB8-0659C5FFB244}"/>
    <cellStyle name="20% - Accent5 11" xfId="237" xr:uid="{D24A7A19-0446-477F-A2CC-4A9842FCC80E}"/>
    <cellStyle name="20% - Accent5 12" xfId="257" xr:uid="{9D9CC9B4-A08B-49F0-9B75-FADE284AD97D}"/>
    <cellStyle name="20% - Accent5 13" xfId="277" xr:uid="{E01552B0-D364-4516-A6C2-B2FFFE81AB09}"/>
    <cellStyle name="20% - Accent5 14" xfId="297" xr:uid="{984719CE-70EC-48A7-81B4-C231494A066E}"/>
    <cellStyle name="20% - Accent5 15" xfId="317" xr:uid="{0A947A06-3852-40CB-A251-DDF04E248D77}"/>
    <cellStyle name="20% - Accent5 16" xfId="337" xr:uid="{C6609590-D03E-4932-ADFB-14F754E76AE0}"/>
    <cellStyle name="20% - Accent5 17" xfId="357" xr:uid="{F40C7057-5F97-4B68-B7E6-2CA58335C765}"/>
    <cellStyle name="20% - Accent5 18" xfId="377" xr:uid="{CD4A5720-94C7-40B1-8646-1928CD925C99}"/>
    <cellStyle name="20% - Accent5 19" xfId="397" xr:uid="{89AFCECD-1AD0-43FB-9DF3-B1AB4C3A4BBF}"/>
    <cellStyle name="20% - Accent5 2" xfId="57" xr:uid="{3ABCDCE8-8C90-4B3D-A866-91202D9F3C1A}"/>
    <cellStyle name="20% - Accent5 20" xfId="417" xr:uid="{1CA0AA54-2FED-473B-8AC7-B5AB2E82F9F0}"/>
    <cellStyle name="20% - Accent5 21" xfId="437" xr:uid="{2EF48BB7-A041-47D4-BDE7-F78AB61D4B20}"/>
    <cellStyle name="20% - Accent5 22" xfId="457" xr:uid="{F3260B9F-DDC5-4A22-B8E1-90F0EBE9511A}"/>
    <cellStyle name="20% - Accent5 23" xfId="477" xr:uid="{A12E69E9-0A60-46B8-8FFA-DF8A764B496A}"/>
    <cellStyle name="20% - Accent5 24" xfId="497" xr:uid="{2F426931-CBF7-4D48-ADD7-B7C2D3742620}"/>
    <cellStyle name="20% - Accent5 25" xfId="517" xr:uid="{D23384B5-AD62-424D-8A0B-01B5A2288FCF}"/>
    <cellStyle name="20% - Accent5 26" xfId="537" xr:uid="{54D0775C-AEEA-4E40-BDB9-4438F34E724A}"/>
    <cellStyle name="20% - Accent5 27" xfId="557" xr:uid="{2825DD78-A1EC-44AF-8B96-4EFFD0FC0936}"/>
    <cellStyle name="20% - Accent5 28" xfId="577" xr:uid="{A0A54D81-1313-4AAD-9230-D812683DBD4C}"/>
    <cellStyle name="20% - Accent5 29" xfId="597" xr:uid="{AEB35156-39B3-4220-BAAB-B24A16F5496E}"/>
    <cellStyle name="20% - Accent5 3" xfId="77" xr:uid="{04C6685A-FF26-4048-8613-C06FC60AA0D7}"/>
    <cellStyle name="20% - Accent5 4" xfId="97" xr:uid="{02D9E5FF-3EAC-436C-9BF8-5EDC1F1D9920}"/>
    <cellStyle name="20% - Accent5 5" xfId="117" xr:uid="{DA8D78D0-1ACD-41BB-B0AD-AAB7ACA5F982}"/>
    <cellStyle name="20% - Accent5 6" xfId="137" xr:uid="{2BF2B81E-3DC8-42E4-B4CF-E8E6144CAF0C}"/>
    <cellStyle name="20% - Accent5 7" xfId="157" xr:uid="{46D4B765-684B-43BD-AFB7-2B0766F31060}"/>
    <cellStyle name="20% - Accent5 8" xfId="177" xr:uid="{952014EF-EED1-4995-9F12-B3298A7DD4DD}"/>
    <cellStyle name="20% - Accent5 9" xfId="197" xr:uid="{64EEC05B-B7BE-43CC-98B0-F7BBF577ACC7}"/>
    <cellStyle name="20% - Accent6" xfId="38" builtinId="50" customBuiltin="1"/>
    <cellStyle name="20% - Accent6 10" xfId="220" xr:uid="{A989F18F-7EBB-4766-B544-5FAC0750BA53}"/>
    <cellStyle name="20% - Accent6 11" xfId="240" xr:uid="{6AF4D3EB-AF3E-4FAC-BBE2-477CFD07A983}"/>
    <cellStyle name="20% - Accent6 12" xfId="260" xr:uid="{3D9EFBE3-F687-4B15-9FC2-8DBB7DA9D97A}"/>
    <cellStyle name="20% - Accent6 13" xfId="280" xr:uid="{5893B372-C1CA-4B23-BBBA-796E2D75DACD}"/>
    <cellStyle name="20% - Accent6 14" xfId="300" xr:uid="{BBB2ACD6-5CE4-4194-B095-5C1AD1E5B1E1}"/>
    <cellStyle name="20% - Accent6 15" xfId="320" xr:uid="{CEF9AD25-A161-437B-821B-CFA48E3F04CC}"/>
    <cellStyle name="20% - Accent6 16" xfId="340" xr:uid="{0195E3E6-02F1-46F2-94ED-60FC77041D90}"/>
    <cellStyle name="20% - Accent6 17" xfId="360" xr:uid="{939303A9-B0E6-49C4-85E8-3014212A61B0}"/>
    <cellStyle name="20% - Accent6 18" xfId="380" xr:uid="{D5502CE5-77C9-4840-856D-E68FCAC5E646}"/>
    <cellStyle name="20% - Accent6 19" xfId="400" xr:uid="{19704123-5B71-4467-B6E1-E71962DC6DB5}"/>
    <cellStyle name="20% - Accent6 2" xfId="60" xr:uid="{74F706E4-D58F-4741-9F92-3E89AB5669AD}"/>
    <cellStyle name="20% - Accent6 20" xfId="420" xr:uid="{1E4816F6-F59A-40D5-AB42-DA3FD54C838E}"/>
    <cellStyle name="20% - Accent6 21" xfId="440" xr:uid="{38E0B85C-E9B3-4294-95AC-FD24F972AB17}"/>
    <cellStyle name="20% - Accent6 22" xfId="460" xr:uid="{7920E4FE-CC04-4192-9E6E-F396EADCF97C}"/>
    <cellStyle name="20% - Accent6 23" xfId="480" xr:uid="{634DFD0F-0449-4ACE-8FE0-ECD4EB73E283}"/>
    <cellStyle name="20% - Accent6 24" xfId="500" xr:uid="{7365745B-EA3B-45F6-BB4E-AE383EF87039}"/>
    <cellStyle name="20% - Accent6 25" xfId="520" xr:uid="{A21F88E9-956C-44E5-8F86-184EA3EFB012}"/>
    <cellStyle name="20% - Accent6 26" xfId="540" xr:uid="{331BF0D5-47E6-4043-8C01-0A48399064A6}"/>
    <cellStyle name="20% - Accent6 27" xfId="560" xr:uid="{49E935B6-A5E0-4225-AFB6-D1A0A96726B4}"/>
    <cellStyle name="20% - Accent6 28" xfId="580" xr:uid="{C8F0FA80-4FDF-4CA2-B7EF-F7C3380E0E26}"/>
    <cellStyle name="20% - Accent6 29" xfId="600" xr:uid="{841F02AB-8588-49F5-B9D3-B17AD3A22AC8}"/>
    <cellStyle name="20% - Accent6 3" xfId="80" xr:uid="{41C51264-8956-43A6-8CC2-95C357F8979D}"/>
    <cellStyle name="20% - Accent6 4" xfId="100" xr:uid="{DDF9C3D2-314D-4CA8-AB26-4D5E377383B2}"/>
    <cellStyle name="20% - Accent6 5" xfId="120" xr:uid="{0858FF25-F233-4DDB-B40C-CD71BD6E1BB2}"/>
    <cellStyle name="20% - Accent6 6" xfId="140" xr:uid="{76B939D3-DC3E-4D67-B79A-DC4C1226E447}"/>
    <cellStyle name="20% - Accent6 7" xfId="160" xr:uid="{305EAAF1-93A8-4A46-82DC-EEC91DF1348C}"/>
    <cellStyle name="20% - Accent6 8" xfId="180" xr:uid="{4FF9E6FB-A387-46DE-8C02-0357A23C6915}"/>
    <cellStyle name="20% - Accent6 9" xfId="200" xr:uid="{7DCC8DB9-1ECF-4476-86F0-5F41811DB6A5}"/>
    <cellStyle name="40% - Accent1" xfId="19" builtinId="31" customBuiltin="1"/>
    <cellStyle name="40% - Accent1 10" xfId="206" xr:uid="{284CAA37-79CE-4A1B-9FCF-7A88E0F8D198}"/>
    <cellStyle name="40% - Accent1 11" xfId="226" xr:uid="{2E8A337F-49FE-479E-93CE-44888491B2B2}"/>
    <cellStyle name="40% - Accent1 12" xfId="246" xr:uid="{794E6540-0A13-4AD8-91A7-DFD9F677730C}"/>
    <cellStyle name="40% - Accent1 13" xfId="266" xr:uid="{B5A1B02A-7D38-4D7E-8659-CB09E01CBD56}"/>
    <cellStyle name="40% - Accent1 14" xfId="286" xr:uid="{D8BC9FD6-92D7-46A8-965E-7F52FA6F56A6}"/>
    <cellStyle name="40% - Accent1 15" xfId="306" xr:uid="{0428AF92-9761-490B-9DFB-EE67193A4CC8}"/>
    <cellStyle name="40% - Accent1 16" xfId="326" xr:uid="{D6CC145F-9CA3-4D1A-8A3D-51B08D860969}"/>
    <cellStyle name="40% - Accent1 17" xfId="346" xr:uid="{9762A41F-4C31-4CDB-98A6-47B9A76C8E25}"/>
    <cellStyle name="40% - Accent1 18" xfId="366" xr:uid="{99CCBD55-6F9C-4DC0-85E7-506DBBE05356}"/>
    <cellStyle name="40% - Accent1 19" xfId="386" xr:uid="{DE039998-D2EB-4A40-B33F-4E0CB9EC19B1}"/>
    <cellStyle name="40% - Accent1 2" xfId="46" xr:uid="{D7FA8596-EF71-4B3B-B004-CA060F4EB1EA}"/>
    <cellStyle name="40% - Accent1 20" xfId="406" xr:uid="{15CA3C32-E943-477C-A0AF-DC6FD0F2CCE5}"/>
    <cellStyle name="40% - Accent1 21" xfId="426" xr:uid="{3AC84247-4D97-460D-90DA-2ECE26D74EC8}"/>
    <cellStyle name="40% - Accent1 22" xfId="446" xr:uid="{89B98B59-2CC2-4934-9030-39B1048BFB37}"/>
    <cellStyle name="40% - Accent1 23" xfId="466" xr:uid="{19722D4A-E54C-44F2-94E8-EBE707D5132E}"/>
    <cellStyle name="40% - Accent1 24" xfId="486" xr:uid="{A6C52F64-E920-44E2-83C2-C7B6897CA8A7}"/>
    <cellStyle name="40% - Accent1 25" xfId="506" xr:uid="{7A893C77-F821-4DD6-9944-D306A5A5EEF8}"/>
    <cellStyle name="40% - Accent1 26" xfId="526" xr:uid="{D7D08AD3-91AF-456E-8D99-4141EDA6F0E7}"/>
    <cellStyle name="40% - Accent1 27" xfId="546" xr:uid="{EEA55C92-0A61-465F-AE8C-36D894945BE2}"/>
    <cellStyle name="40% - Accent1 28" xfId="566" xr:uid="{1D293122-DFF6-4FE7-B483-7F987455D974}"/>
    <cellStyle name="40% - Accent1 29" xfId="586" xr:uid="{FEC7BEC2-A01E-4F9F-9082-E75E307F80A2}"/>
    <cellStyle name="40% - Accent1 3" xfId="66" xr:uid="{C5FF0AE0-9DC6-4325-B779-EA8645D025A2}"/>
    <cellStyle name="40% - Accent1 4" xfId="86" xr:uid="{3B96C922-86CD-46B2-8869-931EE759F933}"/>
    <cellStyle name="40% - Accent1 5" xfId="106" xr:uid="{85B1821B-1A3C-43F6-9E7B-8226FAA848E3}"/>
    <cellStyle name="40% - Accent1 6" xfId="126" xr:uid="{CBB9C84F-918E-42C9-AA09-8DA532BF3D42}"/>
    <cellStyle name="40% - Accent1 7" xfId="146" xr:uid="{B636F771-8D22-4362-8B9C-86BFBB49F69E}"/>
    <cellStyle name="40% - Accent1 8" xfId="166" xr:uid="{68F7464D-1274-4131-9C43-0A8EDEE2B594}"/>
    <cellStyle name="40% - Accent1 9" xfId="186" xr:uid="{3EC9A275-6109-4790-B369-8594F4484CD3}"/>
    <cellStyle name="40% - Accent2" xfId="23" builtinId="35" customBuiltin="1"/>
    <cellStyle name="40% - Accent2 10" xfId="209" xr:uid="{BCB10DB3-3C76-44B5-BDA0-D4F1909B26B7}"/>
    <cellStyle name="40% - Accent2 11" xfId="229" xr:uid="{2730EE82-B703-42D8-856B-1AA41BE85682}"/>
    <cellStyle name="40% - Accent2 12" xfId="249" xr:uid="{775743E9-2832-4E23-AD12-B5BFF59039A2}"/>
    <cellStyle name="40% - Accent2 13" xfId="269" xr:uid="{3F1F4D81-F982-4C15-BF5A-14C0895643CC}"/>
    <cellStyle name="40% - Accent2 14" xfId="289" xr:uid="{FE1F5207-EECB-4E94-A4C2-EB91F1102CD0}"/>
    <cellStyle name="40% - Accent2 15" xfId="309" xr:uid="{DE5D1A61-BFCE-41F2-95DA-656CB9A5F841}"/>
    <cellStyle name="40% - Accent2 16" xfId="329" xr:uid="{9E06AA7E-6CE3-4096-A0F5-4065C3E5B4A2}"/>
    <cellStyle name="40% - Accent2 17" xfId="349" xr:uid="{F9BDE683-D9B7-4781-AFAC-ED9F46571198}"/>
    <cellStyle name="40% - Accent2 18" xfId="369" xr:uid="{67890147-B30D-41A2-8300-709240554FC3}"/>
    <cellStyle name="40% - Accent2 19" xfId="389" xr:uid="{4C18CB3D-287B-4427-ABCF-912C5FC2D3D7}"/>
    <cellStyle name="40% - Accent2 2" xfId="49" xr:uid="{9CD84762-3DC1-497C-A076-6BFC53BE0907}"/>
    <cellStyle name="40% - Accent2 20" xfId="409" xr:uid="{2FE29E33-260D-4563-9D8D-596322C2B0C5}"/>
    <cellStyle name="40% - Accent2 21" xfId="429" xr:uid="{B9156307-9002-4154-AA11-E2062F1F83C0}"/>
    <cellStyle name="40% - Accent2 22" xfId="449" xr:uid="{B3B3E0BD-F48C-4335-83BB-0D75FEF139BE}"/>
    <cellStyle name="40% - Accent2 23" xfId="469" xr:uid="{64CCF227-CBF2-43E2-B697-6431DFCC6ABB}"/>
    <cellStyle name="40% - Accent2 24" xfId="489" xr:uid="{A0C6CBCD-4305-49A5-95F3-DADB255155EC}"/>
    <cellStyle name="40% - Accent2 25" xfId="509" xr:uid="{9FC1A068-CF14-4AA7-B2E6-E4AF14CB9247}"/>
    <cellStyle name="40% - Accent2 26" xfId="529" xr:uid="{53DDF86F-A5A1-41F5-9186-96471CC4EA50}"/>
    <cellStyle name="40% - Accent2 27" xfId="549" xr:uid="{40DE7114-CAC5-49A9-955E-79B82BF967EF}"/>
    <cellStyle name="40% - Accent2 28" xfId="569" xr:uid="{0B99FDE5-37B5-4960-B4A8-ACDCB3CF19CD}"/>
    <cellStyle name="40% - Accent2 29" xfId="589" xr:uid="{5EDD3164-A53E-45C4-802D-B2623F0612AC}"/>
    <cellStyle name="40% - Accent2 3" xfId="69" xr:uid="{C4357897-DAD1-4EE1-92CE-1CCC08958CB2}"/>
    <cellStyle name="40% - Accent2 4" xfId="89" xr:uid="{33127532-E68D-49A8-B88F-F43C8A99BB7B}"/>
    <cellStyle name="40% - Accent2 5" xfId="109" xr:uid="{7E622D2F-7CB3-47D7-999C-7727FE8350CE}"/>
    <cellStyle name="40% - Accent2 6" xfId="129" xr:uid="{666CB500-8927-4777-AAC3-02F34D89CE7E}"/>
    <cellStyle name="40% - Accent2 7" xfId="149" xr:uid="{DC0542A2-3A92-47E1-A903-9B6BE69AEC6D}"/>
    <cellStyle name="40% - Accent2 8" xfId="169" xr:uid="{839FBE5B-64D4-4FFA-8D70-F9FFE9844002}"/>
    <cellStyle name="40% - Accent2 9" xfId="189" xr:uid="{20E502B5-A4AF-4EE6-8914-841287DC179A}"/>
    <cellStyle name="40% - Accent3" xfId="27" builtinId="39" customBuiltin="1"/>
    <cellStyle name="40% - Accent3 10" xfId="212" xr:uid="{8E71E9C4-DF5D-4BC0-8A00-F6EA5825DCBA}"/>
    <cellStyle name="40% - Accent3 11" xfId="232" xr:uid="{31987D67-A15C-46E3-974B-42C0E1BC37FC}"/>
    <cellStyle name="40% - Accent3 12" xfId="252" xr:uid="{23E8D6B8-02AC-406F-B198-ECDE9E45C8AB}"/>
    <cellStyle name="40% - Accent3 13" xfId="272" xr:uid="{B6FE86BE-84CE-49F4-95BD-9811D8CA92EA}"/>
    <cellStyle name="40% - Accent3 14" xfId="292" xr:uid="{163C6F31-238C-4E77-B9FA-DFC1600EAA1B}"/>
    <cellStyle name="40% - Accent3 15" xfId="312" xr:uid="{8A8057D3-D267-413A-88A6-86F5E0E006E4}"/>
    <cellStyle name="40% - Accent3 16" xfId="332" xr:uid="{2DD2FCF7-96AC-462F-A8B4-E48214D2B7A7}"/>
    <cellStyle name="40% - Accent3 17" xfId="352" xr:uid="{4E115EAE-E951-4EE1-BF0B-42D95576A4BB}"/>
    <cellStyle name="40% - Accent3 18" xfId="372" xr:uid="{397F0BB3-EC52-4428-8970-DFD843D32635}"/>
    <cellStyle name="40% - Accent3 19" xfId="392" xr:uid="{DDAEFD0C-AFB4-4AE4-93ED-67FF02014B40}"/>
    <cellStyle name="40% - Accent3 2" xfId="52" xr:uid="{27345479-383D-4CFE-A5FA-FADC3C3F8862}"/>
    <cellStyle name="40% - Accent3 20" xfId="412" xr:uid="{F94E90FB-92D9-4381-8771-9C15004E5EE5}"/>
    <cellStyle name="40% - Accent3 21" xfId="432" xr:uid="{180509AD-7D18-4324-8048-FDD2928FBF33}"/>
    <cellStyle name="40% - Accent3 22" xfId="452" xr:uid="{E4CF1A4B-498F-437E-A8AE-AF38BD509659}"/>
    <cellStyle name="40% - Accent3 23" xfId="472" xr:uid="{6BF68A1C-24E0-4158-8F04-B3B542478460}"/>
    <cellStyle name="40% - Accent3 24" xfId="492" xr:uid="{D4BCB5F8-E6BE-429B-9C83-A12511E5995D}"/>
    <cellStyle name="40% - Accent3 25" xfId="512" xr:uid="{932BE285-8727-45A5-B2D7-1920D660CA08}"/>
    <cellStyle name="40% - Accent3 26" xfId="532" xr:uid="{05E56D7F-BDE0-4549-82AA-F4BA4B1DB161}"/>
    <cellStyle name="40% - Accent3 27" xfId="552" xr:uid="{7B698F13-1FB8-49F6-87F2-0CD642FF0A15}"/>
    <cellStyle name="40% - Accent3 28" xfId="572" xr:uid="{92D61D46-09A2-4CD4-8843-740C94EEE496}"/>
    <cellStyle name="40% - Accent3 29" xfId="592" xr:uid="{B707A2C9-6559-4EF9-9486-971E1128CED1}"/>
    <cellStyle name="40% - Accent3 3" xfId="72" xr:uid="{C77D3562-F206-4D45-82A3-762687BB42A9}"/>
    <cellStyle name="40% - Accent3 4" xfId="92" xr:uid="{A9A1BC42-5F1D-49B1-BB9F-1369736B9934}"/>
    <cellStyle name="40% - Accent3 5" xfId="112" xr:uid="{3552C925-FC66-4998-8C48-75911FABE9C6}"/>
    <cellStyle name="40% - Accent3 6" xfId="132" xr:uid="{60F9E499-5AFB-42FC-B88D-93DAFCCE1D73}"/>
    <cellStyle name="40% - Accent3 7" xfId="152" xr:uid="{BE1DA9DD-8AE8-4C19-A9A7-6FE35C631307}"/>
    <cellStyle name="40% - Accent3 8" xfId="172" xr:uid="{2D60DBD6-34A5-48BA-BF8B-8239507F9932}"/>
    <cellStyle name="40% - Accent3 9" xfId="192" xr:uid="{C3BEEC06-71B7-4952-B26C-A89050A303E7}"/>
    <cellStyle name="40% - Accent4" xfId="31" builtinId="43" customBuiltin="1"/>
    <cellStyle name="40% - Accent4 10" xfId="215" xr:uid="{EAACA0A4-5DFD-4641-8234-A17A94C469F5}"/>
    <cellStyle name="40% - Accent4 11" xfId="235" xr:uid="{F28875D7-0C7D-4BA3-AB97-6B2AE9446FDA}"/>
    <cellStyle name="40% - Accent4 12" xfId="255" xr:uid="{256B7430-87DB-4D00-A0DB-C2DCC0D5F486}"/>
    <cellStyle name="40% - Accent4 13" xfId="275" xr:uid="{54BBB684-9890-4351-A58E-745A5B746680}"/>
    <cellStyle name="40% - Accent4 14" xfId="295" xr:uid="{CF074417-4C6D-4D19-94F8-453D675064A5}"/>
    <cellStyle name="40% - Accent4 15" xfId="315" xr:uid="{F4A1E3B8-8FC7-4E51-9BCD-83A91D152DC5}"/>
    <cellStyle name="40% - Accent4 16" xfId="335" xr:uid="{8CC3E351-4931-4286-86BA-D0B71D878B34}"/>
    <cellStyle name="40% - Accent4 17" xfId="355" xr:uid="{C1765EAC-2E5E-4F7B-908A-FAA38BAE9699}"/>
    <cellStyle name="40% - Accent4 18" xfId="375" xr:uid="{A8C1B4FA-7913-44C3-902B-2B841F0229EA}"/>
    <cellStyle name="40% - Accent4 19" xfId="395" xr:uid="{5B545A29-51F5-4472-B5C0-0CA3E7A74555}"/>
    <cellStyle name="40% - Accent4 2" xfId="55" xr:uid="{5E8428C9-13A6-4D40-A3E5-AA50A290C77F}"/>
    <cellStyle name="40% - Accent4 20" xfId="415" xr:uid="{48C7BA09-F45C-456E-9F64-79D16F40A27C}"/>
    <cellStyle name="40% - Accent4 21" xfId="435" xr:uid="{9C28AD23-886E-44EC-9D65-3D74D56BFD2B}"/>
    <cellStyle name="40% - Accent4 22" xfId="455" xr:uid="{AC5C3B6B-7E6B-44B8-A780-E26B2EECC6F6}"/>
    <cellStyle name="40% - Accent4 23" xfId="475" xr:uid="{B3FE1C2C-EB47-41BD-9A49-C4351D0AB76A}"/>
    <cellStyle name="40% - Accent4 24" xfId="495" xr:uid="{1CC54077-2491-4755-89EB-C9F6D88BF2DB}"/>
    <cellStyle name="40% - Accent4 25" xfId="515" xr:uid="{6364A9B2-4D66-4DCF-BC53-D647894006DC}"/>
    <cellStyle name="40% - Accent4 26" xfId="535" xr:uid="{8C3C9297-9F8F-48A4-9E88-49366696A574}"/>
    <cellStyle name="40% - Accent4 27" xfId="555" xr:uid="{46271FDE-F298-4FD9-8036-D3F1B9ED7522}"/>
    <cellStyle name="40% - Accent4 28" xfId="575" xr:uid="{BE955557-064E-47E4-97FE-3E1667043EBC}"/>
    <cellStyle name="40% - Accent4 29" xfId="595" xr:uid="{B6308262-F1D3-46FA-A78B-A8DB5E334AE1}"/>
    <cellStyle name="40% - Accent4 3" xfId="75" xr:uid="{1663FC3D-7E60-4FA0-BB39-F60A4B59F183}"/>
    <cellStyle name="40% - Accent4 4" xfId="95" xr:uid="{DBFE1E60-FDDD-4716-A3A4-B9948E1BABCB}"/>
    <cellStyle name="40% - Accent4 5" xfId="115" xr:uid="{A6B60716-332C-4158-99F9-9FFDC013164B}"/>
    <cellStyle name="40% - Accent4 6" xfId="135" xr:uid="{2BD0E670-48AD-40DD-9CF8-25E5D4E3F3CB}"/>
    <cellStyle name="40% - Accent4 7" xfId="155" xr:uid="{BBA1360B-A1C4-4D5D-8436-415184D0AD18}"/>
    <cellStyle name="40% - Accent4 8" xfId="175" xr:uid="{FD1FD079-E478-4A3E-BC53-0594C1B06F7F}"/>
    <cellStyle name="40% - Accent4 9" xfId="195" xr:uid="{EC2C28F9-B0E3-412A-898E-ECA16B16D201}"/>
    <cellStyle name="40% - Accent5" xfId="35" builtinId="47" customBuiltin="1"/>
    <cellStyle name="40% - Accent5 10" xfId="218" xr:uid="{AF2E10D6-133F-42CD-A3DC-87E2F3D5336E}"/>
    <cellStyle name="40% - Accent5 11" xfId="238" xr:uid="{41AC866E-9A3D-4885-92A6-76A622793321}"/>
    <cellStyle name="40% - Accent5 12" xfId="258" xr:uid="{5B006D01-D267-43A9-83C2-9FE8EE85C4F9}"/>
    <cellStyle name="40% - Accent5 13" xfId="278" xr:uid="{3BCB5672-5532-4EB6-8910-20EFE4817C56}"/>
    <cellStyle name="40% - Accent5 14" xfId="298" xr:uid="{D9A79F3E-AA72-4D20-9AF8-35A0FEA52B41}"/>
    <cellStyle name="40% - Accent5 15" xfId="318" xr:uid="{8ADACB3A-B079-45B9-84D0-5E3FC80B8752}"/>
    <cellStyle name="40% - Accent5 16" xfId="338" xr:uid="{B7F92036-98E6-437F-AF56-B87175F9112B}"/>
    <cellStyle name="40% - Accent5 17" xfId="358" xr:uid="{709DBCCE-5401-41A6-9EF3-E79FC1DCA237}"/>
    <cellStyle name="40% - Accent5 18" xfId="378" xr:uid="{0B3AA504-5E03-4E2A-AE3C-5E682C668127}"/>
    <cellStyle name="40% - Accent5 19" xfId="398" xr:uid="{C6F69C98-043D-46A9-8FEA-FE038B72C099}"/>
    <cellStyle name="40% - Accent5 2" xfId="58" xr:uid="{DCBA13B2-E116-46DC-97BB-DE5E3C9C231A}"/>
    <cellStyle name="40% - Accent5 20" xfId="418" xr:uid="{7169E56F-9545-4E8E-BA4F-C251C4D4C54F}"/>
    <cellStyle name="40% - Accent5 21" xfId="438" xr:uid="{9E967932-92E9-48BC-8F20-5DAFF0AF0464}"/>
    <cellStyle name="40% - Accent5 22" xfId="458" xr:uid="{2CEEA500-7D15-4E7B-A8FC-74B925CC874E}"/>
    <cellStyle name="40% - Accent5 23" xfId="478" xr:uid="{AF0A5617-9647-4B94-A2FD-1A7C22110A6A}"/>
    <cellStyle name="40% - Accent5 24" xfId="498" xr:uid="{841F3391-375B-4012-9A9C-3DAF21E1D3CE}"/>
    <cellStyle name="40% - Accent5 25" xfId="518" xr:uid="{57673CEC-BAF5-4735-9480-C053F040E171}"/>
    <cellStyle name="40% - Accent5 26" xfId="538" xr:uid="{A9A379CC-E6BE-4AC1-A8CE-84A845CDAC79}"/>
    <cellStyle name="40% - Accent5 27" xfId="558" xr:uid="{7E4AF51B-2FE2-4451-9DDC-74E0C41332F7}"/>
    <cellStyle name="40% - Accent5 28" xfId="578" xr:uid="{1288E102-3388-412B-A65B-9B91645CC24A}"/>
    <cellStyle name="40% - Accent5 29" xfId="598" xr:uid="{0DA24485-5294-4A35-B7FA-AE79A6707CB9}"/>
    <cellStyle name="40% - Accent5 3" xfId="78" xr:uid="{6D53D4F8-F92D-49C4-88FA-941441A04476}"/>
    <cellStyle name="40% - Accent5 4" xfId="98" xr:uid="{B24D48B7-A629-4652-AE6B-FAF7C0725F17}"/>
    <cellStyle name="40% - Accent5 5" xfId="118" xr:uid="{DE13B24B-8648-4BEC-B48F-768DEF0F2C0C}"/>
    <cellStyle name="40% - Accent5 6" xfId="138" xr:uid="{CD150B0D-E65E-4A0A-BC8C-930B34039DA3}"/>
    <cellStyle name="40% - Accent5 7" xfId="158" xr:uid="{FFB90B4E-2F68-4C31-B38C-A473C39061BE}"/>
    <cellStyle name="40% - Accent5 8" xfId="178" xr:uid="{E57AA841-D0B8-4B08-B418-0C3D5DBBCFDF}"/>
    <cellStyle name="40% - Accent5 9" xfId="198" xr:uid="{F2C0FAD4-7234-47F3-80CD-19D1C0D07A84}"/>
    <cellStyle name="40% - Accent6" xfId="39" builtinId="51" customBuiltin="1"/>
    <cellStyle name="40% - Accent6 10" xfId="221" xr:uid="{1D18129B-817B-4D75-A362-EE91A0EA91B9}"/>
    <cellStyle name="40% - Accent6 11" xfId="241" xr:uid="{ECF90E41-8C3A-4AC8-8B9C-912E9E8FC665}"/>
    <cellStyle name="40% - Accent6 12" xfId="261" xr:uid="{BC5A3952-B736-4820-94F5-533B3AA75614}"/>
    <cellStyle name="40% - Accent6 13" xfId="281" xr:uid="{A40006C9-0D6B-4140-89E1-5852DF818418}"/>
    <cellStyle name="40% - Accent6 14" xfId="301" xr:uid="{55873B3A-8386-4034-B0B6-93F41739BE00}"/>
    <cellStyle name="40% - Accent6 15" xfId="321" xr:uid="{830D431E-3A98-451B-A7C5-DDAD97C18BA7}"/>
    <cellStyle name="40% - Accent6 16" xfId="341" xr:uid="{3B549FCA-520B-4E79-866D-4C59E474CF8D}"/>
    <cellStyle name="40% - Accent6 17" xfId="361" xr:uid="{3516033E-C067-46E2-AA48-8EEC97A6C144}"/>
    <cellStyle name="40% - Accent6 18" xfId="381" xr:uid="{5F2E53B1-CD95-421D-8F12-F95A0B472D74}"/>
    <cellStyle name="40% - Accent6 19" xfId="401" xr:uid="{BA1DEA1D-E1F0-4424-810F-33718321FA49}"/>
    <cellStyle name="40% - Accent6 2" xfId="61" xr:uid="{0C1FC3F9-FA13-4AA5-9E96-85ED65082AFF}"/>
    <cellStyle name="40% - Accent6 20" xfId="421" xr:uid="{34762B63-FF1E-49FF-801E-4C3F764580C3}"/>
    <cellStyle name="40% - Accent6 21" xfId="441" xr:uid="{4C06BD62-DDBD-46FF-9D44-8AF3CA3CD207}"/>
    <cellStyle name="40% - Accent6 22" xfId="461" xr:uid="{0BFA7B16-067B-4227-945E-4450A941CFCC}"/>
    <cellStyle name="40% - Accent6 23" xfId="481" xr:uid="{E6FF89F4-89C4-40CB-91C2-BE5969E285C5}"/>
    <cellStyle name="40% - Accent6 24" xfId="501" xr:uid="{0E9046A7-0898-45BD-9B72-4A7301DA03A0}"/>
    <cellStyle name="40% - Accent6 25" xfId="521" xr:uid="{E28A2FC3-E833-4DE9-BD9F-CD54751BB162}"/>
    <cellStyle name="40% - Accent6 26" xfId="541" xr:uid="{E121416B-09B4-4E74-A054-85EBF0CB53FE}"/>
    <cellStyle name="40% - Accent6 27" xfId="561" xr:uid="{386F9DCC-5306-46D4-8FA2-6B26C106510C}"/>
    <cellStyle name="40% - Accent6 28" xfId="581" xr:uid="{29824B39-67F8-46B2-972F-D0E742C36133}"/>
    <cellStyle name="40% - Accent6 29" xfId="601" xr:uid="{F8119B39-A8E0-43D0-B9DC-B419FAAEDA24}"/>
    <cellStyle name="40% - Accent6 3" xfId="81" xr:uid="{889080AB-C661-4D0E-8E83-397B856ED88D}"/>
    <cellStyle name="40% - Accent6 4" xfId="101" xr:uid="{660682A1-69C7-4320-8857-79A9AAD303CB}"/>
    <cellStyle name="40% - Accent6 5" xfId="121" xr:uid="{26989EDF-377D-4949-9DEA-31A38AC7C07F}"/>
    <cellStyle name="40% - Accent6 6" xfId="141" xr:uid="{ACD8F233-1371-415B-B6C7-596073522CAD}"/>
    <cellStyle name="40% - Accent6 7" xfId="161" xr:uid="{E9E5D226-A29C-434E-8C36-79E2CC02DB10}"/>
    <cellStyle name="40% - Accent6 8" xfId="181" xr:uid="{19764F09-3A4A-4970-A062-D435026BA8DA}"/>
    <cellStyle name="40% - Accent6 9" xfId="201" xr:uid="{1CFB7FA6-49BC-4077-9256-4F4CCA11F438}"/>
    <cellStyle name="60% - Accent1" xfId="20" builtinId="32" customBuiltin="1"/>
    <cellStyle name="60% - Accent1 10" xfId="207" xr:uid="{211EF909-187D-495D-8971-5B13FF71C331}"/>
    <cellStyle name="60% - Accent1 11" xfId="227" xr:uid="{306D62FA-6B0A-4076-99FB-7F0EFA74200D}"/>
    <cellStyle name="60% - Accent1 12" xfId="247" xr:uid="{651CB87B-0433-473A-8771-80C5EDA2399F}"/>
    <cellStyle name="60% - Accent1 13" xfId="267" xr:uid="{2A88679C-3F69-44E4-9E27-9ED70B6B38B1}"/>
    <cellStyle name="60% - Accent1 14" xfId="287" xr:uid="{4AD6BF55-6AFA-43CF-8CA2-F6C3D8995D72}"/>
    <cellStyle name="60% - Accent1 15" xfId="307" xr:uid="{148E5FB7-7AF1-40DB-BF13-CEB26011CA16}"/>
    <cellStyle name="60% - Accent1 16" xfId="327" xr:uid="{84E5869F-08C2-4F47-9B35-77942CD8314B}"/>
    <cellStyle name="60% - Accent1 17" xfId="347" xr:uid="{13D2C4E0-BDC3-4D63-8E03-59805FB14B4A}"/>
    <cellStyle name="60% - Accent1 18" xfId="367" xr:uid="{88D383FA-A471-4D81-8BC2-9F7FC8987F6F}"/>
    <cellStyle name="60% - Accent1 19" xfId="387" xr:uid="{78424877-2CD5-4525-9ED2-2DA5D85E0CA7}"/>
    <cellStyle name="60% - Accent1 2" xfId="47" xr:uid="{2C761084-7D76-496F-AE54-19CA53218C04}"/>
    <cellStyle name="60% - Accent1 20" xfId="407" xr:uid="{929CA41F-0420-47F7-B24B-DA63D7D70163}"/>
    <cellStyle name="60% - Accent1 21" xfId="427" xr:uid="{F0D268A0-C5A5-40C4-9DE6-8439DA3AED41}"/>
    <cellStyle name="60% - Accent1 22" xfId="447" xr:uid="{53874700-B08D-4DE7-BA72-5D82BEF1B68C}"/>
    <cellStyle name="60% - Accent1 23" xfId="467" xr:uid="{034DCF01-74D4-4888-A9DC-0BE8BAF1C65C}"/>
    <cellStyle name="60% - Accent1 24" xfId="487" xr:uid="{EDC6EFE6-CDBC-4D6A-85A2-5F778D893871}"/>
    <cellStyle name="60% - Accent1 25" xfId="507" xr:uid="{E36C9CA7-4CB6-4182-8CFB-1C4171A24C5D}"/>
    <cellStyle name="60% - Accent1 26" xfId="527" xr:uid="{96E8D376-3C9A-4755-AF7F-94ECB4A745BA}"/>
    <cellStyle name="60% - Accent1 27" xfId="547" xr:uid="{1AD2DD91-999E-4AFC-A47F-5D795C8B8A2F}"/>
    <cellStyle name="60% - Accent1 28" xfId="567" xr:uid="{359EF025-8088-4A88-9A30-B217B5614988}"/>
    <cellStyle name="60% - Accent1 29" xfId="587" xr:uid="{AA2FFC56-D5C0-4B07-8F71-6A6ABF0DA18A}"/>
    <cellStyle name="60% - Accent1 3" xfId="67" xr:uid="{0F4E860D-845C-4AF9-B72B-A8AF95A1C544}"/>
    <cellStyle name="60% - Accent1 4" xfId="87" xr:uid="{1320768F-2302-47B1-B78E-363806720AE3}"/>
    <cellStyle name="60% - Accent1 5" xfId="107" xr:uid="{C4657FB0-E7DB-4B8C-9D62-0F75DC3116BF}"/>
    <cellStyle name="60% - Accent1 6" xfId="127" xr:uid="{10B5DB45-3755-4831-8D16-44550637FB33}"/>
    <cellStyle name="60% - Accent1 7" xfId="147" xr:uid="{608F2930-7B36-4725-B121-B72898A4BC1D}"/>
    <cellStyle name="60% - Accent1 8" xfId="167" xr:uid="{A7C4809D-EBD9-48F0-A36F-7C5043BC4B12}"/>
    <cellStyle name="60% - Accent1 9" xfId="187" xr:uid="{5B28E3C8-A6D5-4B75-8C5B-BEE41369FEBF}"/>
    <cellStyle name="60% - Accent2" xfId="24" builtinId="36" customBuiltin="1"/>
    <cellStyle name="60% - Accent2 10" xfId="210" xr:uid="{9ADBE7C1-3742-4793-A35D-292105C47EE7}"/>
    <cellStyle name="60% - Accent2 11" xfId="230" xr:uid="{BB816D67-F8C1-43AE-99D8-0C94A064CCC7}"/>
    <cellStyle name="60% - Accent2 12" xfId="250" xr:uid="{A86FE201-7E2E-40F4-B958-604EE92631DC}"/>
    <cellStyle name="60% - Accent2 13" xfId="270" xr:uid="{EEB28461-2DC3-41FD-99A9-81CDC6B2291D}"/>
    <cellStyle name="60% - Accent2 14" xfId="290" xr:uid="{0DCA7D5C-4B97-4067-A376-66CD8F18E99B}"/>
    <cellStyle name="60% - Accent2 15" xfId="310" xr:uid="{0B07A03C-5270-4793-B047-5281C787E167}"/>
    <cellStyle name="60% - Accent2 16" xfId="330" xr:uid="{F1407B06-6FE2-47EE-94AE-0150814BC24C}"/>
    <cellStyle name="60% - Accent2 17" xfId="350" xr:uid="{DAFD6261-0B60-4EB6-9BC6-491D2B9BCE8C}"/>
    <cellStyle name="60% - Accent2 18" xfId="370" xr:uid="{DC266194-C4E0-424B-8CC0-550456CEB459}"/>
    <cellStyle name="60% - Accent2 19" xfId="390" xr:uid="{C14E682B-85C6-443A-8352-F7A308495147}"/>
    <cellStyle name="60% - Accent2 2" xfId="50" xr:uid="{95AC152C-91C8-462B-89F2-7B7BA22D2B0C}"/>
    <cellStyle name="60% - Accent2 20" xfId="410" xr:uid="{D3233991-7CF7-4C4A-9859-B0CB7B8D717E}"/>
    <cellStyle name="60% - Accent2 21" xfId="430" xr:uid="{FD19606D-65D8-4599-B047-8E6317EDABC1}"/>
    <cellStyle name="60% - Accent2 22" xfId="450" xr:uid="{8D33808D-546B-4618-B881-1E999CC7932C}"/>
    <cellStyle name="60% - Accent2 23" xfId="470" xr:uid="{87E110F1-8D06-4F32-B7C8-E6DD777155B1}"/>
    <cellStyle name="60% - Accent2 24" xfId="490" xr:uid="{F73C1293-BCC1-416D-BC38-17FB6EB7FDB7}"/>
    <cellStyle name="60% - Accent2 25" xfId="510" xr:uid="{5A43DC4D-B1CD-43AD-AADA-D4123BC521D9}"/>
    <cellStyle name="60% - Accent2 26" xfId="530" xr:uid="{3039BAB1-F4E4-4C92-B10E-F23AB0B01F4D}"/>
    <cellStyle name="60% - Accent2 27" xfId="550" xr:uid="{7A5CC28B-2429-4080-8684-8F3714CE74A7}"/>
    <cellStyle name="60% - Accent2 28" xfId="570" xr:uid="{A0932490-D56C-4C9D-B768-854D18EFB2D7}"/>
    <cellStyle name="60% - Accent2 29" xfId="590" xr:uid="{47A24AB8-5FB3-4B37-AF1B-37EC68452731}"/>
    <cellStyle name="60% - Accent2 3" xfId="70" xr:uid="{8D138D09-77FC-4B39-A5B2-6E941CE3C845}"/>
    <cellStyle name="60% - Accent2 4" xfId="90" xr:uid="{83C5C824-EFE3-415B-A8A8-77AE06203008}"/>
    <cellStyle name="60% - Accent2 5" xfId="110" xr:uid="{86E369B5-E3C4-4F75-A76C-79994F2DBC1C}"/>
    <cellStyle name="60% - Accent2 6" xfId="130" xr:uid="{DD288E3B-76C6-4830-BA9A-26A82A30AFF5}"/>
    <cellStyle name="60% - Accent2 7" xfId="150" xr:uid="{7409C318-BFF3-457E-861B-63610FD31CB8}"/>
    <cellStyle name="60% - Accent2 8" xfId="170" xr:uid="{7CD97B63-5E90-45EE-9760-409D1A8F76B0}"/>
    <cellStyle name="60% - Accent2 9" xfId="190" xr:uid="{0FD45B84-B386-414F-BA9B-1CD8A38DC703}"/>
    <cellStyle name="60% - Accent3" xfId="28" builtinId="40" customBuiltin="1"/>
    <cellStyle name="60% - Accent3 10" xfId="213" xr:uid="{79A7709E-26DF-4C1F-AB26-7F24F2CCAB4C}"/>
    <cellStyle name="60% - Accent3 11" xfId="233" xr:uid="{296BDB66-A783-4F2D-89AD-0B1FD3640C5A}"/>
    <cellStyle name="60% - Accent3 12" xfId="253" xr:uid="{BC742BB2-6E47-47DD-A17B-3F4F49D3B554}"/>
    <cellStyle name="60% - Accent3 13" xfId="273" xr:uid="{AF36727E-001F-4176-A1D6-658749CD405B}"/>
    <cellStyle name="60% - Accent3 14" xfId="293" xr:uid="{E7040707-FB45-4E29-9046-896A7F822DE8}"/>
    <cellStyle name="60% - Accent3 15" xfId="313" xr:uid="{B5CCB62B-EEAD-4A7E-843A-2DF9C64F4F5A}"/>
    <cellStyle name="60% - Accent3 16" xfId="333" xr:uid="{5AF2C726-2CD3-405D-AAEE-86F795B85914}"/>
    <cellStyle name="60% - Accent3 17" xfId="353" xr:uid="{92525B1C-ED76-4DCA-AC95-B4A84FE41E6A}"/>
    <cellStyle name="60% - Accent3 18" xfId="373" xr:uid="{08F48CC0-7BB3-47A1-BE17-CDC457CCE9F3}"/>
    <cellStyle name="60% - Accent3 19" xfId="393" xr:uid="{0003CCCE-AD34-49AD-AC62-B6C68F69F3CB}"/>
    <cellStyle name="60% - Accent3 2" xfId="53" xr:uid="{B3C9CAA0-EA62-4DBF-A2E6-7530B4F2081C}"/>
    <cellStyle name="60% - Accent3 20" xfId="413" xr:uid="{5DB9BE63-4D26-4705-93B0-DAEB2AFC3B30}"/>
    <cellStyle name="60% - Accent3 21" xfId="433" xr:uid="{32D9623B-036A-4394-BE5E-56F130842D8A}"/>
    <cellStyle name="60% - Accent3 22" xfId="453" xr:uid="{3277ABA3-3357-41F9-9356-B2E536F33261}"/>
    <cellStyle name="60% - Accent3 23" xfId="473" xr:uid="{1BDFABF3-D780-4DFB-8455-9A834FCD50FC}"/>
    <cellStyle name="60% - Accent3 24" xfId="493" xr:uid="{8D0AA66E-D325-45F2-A473-717F8BE98E70}"/>
    <cellStyle name="60% - Accent3 25" xfId="513" xr:uid="{0ADAC121-FCE8-4D6C-9EB7-997E33C25DDE}"/>
    <cellStyle name="60% - Accent3 26" xfId="533" xr:uid="{10C4BF44-1DE8-4DFA-9C09-A0B972533362}"/>
    <cellStyle name="60% - Accent3 27" xfId="553" xr:uid="{FDD669F7-F4FA-42D3-871A-3CA9307EF590}"/>
    <cellStyle name="60% - Accent3 28" xfId="573" xr:uid="{3821C6F6-F142-4825-A00C-12B180863E8A}"/>
    <cellStyle name="60% - Accent3 29" xfId="593" xr:uid="{6B8BDD68-DA32-42F7-B3C9-6672D56A402D}"/>
    <cellStyle name="60% - Accent3 3" xfId="73" xr:uid="{6C69A61D-10A0-4671-84CF-8DE68EE3EFF3}"/>
    <cellStyle name="60% - Accent3 4" xfId="93" xr:uid="{ABE31233-0A80-4325-B77A-3DD601CD19FE}"/>
    <cellStyle name="60% - Accent3 5" xfId="113" xr:uid="{F0F03E89-B5D3-4021-906C-B3179CADEC84}"/>
    <cellStyle name="60% - Accent3 6" xfId="133" xr:uid="{A335C10E-94D0-48BB-87EB-8956117FF487}"/>
    <cellStyle name="60% - Accent3 7" xfId="153" xr:uid="{028895F0-B95D-405A-AAAB-40D4A9CFDBDD}"/>
    <cellStyle name="60% - Accent3 8" xfId="173" xr:uid="{3621ED01-F179-4D3F-92A4-BB524C40FC3D}"/>
    <cellStyle name="60% - Accent3 9" xfId="193" xr:uid="{D0A9E7F2-37DA-466B-8CE3-AC88D09CD90D}"/>
    <cellStyle name="60% - Accent4" xfId="32" builtinId="44" customBuiltin="1"/>
    <cellStyle name="60% - Accent4 10" xfId="216" xr:uid="{56AD2483-B375-400E-9CD6-4651611C06C8}"/>
    <cellStyle name="60% - Accent4 11" xfId="236" xr:uid="{316CBF1C-877C-4FF0-9E0D-010C5745A057}"/>
    <cellStyle name="60% - Accent4 12" xfId="256" xr:uid="{9EEE59C1-BF88-400D-AF33-83D21CCD7262}"/>
    <cellStyle name="60% - Accent4 13" xfId="276" xr:uid="{B2A93853-8A75-4F26-9E40-C4F7E21F5AA1}"/>
    <cellStyle name="60% - Accent4 14" xfId="296" xr:uid="{0BC9B174-6D8B-46E3-BF72-0AC6534D8B86}"/>
    <cellStyle name="60% - Accent4 15" xfId="316" xr:uid="{C4C7DC0C-643E-4865-84FD-C5CA6BBD62B4}"/>
    <cellStyle name="60% - Accent4 16" xfId="336" xr:uid="{872DBCFC-A69C-4FAC-A0A6-8CB254C59507}"/>
    <cellStyle name="60% - Accent4 17" xfId="356" xr:uid="{48AD1F91-0BB4-4034-BEB4-D12715E5CA3C}"/>
    <cellStyle name="60% - Accent4 18" xfId="376" xr:uid="{B12543FF-34B5-4674-B752-6D1D355CCC55}"/>
    <cellStyle name="60% - Accent4 19" xfId="396" xr:uid="{5685AF95-4CB8-4DB8-B50C-8FED9089EE6E}"/>
    <cellStyle name="60% - Accent4 2" xfId="56" xr:uid="{FA413333-7483-4D59-A726-025E5D799FF0}"/>
    <cellStyle name="60% - Accent4 20" xfId="416" xr:uid="{465ECEA1-4F30-4ED0-8491-44EBA425ADE2}"/>
    <cellStyle name="60% - Accent4 21" xfId="436" xr:uid="{1509C018-BBDD-4751-8B43-E7C5A826BDC9}"/>
    <cellStyle name="60% - Accent4 22" xfId="456" xr:uid="{1579662F-3929-4D6F-892A-9E00C6FA9E4F}"/>
    <cellStyle name="60% - Accent4 23" xfId="476" xr:uid="{606C67D8-9CDC-404C-B13B-5184374D96E7}"/>
    <cellStyle name="60% - Accent4 24" xfId="496" xr:uid="{696D375F-F10D-4929-A4ED-C6DE48DB4374}"/>
    <cellStyle name="60% - Accent4 25" xfId="516" xr:uid="{1BEAA4CA-B38A-4750-AB7A-3296071F8459}"/>
    <cellStyle name="60% - Accent4 26" xfId="536" xr:uid="{02ADB13E-A088-453D-ABB7-F24BAF00F577}"/>
    <cellStyle name="60% - Accent4 27" xfId="556" xr:uid="{FFF384C0-36F1-4012-8007-B68C58C7ADC6}"/>
    <cellStyle name="60% - Accent4 28" xfId="576" xr:uid="{44898F7E-763F-4B77-98BC-5EE33800EBCD}"/>
    <cellStyle name="60% - Accent4 29" xfId="596" xr:uid="{A7BF7B2A-13C7-4ED1-B52D-A6595D2713EC}"/>
    <cellStyle name="60% - Accent4 3" xfId="76" xr:uid="{F5512C6D-FA54-40E6-A274-3EE4F99AA20B}"/>
    <cellStyle name="60% - Accent4 4" xfId="96" xr:uid="{CDFB6F97-C803-419C-9564-D6CC70990CD0}"/>
    <cellStyle name="60% - Accent4 5" xfId="116" xr:uid="{F719006D-7D3B-4660-8660-ED2E599823C9}"/>
    <cellStyle name="60% - Accent4 6" xfId="136" xr:uid="{1C2A97AB-E986-4A07-9B00-CCE5327E6471}"/>
    <cellStyle name="60% - Accent4 7" xfId="156" xr:uid="{7D57C3D4-58A9-4C3E-A9FA-8A7AB1AC0B16}"/>
    <cellStyle name="60% - Accent4 8" xfId="176" xr:uid="{78B249A6-34B5-4DE4-BC02-63607CC0DB70}"/>
    <cellStyle name="60% - Accent4 9" xfId="196" xr:uid="{738571D6-8D98-43F6-BCD6-20231A7C4EBE}"/>
    <cellStyle name="60% - Accent5" xfId="36" builtinId="48" customBuiltin="1"/>
    <cellStyle name="60% - Accent5 10" xfId="219" xr:uid="{0C2328C2-1D35-41C1-8C55-16F7203EAC74}"/>
    <cellStyle name="60% - Accent5 11" xfId="239" xr:uid="{A9CCE838-D34F-47C9-8075-FDAE0619EAA8}"/>
    <cellStyle name="60% - Accent5 12" xfId="259" xr:uid="{73E40BA3-094B-4B6A-A0C0-0C88AF07B282}"/>
    <cellStyle name="60% - Accent5 13" xfId="279" xr:uid="{D8BD7107-B112-496F-BDBF-4A86085CEE1A}"/>
    <cellStyle name="60% - Accent5 14" xfId="299" xr:uid="{3C116145-E27E-4B7A-BF62-A925A64FC2A2}"/>
    <cellStyle name="60% - Accent5 15" xfId="319" xr:uid="{F5CCBD3A-2502-4A01-948A-37ABD3C708CB}"/>
    <cellStyle name="60% - Accent5 16" xfId="339" xr:uid="{F9B374A2-353C-4EC0-9599-D29CF2933789}"/>
    <cellStyle name="60% - Accent5 17" xfId="359" xr:uid="{CC5428C5-0DBB-4434-9272-979FF980D31B}"/>
    <cellStyle name="60% - Accent5 18" xfId="379" xr:uid="{E7E0F3D0-BAB6-4304-900A-A42DDB476ECE}"/>
    <cellStyle name="60% - Accent5 19" xfId="399" xr:uid="{4B6B0185-C8B3-49AF-9CC6-C1A8D122F52B}"/>
    <cellStyle name="60% - Accent5 2" xfId="59" xr:uid="{2865EE7D-CD9B-4EC8-8C23-D74A43873122}"/>
    <cellStyle name="60% - Accent5 20" xfId="419" xr:uid="{AF4D5068-55F3-44F8-B000-B509F0BC1349}"/>
    <cellStyle name="60% - Accent5 21" xfId="439" xr:uid="{E41C9248-CA4B-442B-A152-61481C4DFBF9}"/>
    <cellStyle name="60% - Accent5 22" xfId="459" xr:uid="{65E61F44-6C8C-44CD-B2C6-C412B7FE721D}"/>
    <cellStyle name="60% - Accent5 23" xfId="479" xr:uid="{20D4A5A8-E1DE-4C8E-BDA9-4081FEB13CC4}"/>
    <cellStyle name="60% - Accent5 24" xfId="499" xr:uid="{C083B0A9-7D0B-44BE-8411-EBDC2ACDA176}"/>
    <cellStyle name="60% - Accent5 25" xfId="519" xr:uid="{347FFBA8-AF4F-42A2-ABDA-F7075B32EE22}"/>
    <cellStyle name="60% - Accent5 26" xfId="539" xr:uid="{E5637802-C5EB-4328-83DC-5A24BDFEF8A3}"/>
    <cellStyle name="60% - Accent5 27" xfId="559" xr:uid="{11BA4A18-3F8E-4615-9C71-02D52422A92A}"/>
    <cellStyle name="60% - Accent5 28" xfId="579" xr:uid="{B4F422A7-21D0-4178-B8D8-80CCD65DD429}"/>
    <cellStyle name="60% - Accent5 29" xfId="599" xr:uid="{550749C1-9E42-4F48-A836-B14372D877BA}"/>
    <cellStyle name="60% - Accent5 3" xfId="79" xr:uid="{5D3ADB93-35EC-4F06-A0A0-0E0569ECBA99}"/>
    <cellStyle name="60% - Accent5 4" xfId="99" xr:uid="{8AAFD6F2-61AF-4554-B75B-CE52FE1CA8F0}"/>
    <cellStyle name="60% - Accent5 5" xfId="119" xr:uid="{11CCB16E-04E4-4471-BD47-EB4BA8288318}"/>
    <cellStyle name="60% - Accent5 6" xfId="139" xr:uid="{FBFBEE42-014E-45A1-B0D5-C7847824851F}"/>
    <cellStyle name="60% - Accent5 7" xfId="159" xr:uid="{12388B2F-EAE7-4599-8D17-57BF41FB6904}"/>
    <cellStyle name="60% - Accent5 8" xfId="179" xr:uid="{D02109B3-2B1E-4FEC-B839-3499B4CA8CD8}"/>
    <cellStyle name="60% - Accent5 9" xfId="199" xr:uid="{7A984B52-CA1E-4037-B43D-C76D99B71848}"/>
    <cellStyle name="60% - Accent6" xfId="40" builtinId="52" customBuiltin="1"/>
    <cellStyle name="60% - Accent6 10" xfId="222" xr:uid="{5B96DC76-BE55-473E-8B10-218EADC2BD13}"/>
    <cellStyle name="60% - Accent6 11" xfId="242" xr:uid="{AEB9C598-CD2C-40D5-A907-EB20C78351FE}"/>
    <cellStyle name="60% - Accent6 12" xfId="262" xr:uid="{564DF308-0A1D-460A-8D58-066D244A393E}"/>
    <cellStyle name="60% - Accent6 13" xfId="282" xr:uid="{23C97483-F625-4079-8B1A-0FE46AD15396}"/>
    <cellStyle name="60% - Accent6 14" xfId="302" xr:uid="{8F12E7D0-A5E2-4BD3-A1FA-9CAB588A0CE7}"/>
    <cellStyle name="60% - Accent6 15" xfId="322" xr:uid="{9FED77B7-81C2-481B-A20C-FF49913BEE51}"/>
    <cellStyle name="60% - Accent6 16" xfId="342" xr:uid="{5F86458E-8D61-48D2-8C05-D11C01642C45}"/>
    <cellStyle name="60% - Accent6 17" xfId="362" xr:uid="{57BB364E-7360-466A-ADF8-CE89B55B89F4}"/>
    <cellStyle name="60% - Accent6 18" xfId="382" xr:uid="{1C56C787-A1D0-4204-93FA-5E1BF89862EB}"/>
    <cellStyle name="60% - Accent6 19" xfId="402" xr:uid="{B6A8BAA6-0055-45E0-B5B9-C69B86D462DD}"/>
    <cellStyle name="60% - Accent6 2" xfId="62" xr:uid="{784EF3AC-5948-4FA8-AE0C-E5437ABEEC11}"/>
    <cellStyle name="60% - Accent6 20" xfId="422" xr:uid="{A277C86C-DA8A-47EB-B16F-FC7E406A1292}"/>
    <cellStyle name="60% - Accent6 21" xfId="442" xr:uid="{CFE6E772-AE8D-4410-AC82-70D9D6AB5DB3}"/>
    <cellStyle name="60% - Accent6 22" xfId="462" xr:uid="{0CCC534C-3B52-4464-94F6-66C2F87C29FD}"/>
    <cellStyle name="60% - Accent6 23" xfId="482" xr:uid="{819F0003-ACEE-40A9-9006-FB814A54B137}"/>
    <cellStyle name="60% - Accent6 24" xfId="502" xr:uid="{13A1B04A-D46A-4D4C-922F-8BF0D52AD938}"/>
    <cellStyle name="60% - Accent6 25" xfId="522" xr:uid="{961E8A40-793F-4B33-A876-734369FAB612}"/>
    <cellStyle name="60% - Accent6 26" xfId="542" xr:uid="{5F97077F-9658-42A3-B1FD-037C3FFE66F6}"/>
    <cellStyle name="60% - Accent6 27" xfId="562" xr:uid="{D7C54376-FCD0-4D30-A575-A557A3BE4235}"/>
    <cellStyle name="60% - Accent6 28" xfId="582" xr:uid="{CC10833E-2FAE-4ECE-AEA7-C30AC3F57AF4}"/>
    <cellStyle name="60% - Accent6 29" xfId="602" xr:uid="{D7FBADAE-29E6-4ABD-A8DC-9E9B4FFD0370}"/>
    <cellStyle name="60% - Accent6 3" xfId="82" xr:uid="{99D4D5AD-E101-4052-88BC-69E7E8B110F1}"/>
    <cellStyle name="60% - Accent6 4" xfId="102" xr:uid="{F5333DFC-9456-4BB9-B87E-5F5A9FA87246}"/>
    <cellStyle name="60% - Accent6 5" xfId="122" xr:uid="{1F66E3F1-8D3C-4B5C-BE0C-FFB866FBC06A}"/>
    <cellStyle name="60% - Accent6 6" xfId="142" xr:uid="{32DF3392-30E9-4F09-A630-433E75DB0FCA}"/>
    <cellStyle name="60% - Accent6 7" xfId="162" xr:uid="{78B4601D-B084-4EC4-AA2B-2BB2C44D1D2A}"/>
    <cellStyle name="60% - Accent6 8" xfId="182" xr:uid="{3A6CB32D-2DC1-412E-ADF3-41485A168BE9}"/>
    <cellStyle name="60% - Accent6 9" xfId="202" xr:uid="{64D48F45-EA63-4F4E-BC95-01A6074ED4D3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183" xr:uid="{69EB3DB4-8B82-4676-8380-98A417CAB834}"/>
    <cellStyle name="Normal 11" xfId="203" xr:uid="{B6251844-2540-4C0C-B9EA-8E357103E1F8}"/>
    <cellStyle name="Normal 12" xfId="223" xr:uid="{05C835CF-365E-4C5E-B63B-A943F5C9AA53}"/>
    <cellStyle name="Normal 13" xfId="243" xr:uid="{5290314E-843A-4DB8-A595-33BE2CF053FB}"/>
    <cellStyle name="Normal 14" xfId="263" xr:uid="{E2279D53-58AC-45E1-80C9-7FB431227968}"/>
    <cellStyle name="Normal 15" xfId="283" xr:uid="{1247C7AF-D189-437E-AC56-7D6F6C2EA70A}"/>
    <cellStyle name="Normal 16" xfId="303" xr:uid="{4518735E-251F-4A12-B64D-E0F553491337}"/>
    <cellStyle name="Normal 17" xfId="323" xr:uid="{2B5F1925-6709-46DC-9A4E-0E4E939C6742}"/>
    <cellStyle name="Normal 18" xfId="343" xr:uid="{1547B0A4-692E-4891-93AB-9D9DE0A339EA}"/>
    <cellStyle name="Normal 19" xfId="363" xr:uid="{06DE2884-B778-48D2-ACFD-FD4126B12139}"/>
    <cellStyle name="Normal 2" xfId="41" xr:uid="{4FD41765-5792-4293-AC43-0CE3F2A7F42D}"/>
    <cellStyle name="Normal 20" xfId="383" xr:uid="{0580ABA6-DB9F-411B-82C9-B7B17AFBB950}"/>
    <cellStyle name="Normal 21" xfId="403" xr:uid="{4F2CE133-5208-42D4-997C-8EAACDB221C3}"/>
    <cellStyle name="Normal 22" xfId="423" xr:uid="{C0755187-0A00-413D-BB17-1FA8AFE70C35}"/>
    <cellStyle name="Normal 23" xfId="443" xr:uid="{5D95EFD7-E5F9-4C18-91C9-C25FD0E86CE3}"/>
    <cellStyle name="Normal 24" xfId="463" xr:uid="{C88B92D7-CEEA-4532-948A-3C4FB766E988}"/>
    <cellStyle name="Normal 25" xfId="483" xr:uid="{CA350321-A940-4D85-8C63-8A6BB226E54A}"/>
    <cellStyle name="Normal 26" xfId="503" xr:uid="{69043F52-E180-4371-844E-696E0577D751}"/>
    <cellStyle name="Normal 27" xfId="523" xr:uid="{603666B4-FAB1-4562-A9A8-7EC78D07FD66}"/>
    <cellStyle name="Normal 28" xfId="543" xr:uid="{B7B38885-BA78-4E7F-A2B6-18E000CE6DE9}"/>
    <cellStyle name="Normal 29" xfId="563" xr:uid="{7992567B-D90D-4511-8B29-725D865E27FB}"/>
    <cellStyle name="Normal 3" xfId="43" xr:uid="{32D72789-8330-4ECB-8805-C2828057EA5A}"/>
    <cellStyle name="Normal 30" xfId="583" xr:uid="{4D8AB846-B520-4D3F-A398-7DEDD6D40912}"/>
    <cellStyle name="Normal 4" xfId="63" xr:uid="{AE1135DC-4A01-403F-A094-8519D3EDE519}"/>
    <cellStyle name="Normal 5" xfId="83" xr:uid="{42F6E690-C4FB-4361-A196-D987B2391897}"/>
    <cellStyle name="Normal 6" xfId="103" xr:uid="{8F92977A-81F9-4855-B748-080BDC3E926D}"/>
    <cellStyle name="Normal 7" xfId="123" xr:uid="{1593D2CE-83A4-4CA9-A321-80950C6413D5}"/>
    <cellStyle name="Normal 8" xfId="143" xr:uid="{1F249979-C05F-49BA-AEC9-01A4FD6AFA71}"/>
    <cellStyle name="Normal 9" xfId="163" xr:uid="{90321611-7120-42AD-99C9-27F96D91A392}"/>
    <cellStyle name="Note 10" xfId="184" xr:uid="{E15BA5C4-341F-4320-91C2-4A787443F1AA}"/>
    <cellStyle name="Note 11" xfId="204" xr:uid="{70B8C98E-756C-4CF6-BFBE-A3441025081C}"/>
    <cellStyle name="Note 12" xfId="224" xr:uid="{3BB5FBFE-38D0-456B-AD24-D1EB26415056}"/>
    <cellStyle name="Note 13" xfId="244" xr:uid="{5EE4164E-E03F-4A24-B67B-0DA0BC8B68C9}"/>
    <cellStyle name="Note 14" xfId="264" xr:uid="{A1FA6829-18F6-4885-95C1-6EAB777991F2}"/>
    <cellStyle name="Note 15" xfId="284" xr:uid="{874B566F-AA4D-47A5-B730-DC5A848A1638}"/>
    <cellStyle name="Note 16" xfId="304" xr:uid="{0B715952-6DDD-4E71-8D71-15A85006C387}"/>
    <cellStyle name="Note 17" xfId="324" xr:uid="{F4B8D2ED-D9B3-4ECF-A44E-48E5CF0CFD41}"/>
    <cellStyle name="Note 18" xfId="344" xr:uid="{E45A1DB9-C333-4AC4-8800-A6341AF15797}"/>
    <cellStyle name="Note 19" xfId="364" xr:uid="{54F87BCD-024C-44F6-A7DE-DAFC9E11ED6D}"/>
    <cellStyle name="Note 2" xfId="42" xr:uid="{D5092E91-8E4B-41A2-A86A-EB94FE34E665}"/>
    <cellStyle name="Note 20" xfId="384" xr:uid="{3F234B8A-1F4B-4E68-B882-F89D1EBE4D27}"/>
    <cellStyle name="Note 21" xfId="404" xr:uid="{B51B2451-1CFF-420A-B701-3FDBB0E606FC}"/>
    <cellStyle name="Note 22" xfId="424" xr:uid="{CC7C8E6C-8173-4695-90CB-8901BE322D41}"/>
    <cellStyle name="Note 23" xfId="444" xr:uid="{D44752AD-EA59-4413-A1DB-8F552EE3C85F}"/>
    <cellStyle name="Note 24" xfId="464" xr:uid="{0B45E703-C0F2-49BC-A5B2-FD80C516E2E6}"/>
    <cellStyle name="Note 25" xfId="484" xr:uid="{514B4270-8F1B-464B-816D-160F2441741E}"/>
    <cellStyle name="Note 26" xfId="504" xr:uid="{CF6E7292-3CAA-476B-9A9C-BF9D3E1FA7D4}"/>
    <cellStyle name="Note 27" xfId="524" xr:uid="{DBFCA356-C3F0-4A2E-AFD4-E36A1C21F988}"/>
    <cellStyle name="Note 28" xfId="544" xr:uid="{4AC593D0-53A8-4F56-AEE7-A172EB25AF7D}"/>
    <cellStyle name="Note 29" xfId="564" xr:uid="{85AEE0AF-72F1-48A6-9F26-3C85801169EA}"/>
    <cellStyle name="Note 3" xfId="44" xr:uid="{E3A157FA-FBD1-44DC-8CA2-EB4BE6029425}"/>
    <cellStyle name="Note 30" xfId="584" xr:uid="{2953EFAF-FC4E-45B0-9064-56079607EAEF}"/>
    <cellStyle name="Note 4" xfId="64" xr:uid="{6EAF30B4-238A-4394-89E7-95D99E5342D0}"/>
    <cellStyle name="Note 5" xfId="84" xr:uid="{3E313446-269B-4891-8866-D64E5ED67320}"/>
    <cellStyle name="Note 6" xfId="104" xr:uid="{C66491DA-F183-44E5-AD09-FFF6B81E839C}"/>
    <cellStyle name="Note 7" xfId="124" xr:uid="{E77907EF-C7ED-41DD-99B9-D9EC5504D129}"/>
    <cellStyle name="Note 8" xfId="144" xr:uid="{4391D472-322B-485C-B582-F4AE33F446BA}"/>
    <cellStyle name="Note 9" xfId="164" xr:uid="{0B1B24AD-1E2A-4366-9AA2-F95BCD39D8E2}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 val="0"/>
        <i val="0"/>
      </font>
      <fill>
        <patternFill>
          <bgColor theme="9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95250</xdr:rowOff>
    </xdr:from>
    <xdr:to>
      <xdr:col>7</xdr:col>
      <xdr:colOff>523875</xdr:colOff>
      <xdr:row>3</xdr:row>
      <xdr:rowOff>47625</xdr:rowOff>
    </xdr:to>
    <xdr:pic macro="[0]!ClearRecords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19625" y="9525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10</xdr:col>
      <xdr:colOff>457240</xdr:colOff>
      <xdr:row>3</xdr:row>
      <xdr:rowOff>76240</xdr:rowOff>
    </xdr:to>
    <xdr:pic macro="[0]!ClearMatTrans">
      <xdr:nvPicPr>
        <xdr:cNvPr id="10" name="Picture 9">
          <a:extLst>
            <a:ext uri="{FF2B5EF4-FFF2-40B4-BE49-F238E27FC236}">
              <a16:creationId xmlns:a16="http://schemas.microsoft.com/office/drawing/2014/main" id="{4FBB0116-3EBF-BE81-E7D8-4135CDBD2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90500"/>
          <a:ext cx="457240" cy="457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2219325</xdr:colOff>
      <xdr:row>2</xdr:row>
      <xdr:rowOff>85725</xdr:rowOff>
    </xdr:from>
    <xdr:to>
      <xdr:col>1</xdr:col>
      <xdr:colOff>2676525</xdr:colOff>
      <xdr:row>4</xdr:row>
      <xdr:rowOff>161925</xdr:rowOff>
    </xdr:to>
    <xdr:pic macro="[0]!ClearILS">
      <xdr:nvPicPr>
        <xdr:cNvPr id="6" name="Graphic 5" descr="Erase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24225" y="466725"/>
          <a:ext cx="457200" cy="457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685800</xdr:colOff>
      <xdr:row>3</xdr:row>
      <xdr:rowOff>47625</xdr:rowOff>
    </xdr:from>
    <xdr:to>
      <xdr:col>4</xdr:col>
      <xdr:colOff>1143000</xdr:colOff>
      <xdr:row>5</xdr:row>
      <xdr:rowOff>123825</xdr:rowOff>
    </xdr:to>
    <xdr:pic macro="[0]!ClearOHD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62865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Ripon\Production%20Report\Production%20Report%202024%20XL\Mar%2024%20Shun%20Shing%20Cement%20Industries%20Ltd.xlsm" TargetMode="External"/><Relationship Id="rId1" Type="http://schemas.openxmlformats.org/officeDocument/2006/relationships/externalLinkPath" Target="Production%20Report/Production%20Report%202024%20XL/Mar%2024%20Shun%20Shing%20Cement%20Industries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10"/>
      <sheetName val="msg (7)"/>
      <sheetName val="Production Details by Shift (2)"/>
      <sheetName val="msg (6)"/>
      <sheetName val="msg (5)"/>
      <sheetName val="msg (4)"/>
      <sheetName val="msg (3)"/>
      <sheetName val="msg"/>
      <sheetName val="Production Details by Shift"/>
      <sheetName val="KPI DutyReg"/>
      <sheetName val="KPI Burs&amp;Power"/>
      <sheetName val="KPI Prod"/>
      <sheetName val="KPI Weight"/>
      <sheetName val="KPI Safety"/>
      <sheetName val="KPI ShortExc"/>
      <sheetName val="User"/>
      <sheetName val="Admin"/>
      <sheetName val="SCBL Production Report"/>
      <sheetName val="SCBL P Report Print"/>
      <sheetName val="SCBL Production Details"/>
      <sheetName val="SCBL Batch"/>
      <sheetName val="SCBL Trawler"/>
      <sheetName val="SCBL Trawler Rough"/>
      <sheetName val="Production Report"/>
      <sheetName val="P Report Print"/>
      <sheetName val="Production Details"/>
      <sheetName val="Monthly Summery"/>
      <sheetName val="Monthly"/>
      <sheetName val="Bursting"/>
      <sheetName val="Sheet4"/>
      <sheetName val="Gold Preparation"/>
      <sheetName val="Bag Stock"/>
      <sheetName val="Bulk"/>
      <sheetName val="Sheet3"/>
      <sheetName val="Sheet2"/>
      <sheetName val="Prod &amp; Burst"/>
      <sheetName val="Bursting &amp; Civil"/>
      <sheetName val="Sheet5"/>
      <sheetName val="Sheet6"/>
    </sheetNames>
    <sheetDataSet>
      <sheetData sheetId="0"/>
      <sheetData sheetId="1"/>
      <sheetData sheetId="2"/>
      <sheetData sheetId="3">
        <row r="5">
          <cell r="A5">
            <v>45352</v>
          </cell>
        </row>
        <row r="36">
          <cell r="MJ36">
            <v>315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6">
          <cell r="B6" t="str">
            <v>BM (2 PLY)</v>
          </cell>
          <cell r="C6" t="str">
            <v>AM (2 Ply)</v>
          </cell>
          <cell r="D6" t="str">
            <v>AM (1 PLY )</v>
          </cell>
          <cell r="E6" t="str">
            <v>AM (MES)</v>
          </cell>
          <cell r="F6" t="str">
            <v>Gold (2 PLY)</v>
          </cell>
          <cell r="G6" t="str">
            <v>Gold (1 PLY)</v>
          </cell>
          <cell r="H6" t="str">
            <v>Gold (1 Ply MES)</v>
          </cell>
          <cell r="I6" t="str">
            <v>AAA</v>
          </cell>
          <cell r="J6" t="str">
            <v>AAA</v>
          </cell>
          <cell r="K6" t="str">
            <v>AAA</v>
          </cell>
          <cell r="L6" t="str">
            <v>AAA</v>
          </cell>
          <cell r="M6" t="str">
            <v>AAA</v>
          </cell>
          <cell r="N6" t="str">
            <v>AAA</v>
          </cell>
          <cell r="O6" t="str">
            <v>AAA</v>
          </cell>
          <cell r="P6" t="str">
            <v>Total</v>
          </cell>
          <cell r="Q6" t="str">
            <v>BM (2 PLY)</v>
          </cell>
          <cell r="R6" t="str">
            <v>AM (2 Ply)</v>
          </cell>
          <cell r="S6" t="str">
            <v>AM (1 PLY )</v>
          </cell>
          <cell r="T6" t="str">
            <v>AM (MES)</v>
          </cell>
          <cell r="U6" t="str">
            <v>Gold (2 PLY)</v>
          </cell>
          <cell r="V6" t="str">
            <v>Gold (1 PLY)</v>
          </cell>
          <cell r="W6" t="str">
            <v>Gold (1 Ply MES)</v>
          </cell>
          <cell r="X6" t="str">
            <v>AAA</v>
          </cell>
          <cell r="Y6" t="str">
            <v>AAA</v>
          </cell>
          <cell r="Z6" t="str">
            <v>AAA</v>
          </cell>
          <cell r="AA6" t="str">
            <v>AAA</v>
          </cell>
          <cell r="AB6" t="str">
            <v>AAA</v>
          </cell>
          <cell r="AC6" t="str">
            <v>AAA</v>
          </cell>
          <cell r="AE6" t="str">
            <v>Total</v>
          </cell>
          <cell r="AF6" t="str">
            <v>BM (2 PLY)</v>
          </cell>
          <cell r="AG6" t="str">
            <v>AM (2 Ply)</v>
          </cell>
          <cell r="AH6" t="str">
            <v>AM (1 PLY )</v>
          </cell>
          <cell r="AI6" t="str">
            <v>AM (MES)</v>
          </cell>
          <cell r="AJ6" t="str">
            <v>Gold (2 PLY)</v>
          </cell>
          <cell r="AK6" t="str">
            <v>Gold (1 PLY)</v>
          </cell>
          <cell r="AL6" t="str">
            <v>Gold (1 Ply MES)</v>
          </cell>
          <cell r="AM6" t="str">
            <v>AAA</v>
          </cell>
          <cell r="AN6" t="str">
            <v>AAA</v>
          </cell>
          <cell r="AO6" t="str">
            <v>AAA</v>
          </cell>
          <cell r="AP6" t="str">
            <v>AAA</v>
          </cell>
          <cell r="AQ6" t="str">
            <v>AAA</v>
          </cell>
          <cell r="AR6" t="str">
            <v>AAA</v>
          </cell>
          <cell r="AT6" t="str">
            <v>Total</v>
          </cell>
          <cell r="AU6" t="str">
            <v>BM (2 PLY)</v>
          </cell>
          <cell r="AV6" t="str">
            <v>AM (2 Ply)</v>
          </cell>
          <cell r="AW6" t="str">
            <v>AM (1 PLY )</v>
          </cell>
          <cell r="AX6" t="str">
            <v>AM (MES)</v>
          </cell>
          <cell r="AY6" t="str">
            <v>Gold (2 PLY)</v>
          </cell>
          <cell r="AZ6" t="str">
            <v>Gold (1 PLY)</v>
          </cell>
          <cell r="BA6" t="str">
            <v>Gold (1 Ply MES)</v>
          </cell>
          <cell r="BB6" t="str">
            <v>AAA</v>
          </cell>
          <cell r="BC6" t="str">
            <v>AAA</v>
          </cell>
          <cell r="BD6" t="str">
            <v>AAA</v>
          </cell>
          <cell r="BE6" t="str">
            <v>AAA</v>
          </cell>
          <cell r="BF6" t="str">
            <v>AAA</v>
          </cell>
          <cell r="BG6" t="str">
            <v>AAA</v>
          </cell>
          <cell r="BH6" t="str">
            <v>AAA</v>
          </cell>
          <cell r="BI6" t="str">
            <v>Total</v>
          </cell>
          <cell r="BJ6" t="str">
            <v>BM (2 PLY)</v>
          </cell>
          <cell r="BK6" t="str">
            <v>AM (2 Ply)</v>
          </cell>
          <cell r="BL6" t="str">
            <v>AM (1 PLY )</v>
          </cell>
          <cell r="BM6" t="str">
            <v>AM (MES)</v>
          </cell>
          <cell r="BN6" t="str">
            <v>Gold (2 PLY)</v>
          </cell>
          <cell r="BO6" t="str">
            <v>Gold (1 PLY)</v>
          </cell>
          <cell r="BP6" t="str">
            <v>Gold (1 Ply MES)</v>
          </cell>
          <cell r="BQ6" t="str">
            <v>AAA</v>
          </cell>
          <cell r="BR6" t="str">
            <v>AAA</v>
          </cell>
          <cell r="BS6" t="str">
            <v>AAA</v>
          </cell>
          <cell r="BT6" t="str">
            <v>AAA</v>
          </cell>
          <cell r="BU6" t="str">
            <v>AAA</v>
          </cell>
          <cell r="BV6" t="str">
            <v>AAA</v>
          </cell>
          <cell r="BW6">
            <v>0</v>
          </cell>
          <cell r="BX6" t="str">
            <v>Total</v>
          </cell>
          <cell r="BY6" t="str">
            <v>BM</v>
          </cell>
          <cell r="BZ6" t="str">
            <v>AM</v>
          </cell>
          <cell r="CA6" t="str">
            <v>GOLD</v>
          </cell>
          <cell r="CB6" t="str">
            <v>Total</v>
          </cell>
        </row>
        <row r="7">
          <cell r="A7">
            <v>45352</v>
          </cell>
          <cell r="B7">
            <v>17354</v>
          </cell>
          <cell r="C7">
            <v>6606</v>
          </cell>
          <cell r="D7">
            <v>0</v>
          </cell>
          <cell r="E7">
            <v>2427</v>
          </cell>
          <cell r="F7">
            <v>5266</v>
          </cell>
          <cell r="G7">
            <v>0</v>
          </cell>
          <cell r="H7">
            <v>2099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33752</v>
          </cell>
          <cell r="Q7">
            <v>40000</v>
          </cell>
          <cell r="R7">
            <v>4000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44000</v>
          </cell>
          <cell r="AF7">
            <v>18160</v>
          </cell>
          <cell r="AG7">
            <v>4750</v>
          </cell>
          <cell r="AH7">
            <v>0</v>
          </cell>
          <cell r="AI7">
            <v>0</v>
          </cell>
          <cell r="AJ7">
            <v>400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23310</v>
          </cell>
          <cell r="AU7">
            <v>22</v>
          </cell>
          <cell r="AV7">
            <v>5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27</v>
          </cell>
          <cell r="BJ7">
            <v>39172</v>
          </cell>
          <cell r="BK7">
            <v>5851</v>
          </cell>
          <cell r="BL7">
            <v>0</v>
          </cell>
          <cell r="BM7">
            <v>2427</v>
          </cell>
          <cell r="BN7">
            <v>4866</v>
          </cell>
          <cell r="BO7">
            <v>0</v>
          </cell>
          <cell r="BP7">
            <v>2099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54415</v>
          </cell>
          <cell r="BY7">
            <v>230.13</v>
          </cell>
          <cell r="BZ7">
            <v>0</v>
          </cell>
          <cell r="CA7">
            <v>24.54</v>
          </cell>
          <cell r="CB7">
            <v>254.67</v>
          </cell>
        </row>
        <row r="8">
          <cell r="A8">
            <v>45353</v>
          </cell>
          <cell r="B8">
            <v>39172</v>
          </cell>
          <cell r="C8">
            <v>5851</v>
          </cell>
          <cell r="D8">
            <v>0</v>
          </cell>
          <cell r="E8">
            <v>2427</v>
          </cell>
          <cell r="F8">
            <v>4866</v>
          </cell>
          <cell r="G8">
            <v>0</v>
          </cell>
          <cell r="H8">
            <v>2099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54415</v>
          </cell>
          <cell r="Q8">
            <v>35000</v>
          </cell>
          <cell r="R8">
            <v>4000</v>
          </cell>
          <cell r="S8">
            <v>0</v>
          </cell>
          <cell r="T8">
            <v>0</v>
          </cell>
          <cell r="U8">
            <v>1000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40000</v>
          </cell>
          <cell r="AF8">
            <v>13880</v>
          </cell>
          <cell r="AG8">
            <v>3330</v>
          </cell>
          <cell r="AH8">
            <v>0</v>
          </cell>
          <cell r="AI8">
            <v>0</v>
          </cell>
          <cell r="AJ8">
            <v>200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17410</v>
          </cell>
          <cell r="AU8">
            <v>17</v>
          </cell>
          <cell r="AV8">
            <v>1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18</v>
          </cell>
          <cell r="BJ8">
            <v>60275</v>
          </cell>
          <cell r="BK8">
            <v>6520</v>
          </cell>
          <cell r="BL8">
            <v>0</v>
          </cell>
          <cell r="BM8">
            <v>2427</v>
          </cell>
          <cell r="BN8">
            <v>5666</v>
          </cell>
          <cell r="BO8">
            <v>0</v>
          </cell>
          <cell r="BP8">
            <v>2099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76987</v>
          </cell>
          <cell r="BY8">
            <v>200.62</v>
          </cell>
          <cell r="BZ8">
            <v>0</v>
          </cell>
          <cell r="CA8">
            <v>73.56</v>
          </cell>
          <cell r="CB8">
            <v>274.18</v>
          </cell>
        </row>
        <row r="9">
          <cell r="A9">
            <v>45354</v>
          </cell>
          <cell r="B9">
            <v>60275</v>
          </cell>
          <cell r="C9">
            <v>6520</v>
          </cell>
          <cell r="D9">
            <v>0</v>
          </cell>
          <cell r="E9">
            <v>2427</v>
          </cell>
          <cell r="F9">
            <v>5666</v>
          </cell>
          <cell r="G9">
            <v>0</v>
          </cell>
          <cell r="H9">
            <v>2099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76987</v>
          </cell>
          <cell r="Q9">
            <v>30000</v>
          </cell>
          <cell r="R9">
            <v>4000</v>
          </cell>
          <cell r="S9">
            <v>0</v>
          </cell>
          <cell r="T9">
            <v>0</v>
          </cell>
          <cell r="U9">
            <v>1000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35000</v>
          </cell>
          <cell r="AF9">
            <v>28475</v>
          </cell>
          <cell r="AG9">
            <v>4995</v>
          </cell>
          <cell r="AH9">
            <v>0</v>
          </cell>
          <cell r="AI9">
            <v>0</v>
          </cell>
          <cell r="AJ9">
            <v>2280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35750</v>
          </cell>
          <cell r="AU9">
            <v>32</v>
          </cell>
          <cell r="AV9">
            <v>13</v>
          </cell>
          <cell r="AW9">
            <v>0</v>
          </cell>
          <cell r="AX9">
            <v>0</v>
          </cell>
          <cell r="AY9">
            <v>3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48</v>
          </cell>
          <cell r="BJ9">
            <v>61768</v>
          </cell>
          <cell r="BK9">
            <v>5512</v>
          </cell>
          <cell r="BL9">
            <v>0</v>
          </cell>
          <cell r="BM9">
            <v>2427</v>
          </cell>
          <cell r="BN9">
            <v>4383</v>
          </cell>
          <cell r="BO9">
            <v>0</v>
          </cell>
          <cell r="BP9">
            <v>2099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76189</v>
          </cell>
          <cell r="BY9">
            <v>444.37</v>
          </cell>
          <cell r="BZ9">
            <v>0</v>
          </cell>
          <cell r="CA9">
            <v>49.010000000000005</v>
          </cell>
          <cell r="CB9">
            <v>493.38</v>
          </cell>
        </row>
        <row r="10">
          <cell r="A10">
            <v>45355</v>
          </cell>
          <cell r="B10">
            <v>61768</v>
          </cell>
          <cell r="C10">
            <v>5512</v>
          </cell>
          <cell r="D10">
            <v>0</v>
          </cell>
          <cell r="E10">
            <v>2427</v>
          </cell>
          <cell r="F10">
            <v>4383</v>
          </cell>
          <cell r="G10">
            <v>0</v>
          </cell>
          <cell r="H10">
            <v>2099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76189</v>
          </cell>
          <cell r="Q10">
            <v>25000</v>
          </cell>
          <cell r="R10">
            <v>6000</v>
          </cell>
          <cell r="S10">
            <v>0</v>
          </cell>
          <cell r="T10">
            <v>0</v>
          </cell>
          <cell r="U10">
            <v>1000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32000</v>
          </cell>
          <cell r="AF10">
            <v>33120</v>
          </cell>
          <cell r="AG10">
            <v>4930</v>
          </cell>
          <cell r="AH10">
            <v>0</v>
          </cell>
          <cell r="AI10">
            <v>0</v>
          </cell>
          <cell r="AJ10">
            <v>550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38600</v>
          </cell>
          <cell r="AU10">
            <v>43</v>
          </cell>
          <cell r="AV10">
            <v>9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52</v>
          </cell>
          <cell r="BJ10">
            <v>53605</v>
          </cell>
          <cell r="BK10">
            <v>6573</v>
          </cell>
          <cell r="BL10">
            <v>0</v>
          </cell>
          <cell r="BM10">
            <v>2427</v>
          </cell>
          <cell r="BN10">
            <v>4833</v>
          </cell>
          <cell r="BO10">
            <v>0</v>
          </cell>
          <cell r="BP10">
            <v>2099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69537</v>
          </cell>
          <cell r="BY10">
            <v>466.51000000000005</v>
          </cell>
          <cell r="BZ10">
            <v>0</v>
          </cell>
          <cell r="CA10">
            <v>24.31</v>
          </cell>
          <cell r="CB10">
            <v>490.82000000000005</v>
          </cell>
        </row>
        <row r="11">
          <cell r="A11">
            <v>45356</v>
          </cell>
          <cell r="B11">
            <v>53605</v>
          </cell>
          <cell r="C11">
            <v>6573</v>
          </cell>
          <cell r="D11">
            <v>0</v>
          </cell>
          <cell r="E11">
            <v>2427</v>
          </cell>
          <cell r="F11">
            <v>4833</v>
          </cell>
          <cell r="G11">
            <v>0</v>
          </cell>
          <cell r="H11">
            <v>2099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69537</v>
          </cell>
          <cell r="Q11">
            <v>30000</v>
          </cell>
          <cell r="R11">
            <v>5000</v>
          </cell>
          <cell r="S11">
            <v>0</v>
          </cell>
          <cell r="T11">
            <v>0</v>
          </cell>
          <cell r="U11">
            <v>1000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36000</v>
          </cell>
          <cell r="AF11">
            <v>30410</v>
          </cell>
          <cell r="AG11">
            <v>7222</v>
          </cell>
          <cell r="AH11">
            <v>0</v>
          </cell>
          <cell r="AI11">
            <v>0</v>
          </cell>
          <cell r="AJ11">
            <v>1500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39132</v>
          </cell>
          <cell r="AU11">
            <v>37</v>
          </cell>
          <cell r="AV11">
            <v>19</v>
          </cell>
          <cell r="AW11">
            <v>0</v>
          </cell>
          <cell r="AX11">
            <v>0</v>
          </cell>
          <cell r="AY11">
            <v>1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57</v>
          </cell>
          <cell r="BJ11">
            <v>53158</v>
          </cell>
          <cell r="BK11">
            <v>4332</v>
          </cell>
          <cell r="BL11">
            <v>0</v>
          </cell>
          <cell r="BM11">
            <v>2427</v>
          </cell>
          <cell r="BN11">
            <v>4332</v>
          </cell>
          <cell r="BO11">
            <v>0</v>
          </cell>
          <cell r="BP11">
            <v>2099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66348</v>
          </cell>
          <cell r="BY11">
            <v>317.82</v>
          </cell>
          <cell r="BZ11">
            <v>0</v>
          </cell>
          <cell r="CA11">
            <v>116.67</v>
          </cell>
          <cell r="CB11">
            <v>434.49</v>
          </cell>
        </row>
        <row r="12">
          <cell r="A12">
            <v>45357</v>
          </cell>
          <cell r="B12">
            <v>53158</v>
          </cell>
          <cell r="C12">
            <v>4332</v>
          </cell>
          <cell r="D12">
            <v>0</v>
          </cell>
          <cell r="E12">
            <v>2427</v>
          </cell>
          <cell r="F12">
            <v>4332</v>
          </cell>
          <cell r="G12">
            <v>0</v>
          </cell>
          <cell r="H12">
            <v>2099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66348</v>
          </cell>
          <cell r="Q12">
            <v>30000</v>
          </cell>
          <cell r="R12">
            <v>7000</v>
          </cell>
          <cell r="S12">
            <v>0</v>
          </cell>
          <cell r="T12">
            <v>0</v>
          </cell>
          <cell r="U12">
            <v>1000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38000</v>
          </cell>
          <cell r="AF12">
            <v>27067</v>
          </cell>
          <cell r="AG12">
            <v>5350</v>
          </cell>
          <cell r="AH12">
            <v>0</v>
          </cell>
          <cell r="AI12">
            <v>200</v>
          </cell>
          <cell r="AJ12">
            <v>1400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34017</v>
          </cell>
          <cell r="AU12">
            <v>30</v>
          </cell>
          <cell r="AV12">
            <v>5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36</v>
          </cell>
          <cell r="BJ12">
            <v>56061</v>
          </cell>
          <cell r="BK12">
            <v>5977</v>
          </cell>
          <cell r="BL12">
            <v>0</v>
          </cell>
          <cell r="BM12">
            <v>2227</v>
          </cell>
          <cell r="BN12">
            <v>3931</v>
          </cell>
          <cell r="BO12">
            <v>0</v>
          </cell>
          <cell r="BP12">
            <v>2099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70295</v>
          </cell>
          <cell r="BY12">
            <v>120.38999999999999</v>
          </cell>
          <cell r="BZ12">
            <v>0</v>
          </cell>
          <cell r="CA12">
            <v>165.51999999999998</v>
          </cell>
          <cell r="CB12">
            <v>285.90999999999997</v>
          </cell>
        </row>
        <row r="13">
          <cell r="A13">
            <v>45358</v>
          </cell>
          <cell r="B13">
            <v>56061</v>
          </cell>
          <cell r="C13">
            <v>5977</v>
          </cell>
          <cell r="D13">
            <v>0</v>
          </cell>
          <cell r="E13">
            <v>2227</v>
          </cell>
          <cell r="F13">
            <v>3931</v>
          </cell>
          <cell r="G13">
            <v>0</v>
          </cell>
          <cell r="H13">
            <v>2099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70295</v>
          </cell>
          <cell r="Q13">
            <v>35000</v>
          </cell>
          <cell r="R13">
            <v>8000</v>
          </cell>
          <cell r="S13">
            <v>0</v>
          </cell>
          <cell r="T13">
            <v>0</v>
          </cell>
          <cell r="U13">
            <v>1000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44000</v>
          </cell>
          <cell r="AF13">
            <v>32394</v>
          </cell>
          <cell r="AG13">
            <v>7265</v>
          </cell>
          <cell r="AH13">
            <v>0</v>
          </cell>
          <cell r="AI13">
            <v>0</v>
          </cell>
          <cell r="AJ13">
            <v>860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40519</v>
          </cell>
          <cell r="AU13">
            <v>27</v>
          </cell>
          <cell r="AV13">
            <v>5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32</v>
          </cell>
          <cell r="BJ13">
            <v>58640</v>
          </cell>
          <cell r="BK13">
            <v>6707</v>
          </cell>
          <cell r="BL13">
            <v>0</v>
          </cell>
          <cell r="BM13">
            <v>2227</v>
          </cell>
          <cell r="BN13">
            <v>4071</v>
          </cell>
          <cell r="BO13">
            <v>0</v>
          </cell>
          <cell r="BP13">
            <v>2099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73744</v>
          </cell>
          <cell r="BY13">
            <v>488.62</v>
          </cell>
          <cell r="BZ13">
            <v>0</v>
          </cell>
          <cell r="CA13">
            <v>0</v>
          </cell>
          <cell r="CB13">
            <v>488.62</v>
          </cell>
        </row>
        <row r="14">
          <cell r="A14">
            <v>45359</v>
          </cell>
          <cell r="B14">
            <v>58640</v>
          </cell>
          <cell r="C14">
            <v>6707</v>
          </cell>
          <cell r="D14">
            <v>0</v>
          </cell>
          <cell r="E14">
            <v>2227</v>
          </cell>
          <cell r="F14">
            <v>4071</v>
          </cell>
          <cell r="G14">
            <v>0</v>
          </cell>
          <cell r="H14">
            <v>2099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73744</v>
          </cell>
          <cell r="Q14">
            <v>25000</v>
          </cell>
          <cell r="R14">
            <v>6000</v>
          </cell>
          <cell r="S14">
            <v>0</v>
          </cell>
          <cell r="T14">
            <v>0</v>
          </cell>
          <cell r="U14">
            <v>1000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32000</v>
          </cell>
          <cell r="AF14">
            <v>32800</v>
          </cell>
          <cell r="AG14">
            <v>7070</v>
          </cell>
          <cell r="AH14">
            <v>0</v>
          </cell>
          <cell r="AI14">
            <v>0</v>
          </cell>
          <cell r="AJ14">
            <v>1300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41170</v>
          </cell>
          <cell r="AU14">
            <v>23</v>
          </cell>
          <cell r="AV14">
            <v>10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33</v>
          </cell>
          <cell r="BJ14">
            <v>50817</v>
          </cell>
          <cell r="BK14">
            <v>5627</v>
          </cell>
          <cell r="BL14">
            <v>0</v>
          </cell>
          <cell r="BM14">
            <v>2227</v>
          </cell>
          <cell r="BN14">
            <v>3771</v>
          </cell>
          <cell r="BO14">
            <v>0</v>
          </cell>
          <cell r="BP14">
            <v>2099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64541</v>
          </cell>
          <cell r="BY14">
            <v>307.13</v>
          </cell>
          <cell r="BZ14">
            <v>0</v>
          </cell>
          <cell r="CA14">
            <v>24.32</v>
          </cell>
          <cell r="CB14">
            <v>331.45</v>
          </cell>
        </row>
        <row r="15">
          <cell r="A15">
            <v>45360</v>
          </cell>
          <cell r="B15">
            <v>50817</v>
          </cell>
          <cell r="C15">
            <v>5627</v>
          </cell>
          <cell r="D15">
            <v>0</v>
          </cell>
          <cell r="E15">
            <v>2227</v>
          </cell>
          <cell r="F15">
            <v>3771</v>
          </cell>
          <cell r="G15">
            <v>0</v>
          </cell>
          <cell r="H15">
            <v>2099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64541</v>
          </cell>
          <cell r="Q15">
            <v>30000</v>
          </cell>
          <cell r="R15">
            <v>6000</v>
          </cell>
          <cell r="S15">
            <v>0</v>
          </cell>
          <cell r="T15">
            <v>0</v>
          </cell>
          <cell r="U15">
            <v>2000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38000</v>
          </cell>
          <cell r="AF15">
            <v>18930</v>
          </cell>
          <cell r="AG15">
            <v>2435</v>
          </cell>
          <cell r="AH15">
            <v>0</v>
          </cell>
          <cell r="AI15">
            <v>0</v>
          </cell>
          <cell r="AJ15">
            <v>965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22330</v>
          </cell>
          <cell r="AU15">
            <v>14</v>
          </cell>
          <cell r="AV15">
            <v>2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16</v>
          </cell>
          <cell r="BJ15">
            <v>61873</v>
          </cell>
          <cell r="BK15">
            <v>9190</v>
          </cell>
          <cell r="BL15">
            <v>0</v>
          </cell>
          <cell r="BM15">
            <v>2227</v>
          </cell>
          <cell r="BN15">
            <v>4806</v>
          </cell>
          <cell r="BO15">
            <v>0</v>
          </cell>
          <cell r="BP15">
            <v>2099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80195</v>
          </cell>
          <cell r="BY15">
            <v>334.38</v>
          </cell>
          <cell r="BZ15">
            <v>0</v>
          </cell>
          <cell r="CA15">
            <v>0</v>
          </cell>
          <cell r="CB15">
            <v>334.38</v>
          </cell>
        </row>
        <row r="16">
          <cell r="A16">
            <v>45361</v>
          </cell>
          <cell r="B16">
            <v>61873</v>
          </cell>
          <cell r="C16">
            <v>9190</v>
          </cell>
          <cell r="D16">
            <v>0</v>
          </cell>
          <cell r="E16">
            <v>2227</v>
          </cell>
          <cell r="F16">
            <v>4806</v>
          </cell>
          <cell r="G16">
            <v>0</v>
          </cell>
          <cell r="H16">
            <v>2099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80195</v>
          </cell>
          <cell r="Q16">
            <v>25000</v>
          </cell>
          <cell r="R16">
            <v>8000</v>
          </cell>
          <cell r="S16">
            <v>0</v>
          </cell>
          <cell r="T16">
            <v>0</v>
          </cell>
          <cell r="U16">
            <v>1000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34000</v>
          </cell>
          <cell r="AF16">
            <v>37178</v>
          </cell>
          <cell r="AG16">
            <v>5800</v>
          </cell>
          <cell r="AH16">
            <v>0</v>
          </cell>
          <cell r="AI16">
            <v>0</v>
          </cell>
          <cell r="AJ16">
            <v>2106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45084</v>
          </cell>
          <cell r="AU16">
            <v>30</v>
          </cell>
          <cell r="AV16">
            <v>7</v>
          </cell>
          <cell r="AW16">
            <v>0</v>
          </cell>
          <cell r="AX16">
            <v>0</v>
          </cell>
          <cell r="AY16">
            <v>6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43</v>
          </cell>
          <cell r="BJ16">
            <v>49665</v>
          </cell>
          <cell r="BK16">
            <v>11383</v>
          </cell>
          <cell r="BL16">
            <v>0</v>
          </cell>
          <cell r="BM16">
            <v>2227</v>
          </cell>
          <cell r="BN16">
            <v>3694</v>
          </cell>
          <cell r="BO16">
            <v>0</v>
          </cell>
          <cell r="BP16">
            <v>2099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69068</v>
          </cell>
          <cell r="BY16">
            <v>279.12</v>
          </cell>
          <cell r="BZ16">
            <v>0</v>
          </cell>
          <cell r="CA16">
            <v>49.04</v>
          </cell>
          <cell r="CB16">
            <v>328.16</v>
          </cell>
        </row>
        <row r="17">
          <cell r="A17">
            <v>45362</v>
          </cell>
          <cell r="B17">
            <v>49665</v>
          </cell>
          <cell r="C17">
            <v>11383</v>
          </cell>
          <cell r="D17">
            <v>0</v>
          </cell>
          <cell r="E17">
            <v>2227</v>
          </cell>
          <cell r="F17">
            <v>3694</v>
          </cell>
          <cell r="G17">
            <v>0</v>
          </cell>
          <cell r="H17">
            <v>2099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69068</v>
          </cell>
          <cell r="Q17">
            <v>20000</v>
          </cell>
          <cell r="R17">
            <v>4000</v>
          </cell>
          <cell r="S17">
            <v>0</v>
          </cell>
          <cell r="T17">
            <v>0</v>
          </cell>
          <cell r="U17">
            <v>2000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26000</v>
          </cell>
          <cell r="AF17">
            <v>31791</v>
          </cell>
          <cell r="AG17">
            <v>5470</v>
          </cell>
          <cell r="AH17">
            <v>0</v>
          </cell>
          <cell r="AI17">
            <v>0</v>
          </cell>
          <cell r="AJ17">
            <v>970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38231</v>
          </cell>
          <cell r="AU17">
            <v>36</v>
          </cell>
          <cell r="AV17">
            <v>3</v>
          </cell>
          <cell r="AW17">
            <v>0</v>
          </cell>
          <cell r="AX17">
            <v>0</v>
          </cell>
          <cell r="AY17">
            <v>3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42</v>
          </cell>
          <cell r="BJ17">
            <v>37838</v>
          </cell>
          <cell r="BK17">
            <v>9910</v>
          </cell>
          <cell r="BL17">
            <v>0</v>
          </cell>
          <cell r="BM17">
            <v>2227</v>
          </cell>
          <cell r="BN17">
            <v>4721</v>
          </cell>
          <cell r="BO17">
            <v>0</v>
          </cell>
          <cell r="BP17">
            <v>2099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56795</v>
          </cell>
          <cell r="BY17">
            <v>431.88</v>
          </cell>
          <cell r="BZ17">
            <v>0</v>
          </cell>
          <cell r="CA17">
            <v>71.61</v>
          </cell>
          <cell r="CB17">
            <v>503.49</v>
          </cell>
        </row>
        <row r="18">
          <cell r="A18">
            <v>45363</v>
          </cell>
          <cell r="B18">
            <v>37838</v>
          </cell>
          <cell r="C18">
            <v>9910</v>
          </cell>
          <cell r="D18">
            <v>0</v>
          </cell>
          <cell r="E18">
            <v>2227</v>
          </cell>
          <cell r="F18">
            <v>4721</v>
          </cell>
          <cell r="G18">
            <v>0</v>
          </cell>
          <cell r="H18">
            <v>2099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56795</v>
          </cell>
          <cell r="Q18">
            <v>30000</v>
          </cell>
          <cell r="R18">
            <v>5000</v>
          </cell>
          <cell r="S18">
            <v>0</v>
          </cell>
          <cell r="T18">
            <v>0</v>
          </cell>
          <cell r="U18">
            <v>2000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37000</v>
          </cell>
          <cell r="AF18">
            <v>24310</v>
          </cell>
          <cell r="AG18">
            <v>3170</v>
          </cell>
          <cell r="AH18">
            <v>0</v>
          </cell>
          <cell r="AI18">
            <v>0</v>
          </cell>
          <cell r="AJ18">
            <v>340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27820</v>
          </cell>
          <cell r="AU18">
            <v>14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14</v>
          </cell>
          <cell r="BJ18">
            <v>43514</v>
          </cell>
          <cell r="BK18">
            <v>11740</v>
          </cell>
          <cell r="BL18">
            <v>0</v>
          </cell>
          <cell r="BM18">
            <v>2227</v>
          </cell>
          <cell r="BN18">
            <v>6381</v>
          </cell>
          <cell r="BO18">
            <v>0</v>
          </cell>
          <cell r="BP18">
            <v>2099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65961</v>
          </cell>
          <cell r="BY18">
            <v>388.95000000000005</v>
          </cell>
          <cell r="BZ18">
            <v>0</v>
          </cell>
          <cell r="CA18">
            <v>118.42999999999999</v>
          </cell>
          <cell r="CB18">
            <v>507.38000000000005</v>
          </cell>
        </row>
        <row r="19">
          <cell r="A19">
            <v>45364</v>
          </cell>
          <cell r="B19">
            <v>43514</v>
          </cell>
          <cell r="C19">
            <v>11740</v>
          </cell>
          <cell r="D19">
            <v>0</v>
          </cell>
          <cell r="E19">
            <v>2227</v>
          </cell>
          <cell r="F19">
            <v>6381</v>
          </cell>
          <cell r="G19">
            <v>0</v>
          </cell>
          <cell r="H19">
            <v>2099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65961</v>
          </cell>
          <cell r="Q19">
            <v>32000</v>
          </cell>
          <cell r="R19">
            <v>5000</v>
          </cell>
          <cell r="S19">
            <v>0</v>
          </cell>
          <cell r="T19">
            <v>0</v>
          </cell>
          <cell r="U19">
            <v>1000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38000</v>
          </cell>
          <cell r="AF19">
            <v>22000</v>
          </cell>
          <cell r="AG19">
            <v>4085</v>
          </cell>
          <cell r="AH19">
            <v>0</v>
          </cell>
          <cell r="AI19">
            <v>0</v>
          </cell>
          <cell r="AJ19">
            <v>1065</v>
          </cell>
          <cell r="AK19">
            <v>0</v>
          </cell>
          <cell r="AL19">
            <v>900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28050</v>
          </cell>
          <cell r="AU19">
            <v>25</v>
          </cell>
          <cell r="AV19">
            <v>2</v>
          </cell>
          <cell r="AW19">
            <v>0</v>
          </cell>
          <cell r="AX19">
            <v>0</v>
          </cell>
          <cell r="AY19">
            <v>3</v>
          </cell>
          <cell r="AZ19">
            <v>0</v>
          </cell>
          <cell r="BA19">
            <v>5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35</v>
          </cell>
          <cell r="BJ19">
            <v>53489</v>
          </cell>
          <cell r="BK19">
            <v>12653</v>
          </cell>
          <cell r="BL19">
            <v>0</v>
          </cell>
          <cell r="BM19">
            <v>2227</v>
          </cell>
          <cell r="BN19">
            <v>6313</v>
          </cell>
          <cell r="BO19">
            <v>0</v>
          </cell>
          <cell r="BP19">
            <v>1194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75876</v>
          </cell>
          <cell r="BY19">
            <v>354.33000000000004</v>
          </cell>
          <cell r="BZ19">
            <v>0</v>
          </cell>
          <cell r="CA19">
            <v>93.81</v>
          </cell>
          <cell r="CB19">
            <v>448.14000000000004</v>
          </cell>
        </row>
        <row r="20">
          <cell r="A20">
            <v>45365</v>
          </cell>
          <cell r="B20">
            <v>53489</v>
          </cell>
          <cell r="C20">
            <v>12653</v>
          </cell>
          <cell r="D20">
            <v>0</v>
          </cell>
          <cell r="E20">
            <v>2227</v>
          </cell>
          <cell r="F20">
            <v>6313</v>
          </cell>
          <cell r="G20">
            <v>0</v>
          </cell>
          <cell r="H20">
            <v>1194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75876</v>
          </cell>
          <cell r="Q20">
            <v>30000</v>
          </cell>
          <cell r="R20">
            <v>4000</v>
          </cell>
          <cell r="S20">
            <v>0</v>
          </cell>
          <cell r="T20">
            <v>0</v>
          </cell>
          <cell r="U20">
            <v>1000</v>
          </cell>
          <cell r="V20">
            <v>0</v>
          </cell>
          <cell r="W20">
            <v>1000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36000</v>
          </cell>
          <cell r="AF20">
            <v>27450</v>
          </cell>
          <cell r="AG20">
            <v>4215</v>
          </cell>
          <cell r="AH20">
            <v>0</v>
          </cell>
          <cell r="AI20">
            <v>0</v>
          </cell>
          <cell r="AJ20">
            <v>1125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32790</v>
          </cell>
          <cell r="AU20">
            <v>17</v>
          </cell>
          <cell r="AV20">
            <v>4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22</v>
          </cell>
          <cell r="BJ20">
            <v>56022</v>
          </cell>
          <cell r="BK20">
            <v>12434</v>
          </cell>
          <cell r="BL20">
            <v>0</v>
          </cell>
          <cell r="BM20">
            <v>2227</v>
          </cell>
          <cell r="BN20">
            <v>6187</v>
          </cell>
          <cell r="BO20">
            <v>0</v>
          </cell>
          <cell r="BP20">
            <v>2194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79064</v>
          </cell>
          <cell r="BY20">
            <v>265.86</v>
          </cell>
          <cell r="BZ20">
            <v>0</v>
          </cell>
          <cell r="CA20">
            <v>0</v>
          </cell>
          <cell r="CB20">
            <v>265.86</v>
          </cell>
        </row>
        <row r="21">
          <cell r="A21">
            <v>45366</v>
          </cell>
          <cell r="B21">
            <v>56022</v>
          </cell>
          <cell r="C21">
            <v>12434</v>
          </cell>
          <cell r="D21">
            <v>0</v>
          </cell>
          <cell r="E21">
            <v>2227</v>
          </cell>
          <cell r="F21">
            <v>6187</v>
          </cell>
          <cell r="G21">
            <v>0</v>
          </cell>
          <cell r="H21">
            <v>2194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79064</v>
          </cell>
          <cell r="Q21">
            <v>30000</v>
          </cell>
          <cell r="R21">
            <v>4000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34000</v>
          </cell>
          <cell r="AF21">
            <v>15303</v>
          </cell>
          <cell r="AG21">
            <v>3280</v>
          </cell>
          <cell r="AH21">
            <v>0</v>
          </cell>
          <cell r="AI21">
            <v>0</v>
          </cell>
          <cell r="AJ21">
            <v>200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18783</v>
          </cell>
          <cell r="AU21">
            <v>18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18</v>
          </cell>
          <cell r="BJ21">
            <v>70701</v>
          </cell>
          <cell r="BK21">
            <v>13154</v>
          </cell>
          <cell r="BL21">
            <v>0</v>
          </cell>
          <cell r="BM21">
            <v>2227</v>
          </cell>
          <cell r="BN21">
            <v>5987</v>
          </cell>
          <cell r="BO21">
            <v>0</v>
          </cell>
          <cell r="BP21">
            <v>2194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94263</v>
          </cell>
          <cell r="BY21">
            <v>471.59000000000003</v>
          </cell>
          <cell r="BZ21">
            <v>0</v>
          </cell>
          <cell r="CA21">
            <v>0</v>
          </cell>
          <cell r="CB21">
            <v>471.59000000000003</v>
          </cell>
        </row>
        <row r="22">
          <cell r="A22">
            <v>45367</v>
          </cell>
          <cell r="B22">
            <v>70701</v>
          </cell>
          <cell r="C22">
            <v>13154</v>
          </cell>
          <cell r="D22">
            <v>0</v>
          </cell>
          <cell r="E22">
            <v>2227</v>
          </cell>
          <cell r="F22">
            <v>5987</v>
          </cell>
          <cell r="G22">
            <v>0</v>
          </cell>
          <cell r="H22">
            <v>2194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94263</v>
          </cell>
          <cell r="Q22">
            <v>20000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20000</v>
          </cell>
          <cell r="AF22">
            <v>23787</v>
          </cell>
          <cell r="AG22">
            <v>3660</v>
          </cell>
          <cell r="AH22">
            <v>0</v>
          </cell>
          <cell r="AI22">
            <v>0</v>
          </cell>
          <cell r="AJ22">
            <v>500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27947</v>
          </cell>
          <cell r="AU22">
            <v>11</v>
          </cell>
          <cell r="AV22">
            <v>6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17</v>
          </cell>
          <cell r="BJ22">
            <v>66903</v>
          </cell>
          <cell r="BK22">
            <v>9488</v>
          </cell>
          <cell r="BL22">
            <v>0</v>
          </cell>
          <cell r="BM22">
            <v>2227</v>
          </cell>
          <cell r="BN22">
            <v>5487</v>
          </cell>
          <cell r="BO22">
            <v>0</v>
          </cell>
          <cell r="BP22">
            <v>2194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86299</v>
          </cell>
          <cell r="BY22">
            <v>343.44</v>
          </cell>
          <cell r="BZ22">
            <v>0</v>
          </cell>
          <cell r="CA22">
            <v>23.95</v>
          </cell>
          <cell r="CB22">
            <v>367.39</v>
          </cell>
        </row>
        <row r="23">
          <cell r="A23">
            <v>45368</v>
          </cell>
          <cell r="B23">
            <v>66903</v>
          </cell>
          <cell r="C23">
            <v>9488</v>
          </cell>
          <cell r="D23">
            <v>0</v>
          </cell>
          <cell r="E23">
            <v>2227</v>
          </cell>
          <cell r="F23">
            <v>5487</v>
          </cell>
          <cell r="G23">
            <v>0</v>
          </cell>
          <cell r="H23">
            <v>2194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86299</v>
          </cell>
          <cell r="Q23">
            <v>0</v>
          </cell>
          <cell r="R23">
            <v>5000</v>
          </cell>
          <cell r="S23">
            <v>0</v>
          </cell>
          <cell r="T23">
            <v>0</v>
          </cell>
          <cell r="U23">
            <v>2000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7000</v>
          </cell>
          <cell r="AF23">
            <v>16500</v>
          </cell>
          <cell r="AG23">
            <v>2400</v>
          </cell>
          <cell r="AH23">
            <v>0</v>
          </cell>
          <cell r="AI23">
            <v>0</v>
          </cell>
          <cell r="AJ23">
            <v>500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19400</v>
          </cell>
          <cell r="AU23">
            <v>16</v>
          </cell>
          <cell r="AV23">
            <v>2</v>
          </cell>
          <cell r="AW23">
            <v>0</v>
          </cell>
          <cell r="AX23">
            <v>0</v>
          </cell>
          <cell r="AY23">
            <v>2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20</v>
          </cell>
          <cell r="BJ23">
            <v>50387</v>
          </cell>
          <cell r="BK23">
            <v>12086</v>
          </cell>
          <cell r="BL23">
            <v>0</v>
          </cell>
          <cell r="BM23">
            <v>2227</v>
          </cell>
          <cell r="BN23">
            <v>6985</v>
          </cell>
          <cell r="BO23">
            <v>0</v>
          </cell>
          <cell r="BP23">
            <v>2194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73879</v>
          </cell>
          <cell r="BY23">
            <v>309.02999999999997</v>
          </cell>
          <cell r="BZ23">
            <v>0</v>
          </cell>
          <cell r="CA23">
            <v>24.27</v>
          </cell>
          <cell r="CB23">
            <v>333.29999999999995</v>
          </cell>
        </row>
        <row r="24">
          <cell r="A24">
            <v>45369</v>
          </cell>
          <cell r="B24">
            <v>50387</v>
          </cell>
          <cell r="C24">
            <v>12086</v>
          </cell>
          <cell r="D24">
            <v>0</v>
          </cell>
          <cell r="E24">
            <v>2227</v>
          </cell>
          <cell r="F24">
            <v>6985</v>
          </cell>
          <cell r="G24">
            <v>0</v>
          </cell>
          <cell r="H24">
            <v>2194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73879</v>
          </cell>
          <cell r="Q24">
            <v>20000</v>
          </cell>
          <cell r="R24">
            <v>2000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22000</v>
          </cell>
          <cell r="AF24">
            <v>35641</v>
          </cell>
          <cell r="AG24">
            <v>7020</v>
          </cell>
          <cell r="AH24">
            <v>0</v>
          </cell>
          <cell r="AI24">
            <v>0</v>
          </cell>
          <cell r="AJ24">
            <v>1760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44421</v>
          </cell>
          <cell r="AU24">
            <v>15</v>
          </cell>
          <cell r="AV24">
            <v>9</v>
          </cell>
          <cell r="AW24">
            <v>0</v>
          </cell>
          <cell r="AX24">
            <v>0</v>
          </cell>
          <cell r="AY24">
            <v>4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28</v>
          </cell>
          <cell r="BJ24">
            <v>34731</v>
          </cell>
          <cell r="BK24">
            <v>7057</v>
          </cell>
          <cell r="BL24">
            <v>0</v>
          </cell>
          <cell r="BM24">
            <v>2227</v>
          </cell>
          <cell r="BN24">
            <v>5221</v>
          </cell>
          <cell r="BO24">
            <v>0</v>
          </cell>
          <cell r="BP24">
            <v>2194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51430</v>
          </cell>
          <cell r="BY24">
            <v>342.52</v>
          </cell>
          <cell r="BZ24">
            <v>0</v>
          </cell>
          <cell r="CA24">
            <v>46.65</v>
          </cell>
          <cell r="CB24">
            <v>389.16999999999996</v>
          </cell>
        </row>
        <row r="25">
          <cell r="A25">
            <v>45370</v>
          </cell>
          <cell r="B25">
            <v>34731</v>
          </cell>
          <cell r="C25">
            <v>7057</v>
          </cell>
          <cell r="D25">
            <v>0</v>
          </cell>
          <cell r="E25">
            <v>2227</v>
          </cell>
          <cell r="F25">
            <v>5221</v>
          </cell>
          <cell r="G25">
            <v>0</v>
          </cell>
          <cell r="H25">
            <v>2194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51430</v>
          </cell>
          <cell r="Q25">
            <v>30000</v>
          </cell>
          <cell r="R25">
            <v>4000</v>
          </cell>
          <cell r="S25">
            <v>0</v>
          </cell>
          <cell r="T25">
            <v>0</v>
          </cell>
          <cell r="U25">
            <v>1000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35000</v>
          </cell>
          <cell r="AF25">
            <v>27560</v>
          </cell>
          <cell r="AG25">
            <v>5760</v>
          </cell>
          <cell r="AH25">
            <v>0</v>
          </cell>
          <cell r="AI25">
            <v>0</v>
          </cell>
          <cell r="AJ25">
            <v>300</v>
          </cell>
          <cell r="AK25">
            <v>0</v>
          </cell>
          <cell r="AL25">
            <v>600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34220</v>
          </cell>
          <cell r="AU25">
            <v>18</v>
          </cell>
          <cell r="AV25">
            <v>2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20</v>
          </cell>
          <cell r="BJ25">
            <v>37153</v>
          </cell>
          <cell r="BK25">
            <v>5295</v>
          </cell>
          <cell r="BL25">
            <v>0</v>
          </cell>
          <cell r="BM25">
            <v>2227</v>
          </cell>
          <cell r="BN25">
            <v>5921</v>
          </cell>
          <cell r="BO25">
            <v>0</v>
          </cell>
          <cell r="BP25">
            <v>1594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52190</v>
          </cell>
          <cell r="BY25">
            <v>247.97000000000003</v>
          </cell>
          <cell r="BZ25">
            <v>0</v>
          </cell>
          <cell r="CA25">
            <v>238.02</v>
          </cell>
          <cell r="CB25">
            <v>485.99</v>
          </cell>
        </row>
        <row r="26">
          <cell r="A26">
            <v>45371</v>
          </cell>
          <cell r="B26">
            <v>37153</v>
          </cell>
          <cell r="C26">
            <v>5295</v>
          </cell>
          <cell r="D26">
            <v>0</v>
          </cell>
          <cell r="E26">
            <v>2227</v>
          </cell>
          <cell r="F26">
            <v>5921</v>
          </cell>
          <cell r="G26">
            <v>0</v>
          </cell>
          <cell r="H26">
            <v>1594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52190</v>
          </cell>
          <cell r="Q26">
            <v>30000</v>
          </cell>
          <cell r="R26">
            <v>4000</v>
          </cell>
          <cell r="S26">
            <v>0</v>
          </cell>
          <cell r="T26">
            <v>0</v>
          </cell>
          <cell r="U26">
            <v>2000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36000</v>
          </cell>
          <cell r="AF26">
            <v>27762</v>
          </cell>
          <cell r="AG26">
            <v>4199</v>
          </cell>
          <cell r="AH26">
            <v>0</v>
          </cell>
          <cell r="AI26">
            <v>0</v>
          </cell>
          <cell r="AJ26">
            <v>1235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33196</v>
          </cell>
          <cell r="AU26">
            <v>31</v>
          </cell>
          <cell r="AV26">
            <v>10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42</v>
          </cell>
          <cell r="BJ26">
            <v>39360</v>
          </cell>
          <cell r="BK26">
            <v>5086</v>
          </cell>
          <cell r="BL26">
            <v>0</v>
          </cell>
          <cell r="BM26">
            <v>2227</v>
          </cell>
          <cell r="BN26">
            <v>6685</v>
          </cell>
          <cell r="BO26">
            <v>0</v>
          </cell>
          <cell r="BP26">
            <v>1594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54952</v>
          </cell>
          <cell r="BY26">
            <v>165.57000000000002</v>
          </cell>
          <cell r="BZ26">
            <v>0</v>
          </cell>
          <cell r="CA26">
            <v>187.08</v>
          </cell>
          <cell r="CB26">
            <v>352.65000000000003</v>
          </cell>
        </row>
        <row r="27">
          <cell r="A27">
            <v>45372</v>
          </cell>
          <cell r="B27">
            <v>39360</v>
          </cell>
          <cell r="C27">
            <v>5086</v>
          </cell>
          <cell r="D27">
            <v>0</v>
          </cell>
          <cell r="E27">
            <v>2227</v>
          </cell>
          <cell r="F27">
            <v>6685</v>
          </cell>
          <cell r="G27">
            <v>0</v>
          </cell>
          <cell r="H27">
            <v>1594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54952</v>
          </cell>
          <cell r="Q27">
            <v>32000</v>
          </cell>
          <cell r="R27">
            <v>7000</v>
          </cell>
          <cell r="S27">
            <v>0</v>
          </cell>
          <cell r="T27">
            <v>0</v>
          </cell>
          <cell r="U27">
            <v>1000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40000</v>
          </cell>
          <cell r="AF27">
            <v>28243</v>
          </cell>
          <cell r="AG27">
            <v>5980</v>
          </cell>
          <cell r="AH27">
            <v>0</v>
          </cell>
          <cell r="AI27">
            <v>0</v>
          </cell>
          <cell r="AJ27">
            <v>1552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35775</v>
          </cell>
          <cell r="AU27">
            <v>20</v>
          </cell>
          <cell r="AV27">
            <v>3</v>
          </cell>
          <cell r="AW27">
            <v>0</v>
          </cell>
          <cell r="AX27">
            <v>0</v>
          </cell>
          <cell r="AY27">
            <v>4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27</v>
          </cell>
          <cell r="BJ27">
            <v>43097</v>
          </cell>
          <cell r="BK27">
            <v>6103</v>
          </cell>
          <cell r="BL27">
            <v>0</v>
          </cell>
          <cell r="BM27">
            <v>2227</v>
          </cell>
          <cell r="BN27">
            <v>6129</v>
          </cell>
          <cell r="BO27">
            <v>0</v>
          </cell>
          <cell r="BP27">
            <v>1594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59150</v>
          </cell>
          <cell r="BY27">
            <v>362.5</v>
          </cell>
          <cell r="BZ27">
            <v>0</v>
          </cell>
          <cell r="CA27">
            <v>73.489999999999995</v>
          </cell>
          <cell r="CB27">
            <v>435.99</v>
          </cell>
        </row>
        <row r="28">
          <cell r="A28">
            <v>45373</v>
          </cell>
          <cell r="B28">
            <v>43097</v>
          </cell>
          <cell r="C28">
            <v>6103</v>
          </cell>
          <cell r="D28">
            <v>0</v>
          </cell>
          <cell r="E28">
            <v>2227</v>
          </cell>
          <cell r="F28">
            <v>6129</v>
          </cell>
          <cell r="G28">
            <v>0</v>
          </cell>
          <cell r="H28">
            <v>1594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59150</v>
          </cell>
          <cell r="Q28">
            <v>30000</v>
          </cell>
          <cell r="R28">
            <v>7000</v>
          </cell>
          <cell r="S28">
            <v>0</v>
          </cell>
          <cell r="T28">
            <v>0</v>
          </cell>
          <cell r="U28">
            <v>1000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38000</v>
          </cell>
          <cell r="AF28">
            <v>19598</v>
          </cell>
          <cell r="AG28">
            <v>3800</v>
          </cell>
          <cell r="AH28">
            <v>0</v>
          </cell>
          <cell r="AI28">
            <v>0</v>
          </cell>
          <cell r="AJ28">
            <v>750</v>
          </cell>
          <cell r="AK28">
            <v>0</v>
          </cell>
          <cell r="AL28">
            <v>200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24348</v>
          </cell>
          <cell r="AU28">
            <v>9</v>
          </cell>
          <cell r="AV28">
            <v>5</v>
          </cell>
          <cell r="AW28">
            <v>0</v>
          </cell>
          <cell r="AX28">
            <v>0</v>
          </cell>
          <cell r="AY28">
            <v>3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17</v>
          </cell>
          <cell r="BJ28">
            <v>53490</v>
          </cell>
          <cell r="BK28">
            <v>9298</v>
          </cell>
          <cell r="BL28">
            <v>0</v>
          </cell>
          <cell r="BM28">
            <v>2227</v>
          </cell>
          <cell r="BN28">
            <v>6376</v>
          </cell>
          <cell r="BO28">
            <v>0</v>
          </cell>
          <cell r="BP28">
            <v>1394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72785</v>
          </cell>
          <cell r="BY28">
            <v>165.8</v>
          </cell>
          <cell r="BZ28">
            <v>0</v>
          </cell>
          <cell r="CA28">
            <v>73.5</v>
          </cell>
          <cell r="CB28">
            <v>239.3</v>
          </cell>
        </row>
        <row r="29">
          <cell r="A29">
            <v>45374</v>
          </cell>
          <cell r="B29">
            <v>53490</v>
          </cell>
          <cell r="C29">
            <v>9298</v>
          </cell>
          <cell r="D29">
            <v>0</v>
          </cell>
          <cell r="E29">
            <v>2227</v>
          </cell>
          <cell r="F29">
            <v>6376</v>
          </cell>
          <cell r="G29">
            <v>0</v>
          </cell>
          <cell r="H29">
            <v>1394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72785</v>
          </cell>
          <cell r="Q29">
            <v>30000</v>
          </cell>
          <cell r="R29">
            <v>4000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34000</v>
          </cell>
          <cell r="AF29">
            <v>27420</v>
          </cell>
          <cell r="AG29">
            <v>4510</v>
          </cell>
          <cell r="AH29">
            <v>0</v>
          </cell>
          <cell r="AI29">
            <v>0</v>
          </cell>
          <cell r="AJ29">
            <v>698</v>
          </cell>
          <cell r="AK29">
            <v>0</v>
          </cell>
          <cell r="AL29">
            <v>200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32828</v>
          </cell>
          <cell r="AU29">
            <v>32</v>
          </cell>
          <cell r="AV29">
            <v>6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38</v>
          </cell>
          <cell r="BJ29">
            <v>56038</v>
          </cell>
          <cell r="BK29">
            <v>8782</v>
          </cell>
          <cell r="BL29">
            <v>0</v>
          </cell>
          <cell r="BM29">
            <v>2227</v>
          </cell>
          <cell r="BN29">
            <v>5678</v>
          </cell>
          <cell r="BO29">
            <v>0</v>
          </cell>
          <cell r="BP29">
            <v>1194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73919</v>
          </cell>
          <cell r="BY29">
            <v>466.28</v>
          </cell>
          <cell r="BZ29">
            <v>0</v>
          </cell>
          <cell r="CA29">
            <v>49.23</v>
          </cell>
          <cell r="CB29">
            <v>515.51</v>
          </cell>
        </row>
        <row r="30">
          <cell r="A30">
            <v>45375</v>
          </cell>
          <cell r="B30">
            <v>56038</v>
          </cell>
          <cell r="C30">
            <v>8782</v>
          </cell>
          <cell r="D30">
            <v>0</v>
          </cell>
          <cell r="E30">
            <v>2227</v>
          </cell>
          <cell r="F30">
            <v>5678</v>
          </cell>
          <cell r="G30">
            <v>0</v>
          </cell>
          <cell r="H30">
            <v>1194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73919</v>
          </cell>
          <cell r="Q30">
            <v>25000</v>
          </cell>
          <cell r="R30">
            <v>5000</v>
          </cell>
          <cell r="S30">
            <v>0</v>
          </cell>
          <cell r="T30">
            <v>0</v>
          </cell>
          <cell r="U30">
            <v>1000</v>
          </cell>
          <cell r="V30">
            <v>0</v>
          </cell>
          <cell r="W30">
            <v>600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31600</v>
          </cell>
          <cell r="AF30">
            <v>25590</v>
          </cell>
          <cell r="AG30">
            <v>4510</v>
          </cell>
          <cell r="AH30">
            <v>0</v>
          </cell>
          <cell r="AI30">
            <v>288</v>
          </cell>
          <cell r="AJ30">
            <v>1500</v>
          </cell>
          <cell r="AK30">
            <v>0</v>
          </cell>
          <cell r="AL30">
            <v>300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32188</v>
          </cell>
          <cell r="AU30">
            <v>12</v>
          </cell>
          <cell r="AV30">
            <v>18</v>
          </cell>
          <cell r="AW30">
            <v>0</v>
          </cell>
          <cell r="AX30">
            <v>0</v>
          </cell>
          <cell r="AY30">
            <v>3</v>
          </cell>
          <cell r="AZ30">
            <v>0</v>
          </cell>
          <cell r="BA30">
            <v>2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35</v>
          </cell>
          <cell r="BJ30">
            <v>55436</v>
          </cell>
          <cell r="BK30">
            <v>9254</v>
          </cell>
          <cell r="BL30">
            <v>0</v>
          </cell>
          <cell r="BM30">
            <v>1939</v>
          </cell>
          <cell r="BN30">
            <v>5175</v>
          </cell>
          <cell r="BO30">
            <v>0</v>
          </cell>
          <cell r="BP30">
            <v>1492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73296</v>
          </cell>
          <cell r="BY30">
            <v>332.65999999999997</v>
          </cell>
          <cell r="BZ30">
            <v>0</v>
          </cell>
          <cell r="CA30">
            <v>73.47</v>
          </cell>
          <cell r="CB30">
            <v>406.13</v>
          </cell>
        </row>
        <row r="31">
          <cell r="A31">
            <v>45376</v>
          </cell>
          <cell r="B31">
            <v>55436</v>
          </cell>
          <cell r="C31">
            <v>9254</v>
          </cell>
          <cell r="D31">
            <v>0</v>
          </cell>
          <cell r="E31">
            <v>1939</v>
          </cell>
          <cell r="F31">
            <v>5175</v>
          </cell>
          <cell r="G31">
            <v>0</v>
          </cell>
          <cell r="H31">
            <v>1492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73296</v>
          </cell>
          <cell r="Q31">
            <v>30000</v>
          </cell>
          <cell r="R31">
            <v>5000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400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35400</v>
          </cell>
          <cell r="AF31">
            <v>30315</v>
          </cell>
          <cell r="AG31">
            <v>4275</v>
          </cell>
          <cell r="AH31">
            <v>0</v>
          </cell>
          <cell r="AI31">
            <v>0</v>
          </cell>
          <cell r="AJ31">
            <v>1800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36390</v>
          </cell>
          <cell r="AU31">
            <v>32</v>
          </cell>
          <cell r="AV31">
            <v>2</v>
          </cell>
          <cell r="AW31">
            <v>0</v>
          </cell>
          <cell r="AX31">
            <v>0</v>
          </cell>
          <cell r="AY31">
            <v>5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39</v>
          </cell>
          <cell r="BJ31">
            <v>55089</v>
          </cell>
          <cell r="BK31">
            <v>9977</v>
          </cell>
          <cell r="BL31">
            <v>0</v>
          </cell>
          <cell r="BM31">
            <v>1939</v>
          </cell>
          <cell r="BN31">
            <v>3370</v>
          </cell>
          <cell r="BO31">
            <v>0</v>
          </cell>
          <cell r="BP31">
            <v>1892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72267</v>
          </cell>
          <cell r="BY31">
            <v>518.63</v>
          </cell>
          <cell r="BZ31">
            <v>0</v>
          </cell>
          <cell r="CA31">
            <v>48.8</v>
          </cell>
          <cell r="CB31">
            <v>567.42999999999995</v>
          </cell>
        </row>
        <row r="32">
          <cell r="A32">
            <v>45377</v>
          </cell>
          <cell r="B32">
            <v>55089</v>
          </cell>
          <cell r="C32">
            <v>9977</v>
          </cell>
          <cell r="D32">
            <v>0</v>
          </cell>
          <cell r="E32">
            <v>1939</v>
          </cell>
          <cell r="F32">
            <v>3370</v>
          </cell>
          <cell r="G32">
            <v>0</v>
          </cell>
          <cell r="H32">
            <v>1892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72267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55089</v>
          </cell>
          <cell r="BK32">
            <v>9977</v>
          </cell>
          <cell r="BL32">
            <v>0</v>
          </cell>
          <cell r="BM32">
            <v>1939</v>
          </cell>
          <cell r="BN32">
            <v>3370</v>
          </cell>
          <cell r="BO32">
            <v>0</v>
          </cell>
          <cell r="BP32">
            <v>1892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72267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</row>
        <row r="33">
          <cell r="A33">
            <v>45378</v>
          </cell>
          <cell r="B33">
            <v>55089</v>
          </cell>
          <cell r="C33">
            <v>9977</v>
          </cell>
          <cell r="D33">
            <v>0</v>
          </cell>
          <cell r="E33">
            <v>1939</v>
          </cell>
          <cell r="F33">
            <v>3370</v>
          </cell>
          <cell r="G33">
            <v>0</v>
          </cell>
          <cell r="H33">
            <v>1892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72267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55089</v>
          </cell>
          <cell r="BK33">
            <v>9977</v>
          </cell>
          <cell r="BL33">
            <v>0</v>
          </cell>
          <cell r="BM33">
            <v>1939</v>
          </cell>
          <cell r="BN33">
            <v>3370</v>
          </cell>
          <cell r="BO33">
            <v>0</v>
          </cell>
          <cell r="BP33">
            <v>1892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72267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</row>
        <row r="34">
          <cell r="A34">
            <v>45379</v>
          </cell>
          <cell r="B34">
            <v>55089</v>
          </cell>
          <cell r="C34">
            <v>9977</v>
          </cell>
          <cell r="D34">
            <v>0</v>
          </cell>
          <cell r="E34">
            <v>1939</v>
          </cell>
          <cell r="F34">
            <v>3370</v>
          </cell>
          <cell r="G34">
            <v>0</v>
          </cell>
          <cell r="H34">
            <v>1892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72267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55089</v>
          </cell>
          <cell r="BK34">
            <v>9977</v>
          </cell>
          <cell r="BL34">
            <v>0</v>
          </cell>
          <cell r="BM34">
            <v>1939</v>
          </cell>
          <cell r="BN34">
            <v>3370</v>
          </cell>
          <cell r="BO34">
            <v>0</v>
          </cell>
          <cell r="BP34">
            <v>1892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72267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</row>
        <row r="35">
          <cell r="A35">
            <v>45380</v>
          </cell>
          <cell r="B35">
            <v>55089</v>
          </cell>
          <cell r="C35">
            <v>9977</v>
          </cell>
          <cell r="D35">
            <v>0</v>
          </cell>
          <cell r="E35">
            <v>1939</v>
          </cell>
          <cell r="F35">
            <v>3370</v>
          </cell>
          <cell r="G35">
            <v>0</v>
          </cell>
          <cell r="H35">
            <v>1892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72267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55089</v>
          </cell>
          <cell r="BK35">
            <v>9977</v>
          </cell>
          <cell r="BL35">
            <v>0</v>
          </cell>
          <cell r="BM35">
            <v>1939</v>
          </cell>
          <cell r="BN35">
            <v>3370</v>
          </cell>
          <cell r="BO35">
            <v>0</v>
          </cell>
          <cell r="BP35">
            <v>1892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72267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</row>
        <row r="36">
          <cell r="A36">
            <v>45381</v>
          </cell>
          <cell r="B36">
            <v>55089</v>
          </cell>
          <cell r="C36">
            <v>9977</v>
          </cell>
          <cell r="D36">
            <v>0</v>
          </cell>
          <cell r="E36">
            <v>1939</v>
          </cell>
          <cell r="F36">
            <v>3370</v>
          </cell>
          <cell r="G36">
            <v>0</v>
          </cell>
          <cell r="H36">
            <v>1892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72267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55089</v>
          </cell>
          <cell r="BK36">
            <v>9977</v>
          </cell>
          <cell r="BL36">
            <v>0</v>
          </cell>
          <cell r="BM36">
            <v>1939</v>
          </cell>
          <cell r="BN36">
            <v>3370</v>
          </cell>
          <cell r="BO36">
            <v>0</v>
          </cell>
          <cell r="BP36">
            <v>1892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72267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</row>
        <row r="37">
          <cell r="A37">
            <v>45382</v>
          </cell>
          <cell r="B37">
            <v>55089</v>
          </cell>
          <cell r="C37">
            <v>9977</v>
          </cell>
          <cell r="D37">
            <v>0</v>
          </cell>
          <cell r="E37">
            <v>1939</v>
          </cell>
          <cell r="F37">
            <v>3370</v>
          </cell>
          <cell r="G37">
            <v>0</v>
          </cell>
          <cell r="H37">
            <v>1892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72267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55089</v>
          </cell>
          <cell r="BK37">
            <v>9977</v>
          </cell>
          <cell r="BL37">
            <v>0</v>
          </cell>
          <cell r="BM37">
            <v>1939</v>
          </cell>
          <cell r="BN37">
            <v>3370</v>
          </cell>
          <cell r="BO37">
            <v>0</v>
          </cell>
          <cell r="BP37">
            <v>1892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72267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</row>
        <row r="38">
          <cell r="B38">
            <v>17354</v>
          </cell>
          <cell r="C38">
            <v>6606</v>
          </cell>
          <cell r="D38">
            <v>0</v>
          </cell>
          <cell r="E38">
            <v>2427</v>
          </cell>
          <cell r="F38">
            <v>5266</v>
          </cell>
          <cell r="G38">
            <v>0</v>
          </cell>
          <cell r="P38">
            <v>33752</v>
          </cell>
          <cell r="Q38">
            <v>694000</v>
          </cell>
          <cell r="R38">
            <v>123000</v>
          </cell>
          <cell r="S38">
            <v>0</v>
          </cell>
          <cell r="T38">
            <v>0</v>
          </cell>
          <cell r="U38">
            <v>24000</v>
          </cell>
          <cell r="V38">
            <v>0</v>
          </cell>
          <cell r="W38">
            <v>2000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843000</v>
          </cell>
          <cell r="AF38">
            <v>655684</v>
          </cell>
          <cell r="AG38">
            <v>119481</v>
          </cell>
          <cell r="AH38">
            <v>0</v>
          </cell>
          <cell r="AI38">
            <v>488</v>
          </cell>
          <cell r="AJ38">
            <v>25856</v>
          </cell>
          <cell r="AK38">
            <v>0</v>
          </cell>
          <cell r="AL38">
            <v>2200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803709</v>
          </cell>
          <cell r="AU38">
            <v>581</v>
          </cell>
          <cell r="AV38">
            <v>148</v>
          </cell>
          <cell r="AW38">
            <v>0</v>
          </cell>
          <cell r="AX38">
            <v>0</v>
          </cell>
          <cell r="AY38">
            <v>40</v>
          </cell>
          <cell r="AZ38">
            <v>0</v>
          </cell>
          <cell r="BA38">
            <v>7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776</v>
          </cell>
          <cell r="BJ38">
            <v>55089</v>
          </cell>
          <cell r="BK38">
            <v>9977</v>
          </cell>
          <cell r="BL38">
            <v>0</v>
          </cell>
          <cell r="BM38">
            <v>1939</v>
          </cell>
          <cell r="BN38">
            <v>3370</v>
          </cell>
          <cell r="BO38">
            <v>0</v>
          </cell>
          <cell r="BP38">
            <v>1892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72267</v>
          </cell>
          <cell r="BY38">
            <v>8356.0999999999985</v>
          </cell>
          <cell r="BZ38">
            <v>0</v>
          </cell>
          <cell r="CA38">
            <v>1649.28</v>
          </cell>
          <cell r="CB38">
            <v>10005.379999999999</v>
          </cell>
        </row>
        <row r="39">
          <cell r="B39" t="str">
            <v>Opening Stock</v>
          </cell>
          <cell r="Q39" t="str">
            <v>Received</v>
          </cell>
          <cell r="AF39" t="str">
            <v>Production</v>
          </cell>
          <cell r="AU39" t="str">
            <v>Bursting</v>
          </cell>
          <cell r="BJ39" t="str">
            <v>Closing Stock</v>
          </cell>
          <cell r="BY39" t="str">
            <v>BM</v>
          </cell>
          <cell r="BZ39" t="str">
            <v>AM</v>
          </cell>
          <cell r="CA39" t="str">
            <v>GOLD</v>
          </cell>
          <cell r="CB39" t="str">
            <v>Total</v>
          </cell>
        </row>
      </sheetData>
      <sheetData sheetId="28">
        <row r="8">
          <cell r="D8">
            <v>655684</v>
          </cell>
          <cell r="F8">
            <v>581</v>
          </cell>
        </row>
        <row r="9">
          <cell r="D9">
            <v>119481</v>
          </cell>
          <cell r="F9">
            <v>148</v>
          </cell>
        </row>
        <row r="10">
          <cell r="D10">
            <v>488</v>
          </cell>
          <cell r="F10">
            <v>0</v>
          </cell>
        </row>
        <row r="11">
          <cell r="D11">
            <v>25856</v>
          </cell>
          <cell r="F11">
            <v>40</v>
          </cell>
        </row>
        <row r="12">
          <cell r="D12">
            <v>2200</v>
          </cell>
          <cell r="F12">
            <v>7</v>
          </cell>
        </row>
        <row r="13">
          <cell r="F13">
            <v>776</v>
          </cell>
        </row>
        <row r="20">
          <cell r="D20">
            <v>32784.199999999997</v>
          </cell>
        </row>
        <row r="21">
          <cell r="D21">
            <v>5998.45</v>
          </cell>
        </row>
        <row r="22">
          <cell r="D22">
            <v>1402.8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F24"/>
  <sheetViews>
    <sheetView workbookViewId="0">
      <selection activeCell="I16" sqref="I16"/>
    </sheetView>
  </sheetViews>
  <sheetFormatPr defaultColWidth="9" defaultRowHeight="15"/>
  <cols>
    <col min="1" max="1" width="12.28515625" customWidth="1"/>
    <col min="2" max="2" width="24.7109375" customWidth="1"/>
    <col min="3" max="3" width="29" customWidth="1"/>
    <col min="4" max="4" width="26.42578125" customWidth="1"/>
    <col min="5" max="5" width="19.85546875" customWidth="1"/>
    <col min="6" max="6" width="24.140625" customWidth="1"/>
    <col min="7" max="7" width="21.7109375" customWidth="1"/>
    <col min="8" max="8" width="5.28515625" customWidth="1"/>
    <col min="9" max="9" width="16.42578125" customWidth="1"/>
    <col min="10" max="11" width="5.28515625" customWidth="1"/>
  </cols>
  <sheetData>
    <row r="1" spans="1:6" ht="18" customHeight="1">
      <c r="A1" s="82" t="s">
        <v>0</v>
      </c>
      <c r="B1" s="83"/>
      <c r="C1" s="83"/>
      <c r="D1" s="83"/>
      <c r="E1" s="83"/>
      <c r="F1" s="83"/>
    </row>
    <row r="2" spans="1:6" ht="15" customHeight="1">
      <c r="A2" s="84" t="s">
        <v>1</v>
      </c>
      <c r="B2" s="83"/>
      <c r="C2" s="83"/>
      <c r="D2" s="83"/>
      <c r="E2" s="83"/>
      <c r="F2" s="83"/>
    </row>
    <row r="3" spans="1:6" ht="15" customHeight="1">
      <c r="A3" s="85" t="s">
        <v>2</v>
      </c>
      <c r="B3" s="83"/>
      <c r="C3" s="83"/>
      <c r="D3" s="83"/>
      <c r="E3" s="83"/>
      <c r="F3" s="83"/>
    </row>
    <row r="4" spans="1:6" ht="15" customHeight="1">
      <c r="A4" s="86" t="s">
        <v>3</v>
      </c>
      <c r="B4" s="83"/>
      <c r="C4" s="83"/>
      <c r="D4" s="83"/>
      <c r="E4" s="83"/>
      <c r="F4" s="83"/>
    </row>
    <row r="5" spans="1:6" ht="15" customHeight="1">
      <c r="A5" s="86" t="s">
        <v>4</v>
      </c>
      <c r="B5" s="83"/>
      <c r="C5" s="83"/>
      <c r="D5" s="83"/>
      <c r="E5" s="83"/>
      <c r="F5" s="83"/>
    </row>
    <row r="6" spans="1:6" ht="10.9" customHeight="1">
      <c r="A6" s="101" t="s">
        <v>5</v>
      </c>
      <c r="B6" s="94" t="s">
        <v>6</v>
      </c>
      <c r="C6" s="96" t="s">
        <v>7</v>
      </c>
      <c r="D6" s="97"/>
      <c r="E6" s="98"/>
      <c r="F6" s="94" t="s">
        <v>8</v>
      </c>
    </row>
    <row r="7" spans="1:6" ht="10.9" customHeight="1">
      <c r="A7" s="102"/>
      <c r="B7" s="95"/>
      <c r="C7" s="55" t="s">
        <v>9</v>
      </c>
      <c r="D7" s="55" t="s">
        <v>10</v>
      </c>
      <c r="E7" s="56" t="s">
        <v>8</v>
      </c>
      <c r="F7" s="95"/>
    </row>
    <row r="8" spans="1:6" ht="9.75" customHeight="1">
      <c r="A8" s="57">
        <v>45205</v>
      </c>
      <c r="B8" s="58" t="s">
        <v>11</v>
      </c>
      <c r="C8" s="59">
        <v>1200</v>
      </c>
      <c r="D8" s="59">
        <v>100</v>
      </c>
      <c r="E8" s="59">
        <v>1300</v>
      </c>
      <c r="F8" s="59">
        <v>1300</v>
      </c>
    </row>
    <row r="9" spans="1:6" ht="9.75" customHeight="1">
      <c r="A9" s="99" t="s">
        <v>12</v>
      </c>
      <c r="B9" s="100"/>
      <c r="C9" s="60">
        <v>1200</v>
      </c>
      <c r="D9" s="60">
        <v>100</v>
      </c>
      <c r="E9" s="60">
        <v>1300</v>
      </c>
      <c r="F9" s="60">
        <v>1300</v>
      </c>
    </row>
    <row r="10" spans="1:6" ht="9.75" customHeight="1"/>
    <row r="11" spans="1:6" ht="10.9" customHeight="1">
      <c r="A11" s="103" t="s">
        <v>5</v>
      </c>
      <c r="B11" s="106" t="s">
        <v>13</v>
      </c>
      <c r="C11" s="61" t="s">
        <v>7</v>
      </c>
      <c r="D11" s="89" t="s">
        <v>8</v>
      </c>
    </row>
    <row r="12" spans="1:6">
      <c r="A12" s="104"/>
      <c r="B12" s="107"/>
      <c r="C12" s="61" t="s">
        <v>9</v>
      </c>
      <c r="D12" s="90"/>
    </row>
    <row r="13" spans="1:6" ht="21.2" customHeight="1">
      <c r="A13" s="105"/>
      <c r="B13" s="108"/>
      <c r="C13" s="61" t="s">
        <v>14</v>
      </c>
      <c r="D13" s="91"/>
    </row>
    <row r="14" spans="1:6" ht="21.2" customHeight="1">
      <c r="A14" s="62">
        <v>45205</v>
      </c>
      <c r="B14" s="63" t="s">
        <v>11</v>
      </c>
      <c r="C14" s="59">
        <v>5</v>
      </c>
      <c r="D14" s="59">
        <v>5</v>
      </c>
    </row>
    <row r="15" spans="1:6" ht="21.2" customHeight="1">
      <c r="A15" s="64" t="s">
        <v>12</v>
      </c>
      <c r="B15" s="65"/>
      <c r="C15" s="66">
        <v>5</v>
      </c>
      <c r="D15" s="66">
        <v>5</v>
      </c>
    </row>
    <row r="16" spans="1:6" ht="21.2" customHeight="1"/>
    <row r="17" spans="1:4" ht="21.2" customHeight="1">
      <c r="A17" s="67" t="s">
        <v>15</v>
      </c>
      <c r="B17" s="87" t="s">
        <v>9</v>
      </c>
      <c r="C17" s="87" t="s">
        <v>10</v>
      </c>
      <c r="D17" s="92" t="s">
        <v>8</v>
      </c>
    </row>
    <row r="18" spans="1:4" ht="21.2" customHeight="1">
      <c r="A18" s="68" t="s">
        <v>16</v>
      </c>
      <c r="B18" s="88"/>
      <c r="C18" s="88"/>
      <c r="D18" s="93"/>
    </row>
    <row r="19" spans="1:4" ht="21.2" customHeight="1">
      <c r="A19" s="69">
        <v>45205</v>
      </c>
      <c r="B19" s="70">
        <v>1200</v>
      </c>
      <c r="C19" s="70">
        <v>100</v>
      </c>
      <c r="D19" s="70">
        <v>1300</v>
      </c>
    </row>
    <row r="20" spans="1:4">
      <c r="A20" s="10" t="s">
        <v>17</v>
      </c>
      <c r="B20" s="10">
        <v>1200</v>
      </c>
      <c r="C20" s="10">
        <v>100</v>
      </c>
      <c r="D20" s="10">
        <v>1300</v>
      </c>
    </row>
    <row r="21" spans="1:4" ht="16.350000000000001" customHeight="1"/>
    <row r="22" spans="1:4" ht="16.350000000000001" customHeight="1">
      <c r="A22" s="71" t="s">
        <v>18</v>
      </c>
    </row>
    <row r="23" spans="1:4" ht="13.15" customHeight="1"/>
    <row r="24" spans="1:4" ht="11.85" customHeight="1"/>
  </sheetData>
  <mergeCells count="16">
    <mergeCell ref="B17:B18"/>
    <mergeCell ref="C17:C18"/>
    <mergeCell ref="D11:D13"/>
    <mergeCell ref="D17:D18"/>
    <mergeCell ref="F6:F7"/>
    <mergeCell ref="C6:E6"/>
    <mergeCell ref="A9:B9"/>
    <mergeCell ref="A6:A7"/>
    <mergeCell ref="A11:A13"/>
    <mergeCell ref="B6:B7"/>
    <mergeCell ref="B11:B13"/>
    <mergeCell ref="A1:F1"/>
    <mergeCell ref="A2:F2"/>
    <mergeCell ref="A3:F3"/>
    <mergeCell ref="A4:F4"/>
    <mergeCell ref="A5:F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BK21"/>
  <sheetViews>
    <sheetView workbookViewId="0">
      <selection activeCell="D6" sqref="D6"/>
    </sheetView>
  </sheetViews>
  <sheetFormatPr defaultColWidth="9" defaultRowHeight="15"/>
  <cols>
    <col min="1" max="1" width="14.28515625" customWidth="1"/>
    <col min="17" max="17" width="12.7109375" customWidth="1"/>
    <col min="18" max="18" width="9.7109375" customWidth="1"/>
    <col min="20" max="20" width="9.85546875" customWidth="1"/>
  </cols>
  <sheetData>
    <row r="1" spans="1:63" ht="10.5" customHeight="1"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</row>
    <row r="2" spans="1:63" ht="10.5" customHeight="1"/>
    <row r="3" spans="1:63" ht="18.75">
      <c r="A3" s="21" t="s">
        <v>15</v>
      </c>
    </row>
    <row r="4" spans="1:63" ht="15.75" customHeight="1">
      <c r="A4" s="22" t="s">
        <v>5</v>
      </c>
      <c r="B4" s="23" t="s">
        <v>6</v>
      </c>
      <c r="C4" s="118" t="s">
        <v>7</v>
      </c>
      <c r="D4" s="119"/>
      <c r="E4" s="119"/>
      <c r="F4" s="119"/>
      <c r="G4" s="119"/>
      <c r="H4" s="120"/>
      <c r="I4" s="121" t="s">
        <v>26</v>
      </c>
      <c r="J4" s="122"/>
      <c r="K4" s="122"/>
      <c r="L4" s="122"/>
      <c r="M4" s="122"/>
      <c r="N4" s="123"/>
      <c r="O4" s="22" t="s">
        <v>8</v>
      </c>
      <c r="Q4" s="22" t="s">
        <v>5</v>
      </c>
      <c r="R4" s="40" t="s">
        <v>6</v>
      </c>
      <c r="S4" s="124" t="str">
        <f t="shared" ref="S4:S6" si="0">C4</f>
        <v>CKER - 1</v>
      </c>
      <c r="T4" s="124">
        <f t="shared" ref="T4:T6" si="1">D4</f>
        <v>0</v>
      </c>
      <c r="U4" s="124">
        <f t="shared" ref="U4:U6" si="2">E4</f>
        <v>0</v>
      </c>
      <c r="V4" s="124">
        <f t="shared" ref="V4:V6" si="3">F4</f>
        <v>0</v>
      </c>
      <c r="W4" s="124">
        <f t="shared" ref="W4:W6" si="4">G4</f>
        <v>0</v>
      </c>
      <c r="X4" s="124">
        <f t="shared" ref="X4:X6" si="5">H4</f>
        <v>0</v>
      </c>
      <c r="Y4" s="125" t="str">
        <f t="shared" ref="Y4:Y6" si="6">I4</f>
        <v>CKER - 2</v>
      </c>
      <c r="Z4" s="125">
        <f t="shared" ref="Z4:Z6" si="7">J4</f>
        <v>0</v>
      </c>
      <c r="AA4" s="125">
        <f t="shared" ref="AA4:AA6" si="8">K4</f>
        <v>0</v>
      </c>
      <c r="AB4" s="125">
        <f t="shared" ref="AB4:AB6" si="9">L4</f>
        <v>0</v>
      </c>
      <c r="AC4" s="125">
        <f t="shared" ref="AC4:AC6" si="10">M4</f>
        <v>0</v>
      </c>
      <c r="AD4" s="125">
        <f t="shared" ref="AD4:AD6" si="11">N4</f>
        <v>0</v>
      </c>
      <c r="AE4" s="115" t="str">
        <f t="shared" ref="AE4:AE6" si="12">O4</f>
        <v>Total</v>
      </c>
    </row>
    <row r="5" spans="1:63" ht="22.5" hidden="1" customHeight="1">
      <c r="A5" s="24"/>
      <c r="B5" s="25"/>
      <c r="C5" s="26" t="s">
        <v>27</v>
      </c>
      <c r="D5" s="26" t="s">
        <v>28</v>
      </c>
      <c r="E5" s="26" t="s">
        <v>9</v>
      </c>
      <c r="F5" s="26" t="s">
        <v>10</v>
      </c>
      <c r="G5" s="26" t="s">
        <v>29</v>
      </c>
      <c r="H5" s="27" t="s">
        <v>8</v>
      </c>
      <c r="I5" s="35" t="str">
        <f>C5</f>
        <v>BAG CEMENT A-M SPECIAL (PCC)</v>
      </c>
      <c r="J5" s="35" t="str">
        <f t="shared" ref="J5:M6" si="13">D5</f>
        <v>BAG CEMENT A-M (SPECIAL) PCC 1 PLY</v>
      </c>
      <c r="K5" s="35" t="str">
        <f t="shared" si="13"/>
        <v>BAG CEMENT B-M (PCC)</v>
      </c>
      <c r="L5" s="35" t="str">
        <f t="shared" si="13"/>
        <v>BAG CEMENT GOLD (OPC)</v>
      </c>
      <c r="M5" s="35" t="str">
        <f t="shared" si="13"/>
        <v>BAG CEMENT GOLD (OPC) 1 PLY</v>
      </c>
      <c r="N5" s="36" t="s">
        <v>8</v>
      </c>
      <c r="O5" s="37"/>
      <c r="Q5" s="24"/>
      <c r="R5" s="25"/>
      <c r="S5" s="26" t="str">
        <f t="shared" si="0"/>
        <v>BAG CEMENT A-M SPECIAL (PCC)</v>
      </c>
      <c r="T5" s="26" t="str">
        <f t="shared" si="1"/>
        <v>BAG CEMENT A-M (SPECIAL) PCC 1 PLY</v>
      </c>
      <c r="U5" s="26" t="str">
        <f t="shared" si="2"/>
        <v>BAG CEMENT B-M (PCC)</v>
      </c>
      <c r="V5" s="26" t="str">
        <f t="shared" si="3"/>
        <v>BAG CEMENT GOLD (OPC)</v>
      </c>
      <c r="W5" s="26" t="str">
        <f t="shared" si="4"/>
        <v>BAG CEMENT GOLD (OPC) 1 PLY</v>
      </c>
      <c r="X5" s="27" t="str">
        <f t="shared" si="5"/>
        <v>Total</v>
      </c>
      <c r="Y5" s="35" t="str">
        <f t="shared" si="6"/>
        <v>BAG CEMENT A-M SPECIAL (PCC)</v>
      </c>
      <c r="Z5" s="35" t="str">
        <f t="shared" si="7"/>
        <v>BAG CEMENT A-M (SPECIAL) PCC 1 PLY</v>
      </c>
      <c r="AA5" s="35" t="str">
        <f t="shared" si="8"/>
        <v>BAG CEMENT B-M (PCC)</v>
      </c>
      <c r="AB5" s="35" t="str">
        <f t="shared" si="9"/>
        <v>BAG CEMENT GOLD (OPC)</v>
      </c>
      <c r="AC5" s="35" t="str">
        <f t="shared" si="10"/>
        <v>BAG CEMENT GOLD (OPC) 1 PLY</v>
      </c>
      <c r="AD5" s="36" t="str">
        <f t="shared" si="11"/>
        <v>Total</v>
      </c>
      <c r="AE5" s="115">
        <f t="shared" si="12"/>
        <v>0</v>
      </c>
    </row>
    <row r="6" spans="1:63" ht="31.5">
      <c r="A6" s="28"/>
      <c r="B6" s="25"/>
      <c r="C6" s="26" t="s">
        <v>20</v>
      </c>
      <c r="D6" s="26" t="s">
        <v>21</v>
      </c>
      <c r="E6" s="26" t="s">
        <v>19</v>
      </c>
      <c r="F6" s="26" t="s">
        <v>23</v>
      </c>
      <c r="G6" s="26" t="s">
        <v>24</v>
      </c>
      <c r="H6" s="27" t="s">
        <v>8</v>
      </c>
      <c r="I6" s="35" t="str">
        <f>C6</f>
        <v>AM (2 Ply)</v>
      </c>
      <c r="J6" s="35" t="str">
        <f t="shared" si="13"/>
        <v>AM (1 PLY )</v>
      </c>
      <c r="K6" s="35" t="str">
        <f t="shared" si="13"/>
        <v>BM (2 PLY)</v>
      </c>
      <c r="L6" s="35" t="str">
        <f t="shared" si="13"/>
        <v>Gold (2 PLY)</v>
      </c>
      <c r="M6" s="35" t="str">
        <f t="shared" si="13"/>
        <v>Gold (1 PLY)</v>
      </c>
      <c r="N6" s="36" t="str">
        <f>H6</f>
        <v>Total</v>
      </c>
      <c r="O6" s="37" t="str">
        <f>N6</f>
        <v>Total</v>
      </c>
      <c r="Q6" s="28"/>
      <c r="R6" s="25"/>
      <c r="S6" s="26" t="str">
        <f t="shared" si="0"/>
        <v>AM (2 Ply)</v>
      </c>
      <c r="T6" s="26" t="str">
        <f t="shared" si="1"/>
        <v>AM (1 PLY )</v>
      </c>
      <c r="U6" s="26" t="str">
        <f t="shared" si="2"/>
        <v>BM (2 PLY)</v>
      </c>
      <c r="V6" s="26" t="str">
        <f t="shared" si="3"/>
        <v>Gold (2 PLY)</v>
      </c>
      <c r="W6" s="26" t="str">
        <f t="shared" si="4"/>
        <v>Gold (1 PLY)</v>
      </c>
      <c r="X6" s="27" t="str">
        <f t="shared" si="5"/>
        <v>Total</v>
      </c>
      <c r="Y6" s="35" t="str">
        <f t="shared" si="6"/>
        <v>AM (2 Ply)</v>
      </c>
      <c r="Z6" s="35" t="str">
        <f t="shared" si="7"/>
        <v>AM (1 PLY )</v>
      </c>
      <c r="AA6" s="35" t="str">
        <f t="shared" si="8"/>
        <v>BM (2 PLY)</v>
      </c>
      <c r="AB6" s="35" t="str">
        <f t="shared" si="9"/>
        <v>Gold (2 PLY)</v>
      </c>
      <c r="AC6" s="35" t="str">
        <f t="shared" si="10"/>
        <v>Gold (1 PLY)</v>
      </c>
      <c r="AD6" s="36" t="str">
        <f t="shared" si="11"/>
        <v>Total</v>
      </c>
      <c r="AE6" s="50" t="str">
        <f t="shared" si="12"/>
        <v>Total</v>
      </c>
    </row>
    <row r="7" spans="1:63" ht="15.75" customHeight="1">
      <c r="A7" s="109" t="str">
        <f>MID('Imported Data'!A4,6,9)</f>
        <v>06-OCT-23</v>
      </c>
      <c r="B7" s="29" t="s">
        <v>11</v>
      </c>
      <c r="C7" s="16" t="str">
        <f ca="1">IFERROR(HLOOKUP(C$5,INDIRECT("'Imported Data'!c7:"&amp;CHAR(MATCH("Total",'Imported Data'!7:7,0)+65)&amp;"10"),ROW()-5,0),"")</f>
        <v/>
      </c>
      <c r="D7" s="16" t="str">
        <f ca="1">IFERROR(HLOOKUP(D$5,INDIRECT("'Imported Data'!c7:"&amp;CHAR(MATCH("Total",'Imported Data'!7:7,0)+65)&amp;"10"),ROW()-5,0),"")</f>
        <v/>
      </c>
      <c r="E7" s="16">
        <f ca="1">IFERROR(HLOOKUP(E$5,INDIRECT("'Imported Data'!c7:"&amp;CHAR(MATCH("Total",'Imported Data'!7:7,0)+65)&amp;"10"),ROW()-5,0),"")</f>
        <v>1200</v>
      </c>
      <c r="F7" s="16">
        <f ca="1">IFERROR(HLOOKUP(F$5,INDIRECT("'Imported Data'!c7:"&amp;CHAR(MATCH("Total",'Imported Data'!7:7,0)+65)&amp;"10"),ROW()-5,0),"")</f>
        <v>100</v>
      </c>
      <c r="G7" s="16" t="str">
        <f ca="1">IFERROR(HLOOKUP(G$5,INDIRECT("'Imported Data'!c7:"&amp;CHAR(MATCH("Total",'Imported Data'!7:7,0)+65)&amp;"10"),ROW()-5,0),"")</f>
        <v/>
      </c>
      <c r="H7" s="16">
        <f ca="1">IFERROR(HLOOKUP(H$5,INDIRECT("'Imported Data'!c7:"&amp;CHAR(MATCH("Total",'Imported Data'!7:7,0)+65)&amp;"10"),ROW()-5,0),"")</f>
        <v>1300</v>
      </c>
      <c r="I7" s="16" t="str">
        <f ca="1">IFERROR(HLOOKUP(I$5,INDIRECT("'Imported Data'!"&amp;CHAR(MATCH("Total",'Imported Data'!7:7,0)+65)&amp;"7:"&amp;"P10"),ROW()-5,0),"")</f>
        <v/>
      </c>
      <c r="J7" s="16" t="str">
        <f ca="1">IFERROR(HLOOKUP(J$5,INDIRECT("'Imported Data'!"&amp;CHAR(MATCH("Total",'Imported Data'!7:7,0)+65)&amp;"7:"&amp;"P10"),ROW()-5,0),"")</f>
        <v/>
      </c>
      <c r="K7" s="16" t="str">
        <f ca="1">IFERROR(HLOOKUP(K$5,INDIRECT("'Imported Data'!"&amp;CHAR(MATCH("Total",'Imported Data'!7:7,0)+65)&amp;"7:"&amp;"P10"),ROW()-5,0),"")</f>
        <v/>
      </c>
      <c r="L7" s="16" t="str">
        <f ca="1">IFERROR(HLOOKUP(L$5,INDIRECT("'Imported Data'!"&amp;CHAR(MATCH("Total",'Imported Data'!7:7,0)+65)&amp;"7:"&amp;"P10"),ROW()-5,0),"")</f>
        <v/>
      </c>
      <c r="M7" s="16" t="str">
        <f ca="1">IFERROR(HLOOKUP(M$5,INDIRECT("'Imported Data'!"&amp;CHAR(MATCH("Total",'Imported Data'!7:7,0)+65)&amp;"7:"&amp;"P10"),ROW()-5,0),"")</f>
        <v/>
      </c>
      <c r="N7" s="16" t="str">
        <f ca="1">IFERROR(HLOOKUP(N$5,INDIRECT("'Imported Data'!"&amp;CHAR(MATCH("Total",'Imported Data'!7:7,0)+65)&amp;"7:"&amp;"P10"),ROW()-5,0),"")</f>
        <v/>
      </c>
      <c r="O7" s="16" t="str">
        <f ca="1">IFERROR(H7+N7,"")</f>
        <v/>
      </c>
      <c r="Q7" s="112">
        <f>A7+0</f>
        <v>45205</v>
      </c>
      <c r="R7" s="41" t="s">
        <v>11</v>
      </c>
      <c r="S7" s="42" t="e">
        <f>VLOOKUP($Q$7,'[1]Production Details by Shift (2)'!$A$5:'[1]Production Details by Shift (2)'!$MJ$36,SUM(165+1+0),0)</f>
        <v>#N/A</v>
      </c>
      <c r="T7" s="43" t="e">
        <f>VLOOKUP($Q$7,'[1]Production Details by Shift (2)'!$A$5:'[1]Production Details by Shift (2)'!$MJ$36,SUM(165+2+0),0)+VLOOKUP($Q$7,'[1]Production Details by Shift (2)'!$A$5:'[1]Production Details by Shift (2)'!$MJ$36,SUM(165+3+0),0)</f>
        <v>#N/A</v>
      </c>
      <c r="U7" s="42" t="e">
        <f>VLOOKUP($Q$7,'[1]Production Details by Shift (2)'!$A$5:'[1]Production Details by Shift (2)'!$MJ$36,SUM(165+0+0),0)</f>
        <v>#N/A</v>
      </c>
      <c r="V7" s="42" t="e">
        <f>VLOOKUP($Q$7,'[1]Production Details by Shift (2)'!$A$5:'[1]Production Details by Shift (2)'!$MJ$36,SUM(165+4+0),0)</f>
        <v>#N/A</v>
      </c>
      <c r="W7" s="43" t="e">
        <f>VLOOKUP($Q$7,'[1]Production Details by Shift (2)'!$A$5:'[1]Production Details by Shift (2)'!$MJ$36,SUM(165+5+0),0)+VLOOKUP($Q$7,'[1]Production Details by Shift (2)'!$A$5:'[1]Production Details by Shift (2)'!$MJ$36,SUM(165+6+0),0)</f>
        <v>#N/A</v>
      </c>
      <c r="X7" s="44" t="e">
        <f>SUM(S7:W7)</f>
        <v>#N/A</v>
      </c>
      <c r="Y7" s="42" t="e">
        <f>VLOOKUP($Q$7,'[1]Production Details by Shift (2)'!$A$5:'[1]Production Details by Shift (2)'!$MJ$36,SUM(211+1+0),0)</f>
        <v>#N/A</v>
      </c>
      <c r="Z7" s="43" t="e">
        <f>VLOOKUP($Q$7,'[1]Production Details by Shift (2)'!$A$5:'[1]Production Details by Shift (2)'!$MJ$36,SUM(211+2+0),0)+VLOOKUP($Q$7,'[1]Production Details by Shift (2)'!$A$5:'[1]Production Details by Shift (2)'!$MJ$36,SUM(211+3+0),0)</f>
        <v>#N/A</v>
      </c>
      <c r="AA7" s="42" t="e">
        <f>VLOOKUP($Q$7,'[1]Production Details by Shift (2)'!$A$5:'[1]Production Details by Shift (2)'!$MJ$36,SUM(211+0+0),0)</f>
        <v>#N/A</v>
      </c>
      <c r="AB7" s="42" t="e">
        <f>VLOOKUP($Q$7,'[1]Production Details by Shift (2)'!$A$5:'[1]Production Details by Shift (2)'!$MJ$36,SUM(211+4+0),0)</f>
        <v>#N/A</v>
      </c>
      <c r="AC7" s="43" t="e">
        <f>VLOOKUP($Q$7,'[1]Production Details by Shift (2)'!$A$5:'[1]Production Details by Shift (2)'!$MJ$36,SUM(211+5+0),0)+VLOOKUP($Q$7,'[1]Production Details by Shift (2)'!$A$5:'[1]Production Details by Shift (2)'!$MJ$36,SUM(211+6+0),0)</f>
        <v>#N/A</v>
      </c>
      <c r="AD7" s="51" t="e">
        <f>SUM(Y7:AC7)</f>
        <v>#N/A</v>
      </c>
      <c r="AE7" s="52" t="str">
        <f>IFERROR(X7+AD7,"")</f>
        <v/>
      </c>
      <c r="AG7" s="54" t="e">
        <f ca="1">IF(EXACT(C7,S7)=TRUE,TRUE,"")</f>
        <v>#N/A</v>
      </c>
      <c r="AH7" s="54" t="e">
        <f t="shared" ref="AH7:AS7" ca="1" si="14">IF(EXACT(D7,T7)=TRUE,TRUE,"")</f>
        <v>#N/A</v>
      </c>
      <c r="AI7" s="54" t="e">
        <f t="shared" ca="1" si="14"/>
        <v>#N/A</v>
      </c>
      <c r="AJ7" s="54" t="e">
        <f t="shared" ca="1" si="14"/>
        <v>#N/A</v>
      </c>
      <c r="AK7" s="54" t="e">
        <f t="shared" ca="1" si="14"/>
        <v>#N/A</v>
      </c>
      <c r="AL7" s="54" t="e">
        <f t="shared" ca="1" si="14"/>
        <v>#N/A</v>
      </c>
      <c r="AM7" s="54" t="e">
        <f t="shared" ca="1" si="14"/>
        <v>#N/A</v>
      </c>
      <c r="AN7" s="54" t="e">
        <f t="shared" ca="1" si="14"/>
        <v>#N/A</v>
      </c>
      <c r="AO7" s="54" t="e">
        <f t="shared" ca="1" si="14"/>
        <v>#N/A</v>
      </c>
      <c r="AP7" s="54" t="e">
        <f t="shared" ca="1" si="14"/>
        <v>#N/A</v>
      </c>
      <c r="AQ7" s="54" t="e">
        <f t="shared" ca="1" si="14"/>
        <v>#N/A</v>
      </c>
      <c r="AR7" s="54" t="e">
        <f t="shared" ca="1" si="14"/>
        <v>#N/A</v>
      </c>
      <c r="AS7" s="54" t="b">
        <f t="shared" ca="1" si="14"/>
        <v>1</v>
      </c>
    </row>
    <row r="8" spans="1:63" ht="15.75" customHeight="1">
      <c r="A8" s="110"/>
      <c r="B8" s="29" t="s">
        <v>30</v>
      </c>
      <c r="C8" s="16" t="str">
        <f ca="1">IFERROR(HLOOKUP(C$5,INDIRECT("'Imported Data'!c7:"&amp;CHAR(MATCH("Total",'Imported Data'!7:7,0)+65)&amp;"10"),ROW()-5,0),"")</f>
        <v/>
      </c>
      <c r="D8" s="16" t="str">
        <f ca="1">IFERROR(HLOOKUP(D$5,INDIRECT("'Imported Data'!c7:"&amp;CHAR(MATCH("Total",'Imported Data'!7:7,0)+65)&amp;"10"),ROW()-5,0),"")</f>
        <v/>
      </c>
      <c r="E8" s="16">
        <f ca="1">IFERROR(HLOOKUP(E$5,INDIRECT("'Imported Data'!c7:"&amp;CHAR(MATCH("Total",'Imported Data'!7:7,0)+65)&amp;"10"),ROW()-5,0),"")</f>
        <v>1200</v>
      </c>
      <c r="F8" s="16">
        <f ca="1">IFERROR(HLOOKUP(F$5,INDIRECT("'Imported Data'!c7:"&amp;CHAR(MATCH("Total",'Imported Data'!7:7,0)+65)&amp;"10"),ROW()-5,0),"")</f>
        <v>100</v>
      </c>
      <c r="G8" s="16" t="str">
        <f ca="1">IFERROR(HLOOKUP(G$5,INDIRECT("'Imported Data'!c7:"&amp;CHAR(MATCH("Total",'Imported Data'!7:7,0)+65)&amp;"10"),ROW()-5,0),"")</f>
        <v/>
      </c>
      <c r="H8" s="16">
        <f ca="1">IFERROR(HLOOKUP(H$5,INDIRECT("'Imported Data'!c7:"&amp;CHAR(MATCH("Total",'Imported Data'!7:7,0)+65)&amp;"10"),ROW()-5,0),"")</f>
        <v>1300</v>
      </c>
      <c r="I8" s="16" t="str">
        <f ca="1">IFERROR(HLOOKUP(I$5,INDIRECT("'Imported Data'!"&amp;CHAR(MATCH("Total",'Imported Data'!7:7,0)+65)&amp;"7:"&amp;"P10"),ROW()-5,0),"")</f>
        <v/>
      </c>
      <c r="J8" s="16" t="str">
        <f ca="1">IFERROR(HLOOKUP(J$5,INDIRECT("'Imported Data'!"&amp;CHAR(MATCH("Total",'Imported Data'!7:7,0)+65)&amp;"7:"&amp;"P10"),ROW()-5,0),"")</f>
        <v/>
      </c>
      <c r="K8" s="16" t="str">
        <f ca="1">IFERROR(HLOOKUP(K$5,INDIRECT("'Imported Data'!"&amp;CHAR(MATCH("Total",'Imported Data'!7:7,0)+65)&amp;"7:"&amp;"P10"),ROW()-5,0),"")</f>
        <v/>
      </c>
      <c r="L8" s="16" t="str">
        <f ca="1">IFERROR(HLOOKUP(L$5,INDIRECT("'Imported Data'!"&amp;CHAR(MATCH("Total",'Imported Data'!7:7,0)+65)&amp;"7:"&amp;"P10"),ROW()-5,0),"")</f>
        <v/>
      </c>
      <c r="M8" s="16" t="str">
        <f ca="1">IFERROR(HLOOKUP(M$5,INDIRECT("'Imported Data'!"&amp;CHAR(MATCH("Total",'Imported Data'!7:7,0)+65)&amp;"7:"&amp;"P10"),ROW()-5,0),"")</f>
        <v/>
      </c>
      <c r="N8" s="16" t="str">
        <f ca="1">IFERROR(HLOOKUP(N$5,INDIRECT("'Imported Data'!"&amp;CHAR(MATCH("Total",'Imported Data'!7:7,0)+65)&amp;"7:"&amp;"P10"),ROW()-5,0),"")</f>
        <v/>
      </c>
      <c r="O8" s="16" t="str">
        <f t="shared" ref="O8:O9" ca="1" si="15">IFERROR(H8+N8,"")</f>
        <v/>
      </c>
      <c r="Q8" s="113"/>
      <c r="R8" s="41" t="s">
        <v>30</v>
      </c>
      <c r="S8" s="42" t="e">
        <f>VLOOKUP($Q$7,'[1]Production Details by Shift (2)'!$A$5:'[1]Production Details by Shift (2)'!$MJ$36,SUM(165+1+15),0)</f>
        <v>#N/A</v>
      </c>
      <c r="T8" s="43" t="e">
        <f>VLOOKUP($Q$7,'[1]Production Details by Shift (2)'!$A$5:'[1]Production Details by Shift (2)'!$MJ$36,SUM(165+2+15),0)+VLOOKUP($Q$7,'[1]Production Details by Shift (2)'!$A$5:'[1]Production Details by Shift (2)'!$MJ$36,SUM(165+3+15),0)</f>
        <v>#N/A</v>
      </c>
      <c r="U8" s="42" t="e">
        <f>VLOOKUP($Q$7,'[1]Production Details by Shift (2)'!$A$5:'[1]Production Details by Shift (2)'!$MJ$36,SUM(165+0+15),0)</f>
        <v>#N/A</v>
      </c>
      <c r="V8" s="42" t="e">
        <f>VLOOKUP($Q$7,'[1]Production Details by Shift (2)'!$A$5:'[1]Production Details by Shift (2)'!$MJ$36,SUM(165+4+15),0)</f>
        <v>#N/A</v>
      </c>
      <c r="W8" s="43" t="e">
        <f>VLOOKUP($Q$7,'[1]Production Details by Shift (2)'!$A$5:'[1]Production Details by Shift (2)'!$MJ$36,SUM(165+5+15),0)+VLOOKUP($Q$7,'[1]Production Details by Shift (2)'!$A$5:'[1]Production Details by Shift (2)'!$MJ$36,SUM(165+6+15),0)</f>
        <v>#N/A</v>
      </c>
      <c r="X8" s="44" t="e">
        <f t="shared" ref="X8:X9" si="16">SUM(S8:W8)</f>
        <v>#N/A</v>
      </c>
      <c r="Y8" s="42" t="e">
        <f>VLOOKUP($Q$7,'[1]Production Details by Shift (2)'!$A$5:'[1]Production Details by Shift (2)'!$MJ$36,SUM(211+1+15),0)</f>
        <v>#N/A</v>
      </c>
      <c r="Z8" s="43" t="e">
        <f>VLOOKUP($Q$7,'[1]Production Details by Shift (2)'!$A$5:'[1]Production Details by Shift (2)'!$MJ$36,SUM(211+2+15),0)+VLOOKUP($Q$7,'[1]Production Details by Shift (2)'!$A$5:'[1]Production Details by Shift (2)'!$MJ$36,SUM(211+3+15),0)</f>
        <v>#N/A</v>
      </c>
      <c r="AA8" s="42" t="e">
        <f>VLOOKUP($Q$7,'[1]Production Details by Shift (2)'!$A$5:'[1]Production Details by Shift (2)'!$MJ$36,SUM(211+0+15),0)</f>
        <v>#N/A</v>
      </c>
      <c r="AB8" s="42" t="e">
        <f>VLOOKUP($Q$7,'[1]Production Details by Shift (2)'!$A$5:'[1]Production Details by Shift (2)'!$MJ$36,SUM(211+4+15),0)</f>
        <v>#N/A</v>
      </c>
      <c r="AC8" s="43" t="e">
        <f>VLOOKUP($Q$7,'[1]Production Details by Shift (2)'!$A$5:'[1]Production Details by Shift (2)'!$MJ$36,SUM(211+5+15),0)+VLOOKUP($Q$7,'[1]Production Details by Shift (2)'!$A$5:'[1]Production Details by Shift (2)'!$MJ$36,SUM(211+6+15),0)</f>
        <v>#N/A</v>
      </c>
      <c r="AD8" s="51" t="e">
        <f t="shared" ref="AD8:AD9" si="17">SUM(Y8:AC8)</f>
        <v>#N/A</v>
      </c>
      <c r="AE8" s="52" t="str">
        <f t="shared" ref="AE8:AE9" si="18">IFERROR(X8+AD8,"")</f>
        <v/>
      </c>
      <c r="AG8" s="54" t="e">
        <f t="shared" ref="AG8:AG10" ca="1" si="19">IF(EXACT(C8,S8)=TRUE,TRUE,"")</f>
        <v>#N/A</v>
      </c>
      <c r="AH8" s="54" t="e">
        <f t="shared" ref="AH8:AH10" ca="1" si="20">IF(EXACT(D8,T8)=TRUE,TRUE,"")</f>
        <v>#N/A</v>
      </c>
      <c r="AI8" s="54" t="e">
        <f t="shared" ref="AI8:AI10" ca="1" si="21">IF(EXACT(E8,U8)=TRUE,TRUE,"")</f>
        <v>#N/A</v>
      </c>
      <c r="AJ8" s="54" t="e">
        <f t="shared" ref="AJ8:AJ10" ca="1" si="22">IF(EXACT(F8,V8)=TRUE,TRUE,"")</f>
        <v>#N/A</v>
      </c>
      <c r="AK8" s="54" t="e">
        <f t="shared" ref="AK8:AK10" ca="1" si="23">IF(EXACT(G8,W8)=TRUE,TRUE,"")</f>
        <v>#N/A</v>
      </c>
      <c r="AL8" s="54" t="e">
        <f t="shared" ref="AL8:AL10" ca="1" si="24">IF(EXACT(H8,X8)=TRUE,TRUE,"")</f>
        <v>#N/A</v>
      </c>
      <c r="AM8" s="54" t="e">
        <f t="shared" ref="AM8:AM10" ca="1" si="25">IF(EXACT(I8,Y8)=TRUE,TRUE,"")</f>
        <v>#N/A</v>
      </c>
      <c r="AN8" s="54" t="e">
        <f t="shared" ref="AN8:AN10" ca="1" si="26">IF(EXACT(J8,Z8)=TRUE,TRUE,"")</f>
        <v>#N/A</v>
      </c>
      <c r="AO8" s="54" t="e">
        <f t="shared" ref="AO8:AO10" ca="1" si="27">IF(EXACT(K8,AA8)=TRUE,TRUE,"")</f>
        <v>#N/A</v>
      </c>
      <c r="AP8" s="54" t="e">
        <f t="shared" ref="AP8:AP10" ca="1" si="28">IF(EXACT(L8,AB8)=TRUE,TRUE,"")</f>
        <v>#N/A</v>
      </c>
      <c r="AQ8" s="54" t="e">
        <f t="shared" ref="AQ8:AQ10" ca="1" si="29">IF(EXACT(M8,AC8)=TRUE,TRUE,"")</f>
        <v>#N/A</v>
      </c>
      <c r="AR8" s="54" t="e">
        <f t="shared" ref="AR8:AR10" ca="1" si="30">IF(EXACT(N8,AD8)=TRUE,TRUE,"")</f>
        <v>#N/A</v>
      </c>
      <c r="AS8" s="54" t="b">
        <f t="shared" ref="AS8:AS10" ca="1" si="31">IF(EXACT(O8,AE8)=TRUE,TRUE,"")</f>
        <v>1</v>
      </c>
    </row>
    <row r="9" spans="1:63" ht="15.75" customHeight="1">
      <c r="A9" s="111"/>
      <c r="B9" s="30" t="s">
        <v>31</v>
      </c>
      <c r="C9" s="16" t="str">
        <f ca="1">IFERROR(HLOOKUP(C$5,INDIRECT("'Imported Data'!c7:"&amp;CHAR(MATCH("Total",'Imported Data'!7:7,0)+65)&amp;"10"),ROW()-5,0),"")</f>
        <v/>
      </c>
      <c r="D9" s="16" t="str">
        <f ca="1">IFERROR(HLOOKUP(D$5,INDIRECT("'Imported Data'!c7:"&amp;CHAR(MATCH("Total",'Imported Data'!7:7,0)+65)&amp;"10"),ROW()-5,0),"")</f>
        <v/>
      </c>
      <c r="E9" s="16">
        <f ca="1">IFERROR(HLOOKUP(E$5,INDIRECT("'Imported Data'!c7:"&amp;CHAR(MATCH("Total",'Imported Data'!7:7,0)+65)&amp;"10"),ROW()-5,0),"")</f>
        <v>0</v>
      </c>
      <c r="F9" s="16">
        <f ca="1">IFERROR(HLOOKUP(F$5,INDIRECT("'Imported Data'!c7:"&amp;CHAR(MATCH("Total",'Imported Data'!7:7,0)+65)&amp;"10"),ROW()-5,0),"")</f>
        <v>0</v>
      </c>
      <c r="G9" s="16" t="str">
        <f ca="1">IFERROR(HLOOKUP(G$5,INDIRECT("'Imported Data'!c7:"&amp;CHAR(MATCH("Total",'Imported Data'!7:7,0)+65)&amp;"10"),ROW()-5,0),"")</f>
        <v/>
      </c>
      <c r="H9" s="16">
        <f ca="1">IFERROR(HLOOKUP(H$5,INDIRECT("'Imported Data'!c7:"&amp;CHAR(MATCH("Total",'Imported Data'!7:7,0)+65)&amp;"10"),ROW()-5,0),"")</f>
        <v>0</v>
      </c>
      <c r="I9" s="16" t="str">
        <f ca="1">IFERROR(HLOOKUP(I$5,INDIRECT("'Imported Data'!"&amp;CHAR(MATCH("Total",'Imported Data'!7:7,0)+65)&amp;"7:"&amp;"P10"),ROW()-5,0),"")</f>
        <v/>
      </c>
      <c r="J9" s="16" t="str">
        <f ca="1">IFERROR(HLOOKUP(J$5,INDIRECT("'Imported Data'!"&amp;CHAR(MATCH("Total",'Imported Data'!7:7,0)+65)&amp;"7:"&amp;"P10"),ROW()-5,0),"")</f>
        <v/>
      </c>
      <c r="K9" s="16" t="str">
        <f ca="1">IFERROR(HLOOKUP(K$5,INDIRECT("'Imported Data'!"&amp;CHAR(MATCH("Total",'Imported Data'!7:7,0)+65)&amp;"7:"&amp;"P10"),ROW()-5,0),"")</f>
        <v/>
      </c>
      <c r="L9" s="16" t="str">
        <f ca="1">IFERROR(HLOOKUP(L$5,INDIRECT("'Imported Data'!"&amp;CHAR(MATCH("Total",'Imported Data'!7:7,0)+65)&amp;"7:"&amp;"P10"),ROW()-5,0),"")</f>
        <v/>
      </c>
      <c r="M9" s="16" t="str">
        <f ca="1">IFERROR(HLOOKUP(M$5,INDIRECT("'Imported Data'!"&amp;CHAR(MATCH("Total",'Imported Data'!7:7,0)+65)&amp;"7:"&amp;"P10"),ROW()-5,0),"")</f>
        <v/>
      </c>
      <c r="N9" s="16" t="str">
        <f ca="1">IFERROR(HLOOKUP(N$5,INDIRECT("'Imported Data'!"&amp;CHAR(MATCH("Total",'Imported Data'!7:7,0)+65)&amp;"7:"&amp;"P10"),ROW()-5,0),"")</f>
        <v/>
      </c>
      <c r="O9" s="16" t="str">
        <f t="shared" ca="1" si="15"/>
        <v/>
      </c>
      <c r="Q9" s="114"/>
      <c r="R9" s="45" t="s">
        <v>31</v>
      </c>
      <c r="S9" s="42" t="e">
        <f>VLOOKUP($Q$7,'[1]Production Details by Shift (2)'!$A$5:'[1]Production Details by Shift (2)'!$MJ$36,SUM(165+1+30),0)</f>
        <v>#N/A</v>
      </c>
      <c r="T9" s="43" t="e">
        <f>VLOOKUP($Q$7,'[1]Production Details by Shift (2)'!$A$5:'[1]Production Details by Shift (2)'!$MJ$36,SUM(165+2+30),0)+VLOOKUP($Q$7,'[1]Production Details by Shift (2)'!$A$5:'[1]Production Details by Shift (2)'!$MJ$36,SUM(165+3+30),0)</f>
        <v>#N/A</v>
      </c>
      <c r="U9" s="42" t="e">
        <f>VLOOKUP($Q$7,'[1]Production Details by Shift (2)'!$A$5:'[1]Production Details by Shift (2)'!$MJ$36,SUM(165+0+30),0)</f>
        <v>#N/A</v>
      </c>
      <c r="V9" s="42" t="e">
        <f>VLOOKUP($Q$7,'[1]Production Details by Shift (2)'!$A$5:'[1]Production Details by Shift (2)'!$MJ$36,SUM(165+4+30),0)</f>
        <v>#N/A</v>
      </c>
      <c r="W9" s="43" t="e">
        <f>VLOOKUP($Q$7,'[1]Production Details by Shift (2)'!$A$5:'[1]Production Details by Shift (2)'!$MJ$36,SUM(165+5+30),0)+VLOOKUP($Q$7,'[1]Production Details by Shift (2)'!$A$5:'[1]Production Details by Shift (2)'!$MJ$36,SUM(165+6+30),0)</f>
        <v>#N/A</v>
      </c>
      <c r="X9" s="44" t="e">
        <f t="shared" si="16"/>
        <v>#N/A</v>
      </c>
      <c r="Y9" s="42" t="e">
        <f>VLOOKUP($Q$7,'[1]Production Details by Shift (2)'!$A$5:'[1]Production Details by Shift (2)'!$MJ$36,SUM(211+1+30),0)</f>
        <v>#N/A</v>
      </c>
      <c r="Z9" s="43" t="e">
        <f>VLOOKUP($Q$7,'[1]Production Details by Shift (2)'!$A$5:'[1]Production Details by Shift (2)'!$MJ$36,SUM(211+2+30),0)+VLOOKUP($Q$7,'[1]Production Details by Shift (2)'!$A$5:'[1]Production Details by Shift (2)'!$MJ$36,SUM(211+3+30),0)</f>
        <v>#N/A</v>
      </c>
      <c r="AA9" s="42" t="e">
        <f>VLOOKUP($Q$7,'[1]Production Details by Shift (2)'!$A$5:'[1]Production Details by Shift (2)'!$MJ$36,SUM(211+0+30),0)</f>
        <v>#N/A</v>
      </c>
      <c r="AB9" s="42" t="e">
        <f>VLOOKUP($Q$7,'[1]Production Details by Shift (2)'!$A$5:'[1]Production Details by Shift (2)'!$MJ$36,SUM(211+4+30),0)</f>
        <v>#N/A</v>
      </c>
      <c r="AC9" s="43" t="e">
        <f>VLOOKUP($Q$7,'[1]Production Details by Shift (2)'!$A$5:'[1]Production Details by Shift (2)'!$MJ$36,SUM(211+5+30),0)+VLOOKUP($Q$7,'[1]Production Details by Shift (2)'!$A$5:'[1]Production Details by Shift (2)'!$MJ$36,SUM(211+6+30),0)</f>
        <v>#N/A</v>
      </c>
      <c r="AD9" s="51" t="e">
        <f t="shared" si="17"/>
        <v>#N/A</v>
      </c>
      <c r="AE9" s="52" t="str">
        <f t="shared" si="18"/>
        <v/>
      </c>
      <c r="AG9" s="54" t="e">
        <f t="shared" ca="1" si="19"/>
        <v>#N/A</v>
      </c>
      <c r="AH9" s="54" t="e">
        <f t="shared" ca="1" si="20"/>
        <v>#N/A</v>
      </c>
      <c r="AI9" s="54" t="e">
        <f t="shared" ca="1" si="21"/>
        <v>#N/A</v>
      </c>
      <c r="AJ9" s="54" t="e">
        <f t="shared" ca="1" si="22"/>
        <v>#N/A</v>
      </c>
      <c r="AK9" s="54" t="e">
        <f t="shared" ca="1" si="23"/>
        <v>#N/A</v>
      </c>
      <c r="AL9" s="54" t="e">
        <f t="shared" ca="1" si="24"/>
        <v>#N/A</v>
      </c>
      <c r="AM9" s="54" t="e">
        <f t="shared" ca="1" si="25"/>
        <v>#N/A</v>
      </c>
      <c r="AN9" s="54" t="e">
        <f t="shared" ca="1" si="26"/>
        <v>#N/A</v>
      </c>
      <c r="AO9" s="54" t="e">
        <f t="shared" ca="1" si="27"/>
        <v>#N/A</v>
      </c>
      <c r="AP9" s="54" t="e">
        <f t="shared" ca="1" si="28"/>
        <v>#N/A</v>
      </c>
      <c r="AQ9" s="54" t="e">
        <f t="shared" ca="1" si="29"/>
        <v>#N/A</v>
      </c>
      <c r="AR9" s="54" t="e">
        <f t="shared" ca="1" si="30"/>
        <v>#N/A</v>
      </c>
      <c r="AS9" s="54" t="b">
        <f t="shared" ca="1" si="31"/>
        <v>1</v>
      </c>
    </row>
    <row r="10" spans="1:63" ht="18.75">
      <c r="A10" s="31" t="s">
        <v>8</v>
      </c>
      <c r="B10" s="31"/>
      <c r="C10" s="16">
        <f ca="1">SUM(C7:C9)</f>
        <v>0</v>
      </c>
      <c r="D10" s="16">
        <f t="shared" ref="D10:O10" ca="1" si="32">SUM(D7:D9)</f>
        <v>0</v>
      </c>
      <c r="E10" s="16">
        <f t="shared" ca="1" si="32"/>
        <v>2400</v>
      </c>
      <c r="F10" s="16">
        <f t="shared" ca="1" si="32"/>
        <v>200</v>
      </c>
      <c r="G10" s="16">
        <f t="shared" ca="1" si="32"/>
        <v>0</v>
      </c>
      <c r="H10" s="16">
        <f t="shared" ca="1" si="32"/>
        <v>2600</v>
      </c>
      <c r="I10" s="16">
        <f t="shared" ca="1" si="32"/>
        <v>0</v>
      </c>
      <c r="J10" s="16">
        <f t="shared" ca="1" si="32"/>
        <v>0</v>
      </c>
      <c r="K10" s="16">
        <f t="shared" ca="1" si="32"/>
        <v>0</v>
      </c>
      <c r="L10" s="16">
        <f t="shared" ca="1" si="32"/>
        <v>0</v>
      </c>
      <c r="M10" s="16">
        <f t="shared" ca="1" si="32"/>
        <v>0</v>
      </c>
      <c r="N10" s="16">
        <f t="shared" ca="1" si="32"/>
        <v>0</v>
      </c>
      <c r="O10" s="16">
        <f t="shared" ca="1" si="32"/>
        <v>0</v>
      </c>
      <c r="Q10" s="46" t="s">
        <v>8</v>
      </c>
      <c r="R10" s="46"/>
      <c r="S10" s="47" t="e">
        <f>SUM(S7:S9)</f>
        <v>#N/A</v>
      </c>
      <c r="T10" s="47" t="e">
        <f t="shared" ref="T10:AE10" si="33">SUM(T7:T9)</f>
        <v>#N/A</v>
      </c>
      <c r="U10" s="47" t="e">
        <f t="shared" si="33"/>
        <v>#N/A</v>
      </c>
      <c r="V10" s="47" t="e">
        <f t="shared" si="33"/>
        <v>#N/A</v>
      </c>
      <c r="W10" s="47" t="e">
        <f t="shared" si="33"/>
        <v>#N/A</v>
      </c>
      <c r="X10" s="48" t="e">
        <f t="shared" si="33"/>
        <v>#N/A</v>
      </c>
      <c r="Y10" s="47" t="e">
        <f t="shared" si="33"/>
        <v>#N/A</v>
      </c>
      <c r="Z10" s="47" t="e">
        <f t="shared" si="33"/>
        <v>#N/A</v>
      </c>
      <c r="AA10" s="47" t="e">
        <f t="shared" si="33"/>
        <v>#N/A</v>
      </c>
      <c r="AB10" s="47" t="e">
        <f t="shared" si="33"/>
        <v>#N/A</v>
      </c>
      <c r="AC10" s="47" t="e">
        <f t="shared" si="33"/>
        <v>#N/A</v>
      </c>
      <c r="AD10" s="53" t="e">
        <f t="shared" si="33"/>
        <v>#N/A</v>
      </c>
      <c r="AE10" s="47">
        <f t="shared" si="33"/>
        <v>0</v>
      </c>
      <c r="AG10" s="54" t="e">
        <f t="shared" ca="1" si="19"/>
        <v>#N/A</v>
      </c>
      <c r="AH10" s="54" t="e">
        <f t="shared" ca="1" si="20"/>
        <v>#N/A</v>
      </c>
      <c r="AI10" s="54" t="e">
        <f t="shared" ca="1" si="21"/>
        <v>#N/A</v>
      </c>
      <c r="AJ10" s="54" t="e">
        <f t="shared" ca="1" si="22"/>
        <v>#N/A</v>
      </c>
      <c r="AK10" s="54" t="e">
        <f t="shared" ca="1" si="23"/>
        <v>#N/A</v>
      </c>
      <c r="AL10" s="54" t="e">
        <f t="shared" ca="1" si="24"/>
        <v>#N/A</v>
      </c>
      <c r="AM10" s="54" t="e">
        <f t="shared" ca="1" si="25"/>
        <v>#N/A</v>
      </c>
      <c r="AN10" s="54" t="e">
        <f t="shared" ca="1" si="26"/>
        <v>#N/A</v>
      </c>
      <c r="AO10" s="54" t="e">
        <f t="shared" ca="1" si="27"/>
        <v>#N/A</v>
      </c>
      <c r="AP10" s="54" t="e">
        <f t="shared" ca="1" si="28"/>
        <v>#N/A</v>
      </c>
      <c r="AQ10" s="54" t="e">
        <f t="shared" ca="1" si="29"/>
        <v>#N/A</v>
      </c>
      <c r="AR10" s="54" t="e">
        <f t="shared" ca="1" si="30"/>
        <v>#N/A</v>
      </c>
      <c r="AS10" s="54" t="b">
        <f t="shared" ca="1" si="31"/>
        <v>1</v>
      </c>
    </row>
    <row r="12" spans="1:63" ht="18.75">
      <c r="A12" s="21" t="s">
        <v>32</v>
      </c>
      <c r="R12" s="49"/>
    </row>
    <row r="13" spans="1:63" ht="15.75" customHeight="1">
      <c r="A13" s="22" t="s">
        <v>5</v>
      </c>
      <c r="B13" s="23" t="s">
        <v>6</v>
      </c>
      <c r="C13" s="126" t="s">
        <v>7</v>
      </c>
      <c r="D13" s="127"/>
      <c r="E13" s="127"/>
      <c r="F13" s="127"/>
      <c r="G13" s="127"/>
      <c r="H13" s="128"/>
      <c r="I13" s="129" t="s">
        <v>26</v>
      </c>
      <c r="J13" s="130"/>
      <c r="K13" s="130"/>
      <c r="L13" s="130"/>
      <c r="M13" s="130"/>
      <c r="N13" s="131"/>
      <c r="O13" s="22" t="s">
        <v>8</v>
      </c>
      <c r="Q13" s="22" t="s">
        <v>5</v>
      </c>
      <c r="R13" s="23" t="s">
        <v>6</v>
      </c>
      <c r="S13" s="126" t="s">
        <v>7</v>
      </c>
      <c r="T13" s="127"/>
      <c r="U13" s="127"/>
      <c r="V13" s="127"/>
      <c r="W13" s="127"/>
      <c r="X13" s="128"/>
      <c r="Y13" s="129" t="s">
        <v>26</v>
      </c>
      <c r="Z13" s="130"/>
      <c r="AA13" s="130"/>
      <c r="AB13" s="130"/>
      <c r="AC13" s="130"/>
      <c r="AD13" s="131"/>
      <c r="AE13" s="116" t="s">
        <v>8</v>
      </c>
      <c r="AW13" s="12" t="s">
        <v>33</v>
      </c>
      <c r="AX13" s="12" t="s">
        <v>33</v>
      </c>
      <c r="AY13" s="12" t="str">
        <f>AY16&amp;COUNTIF($AY$16:AY16,AY16)</f>
        <v>51</v>
      </c>
      <c r="AZ13" s="12" t="str">
        <f>AZ16&amp;COUNTIF($AY$16:AZ16,AZ16)</f>
        <v>52</v>
      </c>
      <c r="BA13" s="12" t="str">
        <f>BA16&amp;COUNTIF($AY$16:BA16,BA16)</f>
        <v>01</v>
      </c>
      <c r="BB13" s="12" t="str">
        <f>BB16&amp;COUNTIF($AY$16:BB16,BB16)</f>
        <v>02</v>
      </c>
      <c r="BC13" s="12" t="str">
        <f>BC16&amp;COUNTIF($AY$16:BC16,BC16)</f>
        <v>03</v>
      </c>
      <c r="BD13" s="12" t="str">
        <f>BD16&amp;COUNTIF($AY$16:BD16,BD16)</f>
        <v>04</v>
      </c>
      <c r="BE13" s="12" t="str">
        <f>BE16&amp;COUNTIF($AY$16:BE16,BE16)</f>
        <v>05</v>
      </c>
      <c r="BF13" s="12" t="str">
        <f>BF16&amp;COUNTIF($AY$16:BF16,BF16)</f>
        <v>06</v>
      </c>
      <c r="BG13" s="12" t="str">
        <f>BG16&amp;COUNTIF($AY$16:BG16,BG16)</f>
        <v>07</v>
      </c>
      <c r="BH13" s="12" t="str">
        <f>BH16&amp;COUNTIF($AY$16:BH16,BH16)</f>
        <v>08</v>
      </c>
      <c r="BI13" s="12" t="str">
        <f>BI16&amp;COUNTIF($AY$16:BI16,BI16)</f>
        <v>09</v>
      </c>
      <c r="BJ13" s="12" t="str">
        <f>BJ16&amp;COUNTIF($AY$16:BJ16,BJ16)</f>
        <v>010</v>
      </c>
      <c r="BK13" s="12" t="str">
        <f>BK16&amp;COUNTIF($AY$16:BK16,BK16)</f>
        <v>011</v>
      </c>
    </row>
    <row r="14" spans="1:63" ht="94.5" hidden="1">
      <c r="A14" s="24"/>
      <c r="B14" s="32"/>
      <c r="C14" s="33" t="s">
        <v>27</v>
      </c>
      <c r="D14" s="33" t="s">
        <v>28</v>
      </c>
      <c r="E14" s="33" t="s">
        <v>9</v>
      </c>
      <c r="F14" s="33" t="s">
        <v>10</v>
      </c>
      <c r="G14" s="33" t="s">
        <v>29</v>
      </c>
      <c r="H14" s="34" t="s">
        <v>8</v>
      </c>
      <c r="I14" s="38" t="s">
        <v>27</v>
      </c>
      <c r="J14" s="38" t="s">
        <v>28</v>
      </c>
      <c r="K14" s="38" t="s">
        <v>9</v>
      </c>
      <c r="L14" s="38" t="s">
        <v>10</v>
      </c>
      <c r="M14" s="38" t="s">
        <v>29</v>
      </c>
      <c r="N14" s="39" t="s">
        <v>8</v>
      </c>
      <c r="O14" s="28"/>
      <c r="Q14" s="24"/>
      <c r="R14" s="32"/>
      <c r="S14" s="33" t="s">
        <v>27</v>
      </c>
      <c r="T14" s="33" t="s">
        <v>28</v>
      </c>
      <c r="U14" s="33" t="s">
        <v>9</v>
      </c>
      <c r="V14" s="33" t="s">
        <v>10</v>
      </c>
      <c r="W14" s="33" t="s">
        <v>29</v>
      </c>
      <c r="X14" s="34" t="s">
        <v>8</v>
      </c>
      <c r="Y14" s="38" t="s">
        <v>27</v>
      </c>
      <c r="Z14" s="38" t="s">
        <v>28</v>
      </c>
      <c r="AA14" s="38" t="s">
        <v>9</v>
      </c>
      <c r="AB14" s="38" t="s">
        <v>10</v>
      </c>
      <c r="AC14" s="38" t="s">
        <v>29</v>
      </c>
      <c r="AD14" s="39" t="s">
        <v>8</v>
      </c>
      <c r="AE14" s="117"/>
      <c r="AW14" s="12">
        <f>'Imported Data'!A13</f>
        <v>0</v>
      </c>
      <c r="AX14" s="12">
        <f>'Imported Data'!B13</f>
        <v>0</v>
      </c>
      <c r="AY14" s="12" t="str">
        <f>'Imported Data'!C13</f>
        <v>BUSTING BAG CEMENT</v>
      </c>
      <c r="AZ14" s="12">
        <f>'Imported Data'!D13</f>
        <v>0</v>
      </c>
      <c r="BA14" s="12">
        <f>'Imported Data'!E13</f>
        <v>0</v>
      </c>
      <c r="BB14" s="12">
        <f>'Imported Data'!F13</f>
        <v>0</v>
      </c>
      <c r="BC14" s="12">
        <f>'Imported Data'!G13</f>
        <v>0</v>
      </c>
      <c r="BD14" s="12">
        <f>'Imported Data'!H13</f>
        <v>0</v>
      </c>
      <c r="BE14" s="12">
        <f>'Imported Data'!I13</f>
        <v>0</v>
      </c>
      <c r="BF14" s="12">
        <f>'Imported Data'!J13</f>
        <v>0</v>
      </c>
      <c r="BG14" s="12">
        <f>'Imported Data'!K13</f>
        <v>0</v>
      </c>
      <c r="BH14" s="12">
        <f>'Imported Data'!L13</f>
        <v>0</v>
      </c>
      <c r="BI14" s="12">
        <f>'Imported Data'!M13</f>
        <v>0</v>
      </c>
      <c r="BJ14" s="12">
        <f>'Imported Data'!N13</f>
        <v>0</v>
      </c>
      <c r="BK14" s="12">
        <f>'Imported Data'!O13</f>
        <v>0</v>
      </c>
    </row>
    <row r="15" spans="1:63" ht="31.5">
      <c r="A15" s="28"/>
      <c r="B15" s="25"/>
      <c r="C15" s="26" t="s">
        <v>20</v>
      </c>
      <c r="D15" s="26" t="s">
        <v>21</v>
      </c>
      <c r="E15" s="26" t="s">
        <v>19</v>
      </c>
      <c r="F15" s="26" t="s">
        <v>23</v>
      </c>
      <c r="G15" s="26" t="s">
        <v>24</v>
      </c>
      <c r="H15" s="27" t="s">
        <v>8</v>
      </c>
      <c r="I15" s="35" t="str">
        <f>C15</f>
        <v>AM (2 Ply)</v>
      </c>
      <c r="J15" s="35" t="str">
        <f t="shared" ref="J15" si="34">D15</f>
        <v>AM (1 PLY )</v>
      </c>
      <c r="K15" s="35" t="str">
        <f t="shared" ref="K15" si="35">E15</f>
        <v>BM (2 PLY)</v>
      </c>
      <c r="L15" s="35" t="str">
        <f t="shared" ref="L15" si="36">F15</f>
        <v>Gold (2 PLY)</v>
      </c>
      <c r="M15" s="35" t="str">
        <f t="shared" ref="M15:N15" si="37">G15</f>
        <v>Gold (1 PLY)</v>
      </c>
      <c r="N15" s="36" t="str">
        <f t="shared" si="37"/>
        <v>Total</v>
      </c>
      <c r="O15" s="37" t="str">
        <f>N15</f>
        <v>Total</v>
      </c>
      <c r="Q15" s="28"/>
      <c r="R15" s="25"/>
      <c r="S15" s="26" t="str">
        <f>C15</f>
        <v>AM (2 Ply)</v>
      </c>
      <c r="T15" s="26" t="str">
        <f t="shared" ref="T15" si="38">D15</f>
        <v>AM (1 PLY )</v>
      </c>
      <c r="U15" s="26" t="str">
        <f t="shared" ref="U15" si="39">E15</f>
        <v>BM (2 PLY)</v>
      </c>
      <c r="V15" s="26" t="str">
        <f t="shared" ref="V15" si="40">F15</f>
        <v>Gold (2 PLY)</v>
      </c>
      <c r="W15" s="26" t="str">
        <f t="shared" ref="W15" si="41">G15</f>
        <v>Gold (1 PLY)</v>
      </c>
      <c r="X15" s="27" t="str">
        <f t="shared" ref="X15" si="42">H15</f>
        <v>Total</v>
      </c>
      <c r="Y15" s="35" t="str">
        <f t="shared" ref="Y15" si="43">I15</f>
        <v>AM (2 Ply)</v>
      </c>
      <c r="Z15" s="35" t="str">
        <f t="shared" ref="Z15" si="44">J15</f>
        <v>AM (1 PLY )</v>
      </c>
      <c r="AA15" s="35" t="str">
        <f t="shared" ref="AA15" si="45">K15</f>
        <v>BM (2 PLY)</v>
      </c>
      <c r="AB15" s="35" t="str">
        <f t="shared" ref="AB15" si="46">L15</f>
        <v>Gold (2 PLY)</v>
      </c>
      <c r="AC15" s="35" t="str">
        <f t="shared" ref="AC15" si="47">M15</f>
        <v>Gold (1 PLY)</v>
      </c>
      <c r="AD15" s="36" t="str">
        <f t="shared" ref="AD15" si="48">N15</f>
        <v>Total</v>
      </c>
      <c r="AE15" s="50" t="str">
        <f t="shared" ref="AE15" si="49">O15</f>
        <v>Total</v>
      </c>
    </row>
    <row r="16" spans="1:63" ht="15.75">
      <c r="A16" s="109" t="str">
        <f>A7</f>
        <v>06-OCT-23</v>
      </c>
      <c r="B16" s="29" t="s">
        <v>11</v>
      </c>
      <c r="C16" s="16" t="str">
        <f t="shared" ref="C16:G18" si="50">IFERROR(HLOOKUP(C$14&amp;1,BurstingOracleDB,ROW()-10,0),"")</f>
        <v/>
      </c>
      <c r="D16" s="16" t="str">
        <f t="shared" si="50"/>
        <v/>
      </c>
      <c r="E16" s="16" t="str">
        <f t="shared" si="50"/>
        <v/>
      </c>
      <c r="F16" s="16" t="str">
        <f t="shared" si="50"/>
        <v/>
      </c>
      <c r="G16" s="16" t="str">
        <f t="shared" si="50"/>
        <v/>
      </c>
      <c r="H16" s="16">
        <f>SUM(C16:G16)</f>
        <v>0</v>
      </c>
      <c r="I16" s="16" t="str">
        <f t="shared" ref="I16:M18" si="51">IFERROR(HLOOKUP(I$14&amp;2,BurstingOracleDB,ROW()-10,0),"")</f>
        <v/>
      </c>
      <c r="J16" s="16" t="str">
        <f t="shared" si="51"/>
        <v/>
      </c>
      <c r="K16" s="16" t="str">
        <f t="shared" si="51"/>
        <v/>
      </c>
      <c r="L16" s="16" t="str">
        <f t="shared" si="51"/>
        <v/>
      </c>
      <c r="M16" s="16" t="str">
        <f t="shared" si="51"/>
        <v/>
      </c>
      <c r="N16" s="16">
        <f>SUM(I16:M16)</f>
        <v>0</v>
      </c>
      <c r="O16" s="16">
        <f>IFERROR(H16+N16,"")</f>
        <v>0</v>
      </c>
      <c r="Q16" s="112">
        <f>A16+0</f>
        <v>45205</v>
      </c>
      <c r="R16" s="41" t="s">
        <v>11</v>
      </c>
      <c r="S16" s="42" t="e">
        <f>VLOOKUP($Q$7,'[1]Production Details by Shift (2)'!$A$5:'[1]Production Details by Shift (2)'!$MJ$36,SUM(257+1+0),0)</f>
        <v>#N/A</v>
      </c>
      <c r="T16" s="43" t="e">
        <f>VLOOKUP($Q$7,'[1]Production Details by Shift (2)'!$A$5:'[1]Production Details by Shift (2)'!$MJ$36,SUM(257+2+0),0)+VLOOKUP($Q$7,'[1]Production Details by Shift (2)'!$A$5:'[1]Production Details by Shift (2)'!$MJ$36,SUM(257+3+0),0)</f>
        <v>#N/A</v>
      </c>
      <c r="U16" s="42" t="e">
        <f>VLOOKUP($Q$7,'[1]Production Details by Shift (2)'!$A$5:'[1]Production Details by Shift (2)'!$MJ$36,SUM(257+0+0),0)</f>
        <v>#N/A</v>
      </c>
      <c r="V16" s="42" t="e">
        <f>VLOOKUP($Q$7,'[1]Production Details by Shift (2)'!$A$5:'[1]Production Details by Shift (2)'!$MJ$36,SUM(257+4+0),0)</f>
        <v>#N/A</v>
      </c>
      <c r="W16" s="43" t="e">
        <f>VLOOKUP($Q$7,'[1]Production Details by Shift (2)'!$A$5:'[1]Production Details by Shift (2)'!$MJ$36,SUM(257+5+0),0)+VLOOKUP($Q$7,'[1]Production Details by Shift (2)'!$A$5:'[1]Production Details by Shift (2)'!$MJ$36,SUM(257+6+0),0)</f>
        <v>#N/A</v>
      </c>
      <c r="X16" s="44" t="e">
        <f>SUM(S16:W16)</f>
        <v>#N/A</v>
      </c>
      <c r="Y16" s="42" t="e">
        <f>VLOOKUP($Q$7,'[1]Production Details by Shift (2)'!$A$5:'[1]Production Details by Shift (2)'!$MJ$36,SUM(303+1+0),0)</f>
        <v>#N/A</v>
      </c>
      <c r="Z16" s="43" t="e">
        <f>VLOOKUP($Q$7,'[1]Production Details by Shift (2)'!$A$5:'[1]Production Details by Shift (2)'!$MJ$36,SUM(303+2+0),0)+VLOOKUP($Q$7,'[1]Production Details by Shift (2)'!$A$5:'[1]Production Details by Shift (2)'!$MJ$36,SUM(303+3+0),0)</f>
        <v>#N/A</v>
      </c>
      <c r="AA16" s="42" t="e">
        <f>VLOOKUP($Q$7,'[1]Production Details by Shift (2)'!$A$5:'[1]Production Details by Shift (2)'!$MJ$36,SUM(303+0+0),0)</f>
        <v>#N/A</v>
      </c>
      <c r="AB16" s="42" t="e">
        <f>VLOOKUP($Q$7,'[1]Production Details by Shift (2)'!$A$5:'[1]Production Details by Shift (2)'!$MJ$36,SUM(303+4+0),0)</f>
        <v>#N/A</v>
      </c>
      <c r="AC16" s="43" t="e">
        <f>VLOOKUP($Q$7,'[1]Production Details by Shift (2)'!$A$5:'[1]Production Details by Shift (2)'!$MJ$36,SUM(303+5+0),0)+VLOOKUP($Q$7,'[1]Production Details by Shift (2)'!$A$5:'[1]Production Details by Shift (2)'!$MJ$36,SUM(303+6+0),0)</f>
        <v>#N/A</v>
      </c>
      <c r="AD16" s="51" t="e">
        <f>SUM(Y16:AC16)</f>
        <v>#N/A</v>
      </c>
      <c r="AE16" s="52" t="str">
        <f>IFERROR(X16+AD16,"")</f>
        <v/>
      </c>
      <c r="AG16" s="54" t="e">
        <f>IF(EXACT(C16,S16)=TRUE,TRUE,"")</f>
        <v>#N/A</v>
      </c>
      <c r="AH16" s="54" t="e">
        <f t="shared" ref="AH16:AH19" si="52">IF(EXACT(D16,T16)=TRUE,TRUE,"")</f>
        <v>#N/A</v>
      </c>
      <c r="AI16" s="54" t="e">
        <f t="shared" ref="AI16:AI19" si="53">IF(EXACT(E16,U16)=TRUE,TRUE,"")</f>
        <v>#N/A</v>
      </c>
      <c r="AJ16" s="54" t="e">
        <f t="shared" ref="AJ16:AJ19" si="54">IF(EXACT(F16,V16)=TRUE,TRUE,"")</f>
        <v>#N/A</v>
      </c>
      <c r="AK16" s="54" t="e">
        <f t="shared" ref="AK16:AK19" si="55">IF(EXACT(G16,W16)=TRUE,TRUE,"")</f>
        <v>#N/A</v>
      </c>
      <c r="AL16" s="54" t="e">
        <f t="shared" ref="AL16:AL19" si="56">IF(EXACT(H16,X16)=TRUE,TRUE,"")</f>
        <v>#N/A</v>
      </c>
      <c r="AM16" s="54" t="e">
        <f t="shared" ref="AM16:AM19" si="57">IF(EXACT(I16,Y16)=TRUE,TRUE,"")</f>
        <v>#N/A</v>
      </c>
      <c r="AN16" s="54" t="e">
        <f t="shared" ref="AN16:AN19" si="58">IF(EXACT(J16,Z16)=TRUE,TRUE,"")</f>
        <v>#N/A</v>
      </c>
      <c r="AO16" s="54" t="e">
        <f t="shared" ref="AO16:AO19" si="59">IF(EXACT(K16,AA16)=TRUE,TRUE,"")</f>
        <v>#N/A</v>
      </c>
      <c r="AP16" s="54" t="e">
        <f t="shared" ref="AP16:AP19" si="60">IF(EXACT(L16,AB16)=TRUE,TRUE,"")</f>
        <v>#N/A</v>
      </c>
      <c r="AQ16" s="54" t="e">
        <f t="shared" ref="AQ16:AQ19" si="61">IF(EXACT(M16,AC16)=TRUE,TRUE,"")</f>
        <v>#N/A</v>
      </c>
      <c r="AR16" s="54" t="e">
        <f t="shared" ref="AR16:AR19" si="62">IF(EXACT(N16,AD16)=TRUE,TRUE,"")</f>
        <v>#N/A</v>
      </c>
      <c r="AS16" s="54" t="str">
        <f t="shared" ref="AS16:AS19" si="63">IF(EXACT(O16,AE16)=TRUE,TRUE,"")</f>
        <v/>
      </c>
      <c r="AW16" s="12">
        <f>'Imported Data'!A14</f>
        <v>45205</v>
      </c>
      <c r="AX16" s="12" t="str">
        <f>'Imported Data'!B14</f>
        <v>A</v>
      </c>
      <c r="AY16" s="12">
        <f>'Imported Data'!C14</f>
        <v>5</v>
      </c>
      <c r="AZ16" s="12">
        <f>'Imported Data'!D14</f>
        <v>5</v>
      </c>
      <c r="BA16" s="12">
        <f>'Imported Data'!E14</f>
        <v>0</v>
      </c>
      <c r="BB16" s="12">
        <f>'Imported Data'!F14</f>
        <v>0</v>
      </c>
      <c r="BC16" s="12">
        <f>'Imported Data'!G14</f>
        <v>0</v>
      </c>
      <c r="BD16" s="12">
        <f>'Imported Data'!H14</f>
        <v>0</v>
      </c>
      <c r="BE16" s="12">
        <f>'Imported Data'!I14</f>
        <v>0</v>
      </c>
      <c r="BF16" s="12">
        <f>'Imported Data'!J14</f>
        <v>0</v>
      </c>
      <c r="BG16" s="12">
        <f>'Imported Data'!K14</f>
        <v>0</v>
      </c>
      <c r="BH16" s="12">
        <f>'Imported Data'!L14</f>
        <v>0</v>
      </c>
      <c r="BI16" s="12">
        <f>'Imported Data'!M14</f>
        <v>0</v>
      </c>
      <c r="BJ16" s="12">
        <f>'Imported Data'!N14</f>
        <v>0</v>
      </c>
      <c r="BK16" s="12">
        <f>'Imported Data'!O14</f>
        <v>0</v>
      </c>
    </row>
    <row r="17" spans="1:63" ht="15.75">
      <c r="A17" s="110"/>
      <c r="B17" s="29" t="s">
        <v>30</v>
      </c>
      <c r="C17" s="16" t="str">
        <f t="shared" si="50"/>
        <v/>
      </c>
      <c r="D17" s="16" t="str">
        <f t="shared" si="50"/>
        <v/>
      </c>
      <c r="E17" s="16" t="str">
        <f t="shared" si="50"/>
        <v/>
      </c>
      <c r="F17" s="16" t="str">
        <f t="shared" si="50"/>
        <v/>
      </c>
      <c r="G17" s="16" t="str">
        <f t="shared" si="50"/>
        <v/>
      </c>
      <c r="H17" s="16">
        <f t="shared" ref="H17:H18" si="64">SUM(C17:G17)</f>
        <v>0</v>
      </c>
      <c r="I17" s="16" t="str">
        <f t="shared" si="51"/>
        <v/>
      </c>
      <c r="J17" s="16" t="str">
        <f t="shared" si="51"/>
        <v/>
      </c>
      <c r="K17" s="16" t="str">
        <f t="shared" si="51"/>
        <v/>
      </c>
      <c r="L17" s="16" t="str">
        <f t="shared" si="51"/>
        <v/>
      </c>
      <c r="M17" s="16" t="str">
        <f t="shared" si="51"/>
        <v/>
      </c>
      <c r="N17" s="16">
        <f t="shared" ref="N17:N18" si="65">SUM(I17:M17)</f>
        <v>0</v>
      </c>
      <c r="O17" s="16">
        <f t="shared" ref="O17:O18" si="66">IFERROR(H17+N17,"")</f>
        <v>0</v>
      </c>
      <c r="Q17" s="113"/>
      <c r="R17" s="41" t="s">
        <v>30</v>
      </c>
      <c r="S17" s="42" t="e">
        <f>VLOOKUP($Q$7,'[1]Production Details by Shift (2)'!$A$5:'[1]Production Details by Shift (2)'!$MJ$36,SUM(257+1+15),0)</f>
        <v>#N/A</v>
      </c>
      <c r="T17" s="43" t="e">
        <f>VLOOKUP($Q$7,'[1]Production Details by Shift (2)'!$A$5:'[1]Production Details by Shift (2)'!$MJ$36,SUM(257+2+15),0)+VLOOKUP($Q$7,'[1]Production Details by Shift (2)'!$A$5:'[1]Production Details by Shift (2)'!$MJ$36,SUM(257+3+15),0)</f>
        <v>#N/A</v>
      </c>
      <c r="U17" s="42" t="e">
        <f>VLOOKUP($Q$7,'[1]Production Details by Shift (2)'!$A$5:'[1]Production Details by Shift (2)'!$MJ$36,SUM(257+0+15),0)</f>
        <v>#N/A</v>
      </c>
      <c r="V17" s="42" t="e">
        <f>VLOOKUP($Q$7,'[1]Production Details by Shift (2)'!$A$5:'[1]Production Details by Shift (2)'!$MJ$36,SUM(257+4+15),0)</f>
        <v>#N/A</v>
      </c>
      <c r="W17" s="43" t="e">
        <f>VLOOKUP($Q$7,'[1]Production Details by Shift (2)'!$A$5:'[1]Production Details by Shift (2)'!$MJ$36,SUM(257+5+15),0)+VLOOKUP($Q$7,'[1]Production Details by Shift (2)'!$A$5:'[1]Production Details by Shift (2)'!$MJ$36,SUM(257+6+15),0)</f>
        <v>#N/A</v>
      </c>
      <c r="X17" s="44" t="e">
        <f t="shared" ref="X17:X18" si="67">SUM(S17:W17)</f>
        <v>#N/A</v>
      </c>
      <c r="Y17" s="42" t="e">
        <f>VLOOKUP($Q$7,'[1]Production Details by Shift (2)'!$A$5:'[1]Production Details by Shift (2)'!$MJ$36,SUM(303+1+15),0)</f>
        <v>#N/A</v>
      </c>
      <c r="Z17" s="43" t="e">
        <f>VLOOKUP($Q$7,'[1]Production Details by Shift (2)'!$A$5:'[1]Production Details by Shift (2)'!$MJ$36,SUM(303+2+15),0)+VLOOKUP($Q$7,'[1]Production Details by Shift (2)'!$A$5:'[1]Production Details by Shift (2)'!$MJ$36,SUM(303+3+15),0)</f>
        <v>#N/A</v>
      </c>
      <c r="AA17" s="42" t="e">
        <f>VLOOKUP($Q$7,'[1]Production Details by Shift (2)'!$A$5:'[1]Production Details by Shift (2)'!$MJ$36,SUM(303+0+15),0)</f>
        <v>#N/A</v>
      </c>
      <c r="AB17" s="42" t="e">
        <f>VLOOKUP($Q$7,'[1]Production Details by Shift (2)'!$A$5:'[1]Production Details by Shift (2)'!$MJ$36,SUM(303+4+15),0)</f>
        <v>#N/A</v>
      </c>
      <c r="AC17" s="43" t="e">
        <f>VLOOKUP($Q$7,'[1]Production Details by Shift (2)'!$A$5:'[1]Production Details by Shift (2)'!$MJ$36,SUM(303+5+15),0)+VLOOKUP($Q$7,'[1]Production Details by Shift (2)'!$A$5:'[1]Production Details by Shift (2)'!$MJ$36,SUM(303+6+15),0)</f>
        <v>#N/A</v>
      </c>
      <c r="AD17" s="51" t="e">
        <f t="shared" ref="AD17:AD18" si="68">SUM(Y17:AC17)</f>
        <v>#N/A</v>
      </c>
      <c r="AE17" s="52" t="str">
        <f t="shared" ref="AE17:AE18" si="69">IFERROR(X17+AD17,"")</f>
        <v/>
      </c>
      <c r="AG17" s="54" t="e">
        <f t="shared" ref="AG17:AG19" si="70">IF(EXACT(C17,S17)=TRUE,TRUE,"")</f>
        <v>#N/A</v>
      </c>
      <c r="AH17" s="54" t="e">
        <f t="shared" si="52"/>
        <v>#N/A</v>
      </c>
      <c r="AI17" s="54" t="e">
        <f t="shared" si="53"/>
        <v>#N/A</v>
      </c>
      <c r="AJ17" s="54" t="e">
        <f t="shared" si="54"/>
        <v>#N/A</v>
      </c>
      <c r="AK17" s="54" t="e">
        <f t="shared" si="55"/>
        <v>#N/A</v>
      </c>
      <c r="AL17" s="54" t="e">
        <f t="shared" si="56"/>
        <v>#N/A</v>
      </c>
      <c r="AM17" s="54" t="e">
        <f t="shared" si="57"/>
        <v>#N/A</v>
      </c>
      <c r="AN17" s="54" t="e">
        <f t="shared" si="58"/>
        <v>#N/A</v>
      </c>
      <c r="AO17" s="54" t="e">
        <f t="shared" si="59"/>
        <v>#N/A</v>
      </c>
      <c r="AP17" s="54" t="e">
        <f t="shared" si="60"/>
        <v>#N/A</v>
      </c>
      <c r="AQ17" s="54" t="e">
        <f t="shared" si="61"/>
        <v>#N/A</v>
      </c>
      <c r="AR17" s="54" t="e">
        <f t="shared" si="62"/>
        <v>#N/A</v>
      </c>
      <c r="AS17" s="54" t="str">
        <f t="shared" si="63"/>
        <v/>
      </c>
      <c r="AW17" s="12" t="str">
        <f>'Imported Data'!A15</f>
        <v>Grand Total</v>
      </c>
      <c r="AX17" s="12">
        <f>'Imported Data'!B15</f>
        <v>0</v>
      </c>
      <c r="AY17" s="12">
        <f>'Imported Data'!C15</f>
        <v>5</v>
      </c>
      <c r="AZ17" s="12">
        <f>'Imported Data'!D15</f>
        <v>5</v>
      </c>
      <c r="BA17" s="12">
        <f>'Imported Data'!E15</f>
        <v>0</v>
      </c>
      <c r="BB17" s="12">
        <f>'Imported Data'!F15</f>
        <v>0</v>
      </c>
      <c r="BC17" s="12">
        <f>'Imported Data'!G15</f>
        <v>0</v>
      </c>
      <c r="BD17" s="12">
        <f>'Imported Data'!H15</f>
        <v>0</v>
      </c>
      <c r="BE17" s="12">
        <f>'Imported Data'!I15</f>
        <v>0</v>
      </c>
      <c r="BF17" s="12">
        <f>'Imported Data'!J15</f>
        <v>0</v>
      </c>
      <c r="BG17" s="12">
        <f>'Imported Data'!K15</f>
        <v>0</v>
      </c>
      <c r="BH17" s="12">
        <f>'Imported Data'!L15</f>
        <v>0</v>
      </c>
      <c r="BI17" s="12">
        <f>'Imported Data'!M15</f>
        <v>0</v>
      </c>
      <c r="BJ17" s="12">
        <f>'Imported Data'!N15</f>
        <v>0</v>
      </c>
      <c r="BK17" s="12">
        <f>'Imported Data'!O15</f>
        <v>0</v>
      </c>
    </row>
    <row r="18" spans="1:63" ht="15.75">
      <c r="A18" s="110"/>
      <c r="B18" s="30" t="s">
        <v>31</v>
      </c>
      <c r="C18" s="16" t="str">
        <f t="shared" si="50"/>
        <v/>
      </c>
      <c r="D18" s="16" t="str">
        <f t="shared" si="50"/>
        <v/>
      </c>
      <c r="E18" s="16" t="str">
        <f t="shared" si="50"/>
        <v/>
      </c>
      <c r="F18" s="16" t="str">
        <f t="shared" si="50"/>
        <v/>
      </c>
      <c r="G18" s="16" t="str">
        <f t="shared" si="50"/>
        <v/>
      </c>
      <c r="H18" s="16">
        <f t="shared" si="64"/>
        <v>0</v>
      </c>
      <c r="I18" s="16" t="str">
        <f t="shared" si="51"/>
        <v/>
      </c>
      <c r="J18" s="16" t="str">
        <f t="shared" si="51"/>
        <v/>
      </c>
      <c r="K18" s="16" t="str">
        <f t="shared" si="51"/>
        <v/>
      </c>
      <c r="L18" s="16" t="str">
        <f t="shared" si="51"/>
        <v/>
      </c>
      <c r="M18" s="16" t="str">
        <f t="shared" si="51"/>
        <v/>
      </c>
      <c r="N18" s="16">
        <f t="shared" si="65"/>
        <v>0</v>
      </c>
      <c r="O18" s="16">
        <f t="shared" si="66"/>
        <v>0</v>
      </c>
      <c r="Q18" s="113"/>
      <c r="R18" s="45" t="s">
        <v>31</v>
      </c>
      <c r="S18" s="42" t="e">
        <f>VLOOKUP($Q$7,'[1]Production Details by Shift (2)'!$A$5:'[1]Production Details by Shift (2)'!$MJ$36,SUM(257+1+30),0)</f>
        <v>#N/A</v>
      </c>
      <c r="T18" s="43" t="e">
        <f>VLOOKUP($Q$7,'[1]Production Details by Shift (2)'!$A$5:'[1]Production Details by Shift (2)'!$MJ$36,SUM(257+2+30),0)+VLOOKUP($Q$7,'[1]Production Details by Shift (2)'!$A$5:'[1]Production Details by Shift (2)'!$MJ$36,SUM(257+3+30),0)</f>
        <v>#N/A</v>
      </c>
      <c r="U18" s="42" t="e">
        <f>VLOOKUP($Q$7,'[1]Production Details by Shift (2)'!$A$5:'[1]Production Details by Shift (2)'!$MJ$36,SUM(257+0+30),0)</f>
        <v>#N/A</v>
      </c>
      <c r="V18" s="42" t="e">
        <f>VLOOKUP($Q$7,'[1]Production Details by Shift (2)'!$A$5:'[1]Production Details by Shift (2)'!$MJ$36,SUM(257+4+30),0)</f>
        <v>#N/A</v>
      </c>
      <c r="W18" s="43" t="e">
        <f>VLOOKUP($Q$7,'[1]Production Details by Shift (2)'!$A$5:'[1]Production Details by Shift (2)'!$MJ$36,SUM(257+5+30),0)+VLOOKUP($Q$7,'[1]Production Details by Shift (2)'!$A$5:'[1]Production Details by Shift (2)'!$MJ$36,SUM(257+6+30),0)</f>
        <v>#N/A</v>
      </c>
      <c r="X18" s="44" t="e">
        <f t="shared" si="67"/>
        <v>#N/A</v>
      </c>
      <c r="Y18" s="42" t="e">
        <f>VLOOKUP($Q$7,'[1]Production Details by Shift (2)'!$A$5:'[1]Production Details by Shift (2)'!$MJ$36,SUM(303+1+30),0)</f>
        <v>#N/A</v>
      </c>
      <c r="Z18" s="43" t="e">
        <f>VLOOKUP($Q$7,'[1]Production Details by Shift (2)'!$A$5:'[1]Production Details by Shift (2)'!$MJ$36,SUM(303+2+30),0)+VLOOKUP($Q$7,'[1]Production Details by Shift (2)'!$A$5:'[1]Production Details by Shift (2)'!$MJ$36,SUM(303+3+30),0)</f>
        <v>#N/A</v>
      </c>
      <c r="AA18" s="42" t="e">
        <f>VLOOKUP($Q$7,'[1]Production Details by Shift (2)'!$A$5:'[1]Production Details by Shift (2)'!$MJ$36,SUM(303+0+30),0)</f>
        <v>#N/A</v>
      </c>
      <c r="AB18" s="42" t="e">
        <f>VLOOKUP($Q$7,'[1]Production Details by Shift (2)'!$A$5:'[1]Production Details by Shift (2)'!$MJ$36,SUM(303+4+30),0)</f>
        <v>#N/A</v>
      </c>
      <c r="AC18" s="43" t="e">
        <f>VLOOKUP($Q$7,'[1]Production Details by Shift (2)'!$A$5:'[1]Production Details by Shift (2)'!$MJ$36,SUM(303+5+30),0)+VLOOKUP($Q$7,'[1]Production Details by Shift (2)'!$A$5:'[1]Production Details by Shift (2)'!$MJ$36,SUM(303+6+30),0)</f>
        <v>#N/A</v>
      </c>
      <c r="AD18" s="51" t="e">
        <f t="shared" si="68"/>
        <v>#N/A</v>
      </c>
      <c r="AE18" s="52" t="str">
        <f t="shared" si="69"/>
        <v/>
      </c>
      <c r="AG18" s="54" t="e">
        <f t="shared" si="70"/>
        <v>#N/A</v>
      </c>
      <c r="AH18" s="54" t="e">
        <f t="shared" si="52"/>
        <v>#N/A</v>
      </c>
      <c r="AI18" s="54" t="e">
        <f t="shared" si="53"/>
        <v>#N/A</v>
      </c>
      <c r="AJ18" s="54" t="e">
        <f t="shared" si="54"/>
        <v>#N/A</v>
      </c>
      <c r="AK18" s="54" t="e">
        <f t="shared" si="55"/>
        <v>#N/A</v>
      </c>
      <c r="AL18" s="54" t="e">
        <f t="shared" si="56"/>
        <v>#N/A</v>
      </c>
      <c r="AM18" s="54" t="e">
        <f t="shared" si="57"/>
        <v>#N/A</v>
      </c>
      <c r="AN18" s="54" t="e">
        <f t="shared" si="58"/>
        <v>#N/A</v>
      </c>
      <c r="AO18" s="54" t="e">
        <f t="shared" si="59"/>
        <v>#N/A</v>
      </c>
      <c r="AP18" s="54" t="e">
        <f t="shared" si="60"/>
        <v>#N/A</v>
      </c>
      <c r="AQ18" s="54" t="e">
        <f t="shared" si="61"/>
        <v>#N/A</v>
      </c>
      <c r="AR18" s="54" t="e">
        <f t="shared" si="62"/>
        <v>#N/A</v>
      </c>
      <c r="AS18" s="54" t="str">
        <f t="shared" si="63"/>
        <v/>
      </c>
      <c r="AW18" s="12">
        <f>'Imported Data'!A16</f>
        <v>0</v>
      </c>
      <c r="AX18" s="12">
        <f>'Imported Data'!B16</f>
        <v>0</v>
      </c>
      <c r="AY18" s="12">
        <f>'Imported Data'!C16</f>
        <v>0</v>
      </c>
      <c r="AZ18" s="12">
        <f>'Imported Data'!D16</f>
        <v>0</v>
      </c>
      <c r="BA18" s="12">
        <f>'Imported Data'!E16</f>
        <v>0</v>
      </c>
      <c r="BB18" s="12">
        <f>'Imported Data'!F16</f>
        <v>0</v>
      </c>
      <c r="BC18" s="12">
        <f>'Imported Data'!G16</f>
        <v>0</v>
      </c>
      <c r="BD18" s="12">
        <f>'Imported Data'!H16</f>
        <v>0</v>
      </c>
      <c r="BE18" s="12">
        <f>'Imported Data'!I16</f>
        <v>0</v>
      </c>
      <c r="BF18" s="12">
        <f>'Imported Data'!J16</f>
        <v>0</v>
      </c>
      <c r="BG18" s="12">
        <f>'Imported Data'!K16</f>
        <v>0</v>
      </c>
      <c r="BH18" s="12">
        <f>'Imported Data'!L16</f>
        <v>0</v>
      </c>
      <c r="BI18" s="12">
        <f>'Imported Data'!M16</f>
        <v>0</v>
      </c>
      <c r="BJ18" s="12">
        <f>'Imported Data'!N16</f>
        <v>0</v>
      </c>
      <c r="BK18" s="12">
        <f>'Imported Data'!O16</f>
        <v>0</v>
      </c>
    </row>
    <row r="19" spans="1:63" ht="18.75">
      <c r="A19" s="31" t="s">
        <v>8</v>
      </c>
      <c r="B19" s="31"/>
      <c r="C19" s="16">
        <f>SUM(C16:C18)</f>
        <v>0</v>
      </c>
      <c r="D19" s="16">
        <f t="shared" ref="D19:O19" si="71">SUM(D16:D18)</f>
        <v>0</v>
      </c>
      <c r="E19" s="16">
        <f t="shared" si="71"/>
        <v>0</v>
      </c>
      <c r="F19" s="16">
        <f t="shared" si="71"/>
        <v>0</v>
      </c>
      <c r="G19" s="16">
        <f t="shared" si="71"/>
        <v>0</v>
      </c>
      <c r="H19" s="16">
        <f t="shared" ref="H19" si="72">SUM(H16:H18)</f>
        <v>0</v>
      </c>
      <c r="I19" s="16">
        <f t="shared" si="71"/>
        <v>0</v>
      </c>
      <c r="J19" s="16">
        <f t="shared" si="71"/>
        <v>0</v>
      </c>
      <c r="K19" s="16">
        <f t="shared" si="71"/>
        <v>0</v>
      </c>
      <c r="L19" s="16">
        <f t="shared" si="71"/>
        <v>0</v>
      </c>
      <c r="M19" s="16">
        <f t="shared" si="71"/>
        <v>0</v>
      </c>
      <c r="N19" s="16">
        <f t="shared" si="71"/>
        <v>0</v>
      </c>
      <c r="O19" s="16">
        <f t="shared" si="71"/>
        <v>0</v>
      </c>
      <c r="Q19" s="46" t="s">
        <v>8</v>
      </c>
      <c r="R19" s="46"/>
      <c r="S19" s="47" t="e">
        <f>SUM(S16:S18)</f>
        <v>#N/A</v>
      </c>
      <c r="T19" s="47" t="e">
        <f t="shared" ref="T19:AE19" si="73">SUM(T16:T18)</f>
        <v>#N/A</v>
      </c>
      <c r="U19" s="47" t="e">
        <f t="shared" si="73"/>
        <v>#N/A</v>
      </c>
      <c r="V19" s="47" t="e">
        <f t="shared" si="73"/>
        <v>#N/A</v>
      </c>
      <c r="W19" s="47" t="e">
        <f t="shared" si="73"/>
        <v>#N/A</v>
      </c>
      <c r="X19" s="48" t="e">
        <f t="shared" si="73"/>
        <v>#N/A</v>
      </c>
      <c r="Y19" s="47" t="e">
        <f t="shared" si="73"/>
        <v>#N/A</v>
      </c>
      <c r="Z19" s="47" t="e">
        <f t="shared" si="73"/>
        <v>#N/A</v>
      </c>
      <c r="AA19" s="47" t="e">
        <f t="shared" si="73"/>
        <v>#N/A</v>
      </c>
      <c r="AB19" s="47" t="e">
        <f t="shared" si="73"/>
        <v>#N/A</v>
      </c>
      <c r="AC19" s="47" t="e">
        <f t="shared" si="73"/>
        <v>#N/A</v>
      </c>
      <c r="AD19" s="53" t="e">
        <f t="shared" si="73"/>
        <v>#N/A</v>
      </c>
      <c r="AE19" s="47">
        <f t="shared" si="73"/>
        <v>0</v>
      </c>
      <c r="AG19" s="54" t="e">
        <f t="shared" si="70"/>
        <v>#N/A</v>
      </c>
      <c r="AH19" s="54" t="e">
        <f t="shared" si="52"/>
        <v>#N/A</v>
      </c>
      <c r="AI19" s="54" t="e">
        <f t="shared" si="53"/>
        <v>#N/A</v>
      </c>
      <c r="AJ19" s="54" t="e">
        <f t="shared" si="54"/>
        <v>#N/A</v>
      </c>
      <c r="AK19" s="54" t="e">
        <f t="shared" si="55"/>
        <v>#N/A</v>
      </c>
      <c r="AL19" s="54" t="e">
        <f t="shared" si="56"/>
        <v>#N/A</v>
      </c>
      <c r="AM19" s="54" t="e">
        <f t="shared" si="57"/>
        <v>#N/A</v>
      </c>
      <c r="AN19" s="54" t="e">
        <f t="shared" si="58"/>
        <v>#N/A</v>
      </c>
      <c r="AO19" s="54" t="e">
        <f t="shared" si="59"/>
        <v>#N/A</v>
      </c>
      <c r="AP19" s="54" t="e">
        <f t="shared" si="60"/>
        <v>#N/A</v>
      </c>
      <c r="AQ19" s="54" t="e">
        <f t="shared" si="61"/>
        <v>#N/A</v>
      </c>
      <c r="AR19" s="54" t="e">
        <f t="shared" si="62"/>
        <v>#N/A</v>
      </c>
      <c r="AS19" s="54" t="b">
        <f t="shared" si="63"/>
        <v>1</v>
      </c>
      <c r="AW19" s="12" t="str">
        <f>'Imported Data'!A17</f>
        <v>Production</v>
      </c>
      <c r="AX19" s="12" t="str">
        <f>'Imported Data'!B17</f>
        <v>BAG CEMENT B-M (PCC)</v>
      </c>
      <c r="AY19" s="12" t="str">
        <f>'Imported Data'!C17</f>
        <v>BAG CEMENT GOLD (OPC)</v>
      </c>
      <c r="AZ19" s="12" t="str">
        <f>'Imported Data'!D17</f>
        <v>Total</v>
      </c>
      <c r="BA19" s="12">
        <f>'Imported Data'!E17</f>
        <v>0</v>
      </c>
      <c r="BB19" s="12">
        <f>'Imported Data'!F17</f>
        <v>0</v>
      </c>
      <c r="BC19" s="12">
        <f>'Imported Data'!G17</f>
        <v>0</v>
      </c>
      <c r="BD19" s="12">
        <f>'Imported Data'!H17</f>
        <v>0</v>
      </c>
      <c r="BE19" s="12">
        <f>'Imported Data'!I17</f>
        <v>0</v>
      </c>
      <c r="BF19" s="12">
        <f>'Imported Data'!J17</f>
        <v>0</v>
      </c>
      <c r="BG19" s="12">
        <f>'Imported Data'!K17</f>
        <v>0</v>
      </c>
      <c r="BH19" s="12">
        <f>'Imported Data'!L17</f>
        <v>0</v>
      </c>
      <c r="BI19" s="12">
        <f>'Imported Data'!M17</f>
        <v>0</v>
      </c>
      <c r="BJ19" s="12">
        <f>'Imported Data'!N17</f>
        <v>0</v>
      </c>
      <c r="BK19" s="12">
        <f>'Imported Data'!O17</f>
        <v>0</v>
      </c>
    </row>
    <row r="20" spans="1:63">
      <c r="AW20" s="12" t="str">
        <f>'Imported Data'!A18</f>
        <v>Date</v>
      </c>
      <c r="AX20" s="12">
        <f>'Imported Data'!B18</f>
        <v>0</v>
      </c>
      <c r="AY20" s="12">
        <f>'Imported Data'!C18</f>
        <v>0</v>
      </c>
      <c r="AZ20" s="12">
        <f>'Imported Data'!D18</f>
        <v>0</v>
      </c>
      <c r="BA20" s="12">
        <f>'Imported Data'!E18</f>
        <v>0</v>
      </c>
      <c r="BB20" s="12">
        <f>'Imported Data'!F18</f>
        <v>0</v>
      </c>
      <c r="BC20" s="12">
        <f>'Imported Data'!G18</f>
        <v>0</v>
      </c>
      <c r="BD20" s="12">
        <f>'Imported Data'!H18</f>
        <v>0</v>
      </c>
      <c r="BE20" s="12">
        <f>'Imported Data'!I18</f>
        <v>0</v>
      </c>
      <c r="BF20" s="12">
        <f>'Imported Data'!J18</f>
        <v>0</v>
      </c>
      <c r="BG20" s="12">
        <f>'Imported Data'!K18</f>
        <v>0</v>
      </c>
      <c r="BH20" s="12">
        <f>'Imported Data'!L18</f>
        <v>0</v>
      </c>
      <c r="BI20" s="12">
        <f>'Imported Data'!M18</f>
        <v>0</v>
      </c>
      <c r="BJ20" s="12">
        <f>'Imported Data'!N18</f>
        <v>0</v>
      </c>
      <c r="BK20" s="12">
        <f>'Imported Data'!O18</f>
        <v>0</v>
      </c>
    </row>
    <row r="21" spans="1:63">
      <c r="AW21" s="12">
        <f>'Imported Data'!A19</f>
        <v>45205</v>
      </c>
      <c r="AX21" s="12">
        <f>'Imported Data'!B19</f>
        <v>1200</v>
      </c>
      <c r="AY21" s="12">
        <f>'Imported Data'!C19</f>
        <v>100</v>
      </c>
      <c r="AZ21" s="12">
        <f>'Imported Data'!D19</f>
        <v>1300</v>
      </c>
      <c r="BA21" s="12">
        <f>'Imported Data'!E19</f>
        <v>0</v>
      </c>
      <c r="BB21" s="12">
        <f>'Imported Data'!F19</f>
        <v>0</v>
      </c>
      <c r="BC21" s="12">
        <f>'Imported Data'!G19</f>
        <v>0</v>
      </c>
      <c r="BD21" s="12">
        <f>'Imported Data'!H19</f>
        <v>0</v>
      </c>
      <c r="BE21" s="12">
        <f>'Imported Data'!I19</f>
        <v>0</v>
      </c>
      <c r="BF21" s="12">
        <f>'Imported Data'!J19</f>
        <v>0</v>
      </c>
      <c r="BG21" s="12">
        <f>'Imported Data'!K19</f>
        <v>0</v>
      </c>
      <c r="BH21" s="12">
        <f>'Imported Data'!L19</f>
        <v>0</v>
      </c>
      <c r="BI21" s="12">
        <f>'Imported Data'!M19</f>
        <v>0</v>
      </c>
      <c r="BJ21" s="12">
        <f>'Imported Data'!N19</f>
        <v>0</v>
      </c>
      <c r="BK21" s="12">
        <f>'Imported Data'!O19</f>
        <v>0</v>
      </c>
    </row>
  </sheetData>
  <mergeCells count="14">
    <mergeCell ref="A7:A9"/>
    <mergeCell ref="A16:A18"/>
    <mergeCell ref="Q7:Q9"/>
    <mergeCell ref="Q16:Q18"/>
    <mergeCell ref="AE4:AE5"/>
    <mergeCell ref="AE13:AE14"/>
    <mergeCell ref="C4:H4"/>
    <mergeCell ref="I4:N4"/>
    <mergeCell ref="S4:X4"/>
    <mergeCell ref="Y4:AD4"/>
    <mergeCell ref="C13:H13"/>
    <mergeCell ref="I13:N13"/>
    <mergeCell ref="S13:X13"/>
    <mergeCell ref="Y13:AD13"/>
  </mergeCells>
  <conditionalFormatting sqref="C7:O10">
    <cfRule type="expression" dxfId="10" priority="2">
      <formula>AG7=TRUE</formula>
    </cfRule>
  </conditionalFormatting>
  <conditionalFormatting sqref="C16:O19">
    <cfRule type="expression" dxfId="9" priority="1">
      <formula>AG16=TRUE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CD49-A197-4647-9B8C-03FC920924A9}">
  <sheetPr codeName="Sheet7">
    <tabColor rgb="FFFFFF00"/>
  </sheetPr>
  <dimension ref="A1:CW1350"/>
  <sheetViews>
    <sheetView workbookViewId="0">
      <selection activeCell="J15" sqref="J15"/>
    </sheetView>
  </sheetViews>
  <sheetFormatPr defaultRowHeight="15"/>
  <sheetData>
    <row r="1" spans="1:101">
      <c r="A1" t="s">
        <v>166</v>
      </c>
      <c r="B1" t="s">
        <v>167</v>
      </c>
      <c r="C1" t="s">
        <v>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t="s">
        <v>186</v>
      </c>
      <c r="W1" t="s">
        <v>187</v>
      </c>
      <c r="X1" t="s">
        <v>188</v>
      </c>
      <c r="Y1" t="s">
        <v>166</v>
      </c>
      <c r="Z1" t="s">
        <v>189</v>
      </c>
      <c r="AA1" t="s">
        <v>190</v>
      </c>
      <c r="AB1" t="s">
        <v>191</v>
      </c>
      <c r="AC1" t="s">
        <v>192</v>
      </c>
      <c r="AD1" t="s">
        <v>180</v>
      </c>
      <c r="AE1" t="s">
        <v>179</v>
      </c>
      <c r="AF1" t="s">
        <v>178</v>
      </c>
      <c r="AG1" t="s">
        <v>177</v>
      </c>
      <c r="AH1" t="s">
        <v>185</v>
      </c>
      <c r="AI1" t="s">
        <v>186</v>
      </c>
      <c r="AJ1" t="s">
        <v>187</v>
      </c>
      <c r="AK1" t="s">
        <v>188</v>
      </c>
      <c r="AL1" t="s">
        <v>166</v>
      </c>
      <c r="AM1" t="s">
        <v>193</v>
      </c>
      <c r="AN1" t="s">
        <v>194</v>
      </c>
      <c r="AO1" t="s">
        <v>195</v>
      </c>
      <c r="AP1" t="s">
        <v>196</v>
      </c>
      <c r="AQ1" t="s">
        <v>197</v>
      </c>
      <c r="AR1" t="s">
        <v>198</v>
      </c>
      <c r="AS1" t="s">
        <v>199</v>
      </c>
      <c r="AT1" t="s">
        <v>200</v>
      </c>
      <c r="AU1" t="s">
        <v>201</v>
      </c>
      <c r="AV1" t="s">
        <v>180</v>
      </c>
      <c r="AW1" t="s">
        <v>179</v>
      </c>
      <c r="AX1" t="s">
        <v>178</v>
      </c>
      <c r="AY1" t="s">
        <v>177</v>
      </c>
      <c r="AZ1" t="s">
        <v>185</v>
      </c>
      <c r="BA1" t="s">
        <v>186</v>
      </c>
      <c r="BB1" t="s">
        <v>187</v>
      </c>
      <c r="BC1" t="s">
        <v>188</v>
      </c>
      <c r="BD1" t="s">
        <v>166</v>
      </c>
      <c r="BE1" t="s">
        <v>202</v>
      </c>
      <c r="BF1" t="s">
        <v>203</v>
      </c>
      <c r="BG1" t="s">
        <v>204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180</v>
      </c>
      <c r="BO1" t="s">
        <v>211</v>
      </c>
      <c r="BP1" t="s">
        <v>212</v>
      </c>
      <c r="BQ1" t="s">
        <v>213</v>
      </c>
      <c r="BR1" t="s">
        <v>179</v>
      </c>
      <c r="BS1" t="s">
        <v>178</v>
      </c>
      <c r="BT1" t="s">
        <v>177</v>
      </c>
      <c r="BU1" t="s">
        <v>185</v>
      </c>
      <c r="BV1" t="s">
        <v>186</v>
      </c>
      <c r="BW1" t="s">
        <v>187</v>
      </c>
      <c r="BX1" t="s">
        <v>214</v>
      </c>
      <c r="BY1" t="s">
        <v>215</v>
      </c>
      <c r="BZ1" t="s">
        <v>216</v>
      </c>
      <c r="CA1" t="s">
        <v>217</v>
      </c>
      <c r="CB1" t="s">
        <v>218</v>
      </c>
      <c r="CC1" t="s">
        <v>219</v>
      </c>
      <c r="CD1" t="s">
        <v>220</v>
      </c>
      <c r="CE1" t="s">
        <v>221</v>
      </c>
      <c r="CF1" t="s">
        <v>194</v>
      </c>
      <c r="CG1" t="s">
        <v>198</v>
      </c>
      <c r="CH1" t="s">
        <v>188</v>
      </c>
      <c r="CI1" t="s">
        <v>166</v>
      </c>
      <c r="CJ1" t="s">
        <v>185</v>
      </c>
      <c r="CK1" t="s">
        <v>186</v>
      </c>
      <c r="CL1" t="s">
        <v>187</v>
      </c>
      <c r="CM1" t="s">
        <v>222</v>
      </c>
      <c r="CN1" t="s">
        <v>180</v>
      </c>
      <c r="CO1" t="s">
        <v>179</v>
      </c>
      <c r="CP1" t="s">
        <v>178</v>
      </c>
      <c r="CQ1" t="s">
        <v>177</v>
      </c>
      <c r="CR1" t="s">
        <v>188</v>
      </c>
      <c r="CS1" t="s">
        <v>166</v>
      </c>
      <c r="CT1" t="s">
        <v>170</v>
      </c>
      <c r="CU1" t="s">
        <v>223</v>
      </c>
      <c r="CV1" t="s">
        <v>224</v>
      </c>
      <c r="CW1" t="s">
        <v>198</v>
      </c>
    </row>
    <row r="2" spans="1:101">
      <c r="A2" t="s">
        <v>46</v>
      </c>
      <c r="B2" t="s">
        <v>92</v>
      </c>
      <c r="J2" t="s">
        <v>225</v>
      </c>
      <c r="K2" t="s">
        <v>225</v>
      </c>
      <c r="M2" s="73">
        <v>45377.2499537037</v>
      </c>
      <c r="N2">
        <v>42558488</v>
      </c>
      <c r="O2">
        <v>-1002</v>
      </c>
      <c r="P2" t="s">
        <v>45</v>
      </c>
      <c r="Q2">
        <v>-1002</v>
      </c>
      <c r="R2" t="s">
        <v>45</v>
      </c>
      <c r="U2" t="s">
        <v>226</v>
      </c>
      <c r="V2" t="s">
        <v>280</v>
      </c>
      <c r="W2" t="s">
        <v>228</v>
      </c>
      <c r="X2" t="s">
        <v>229</v>
      </c>
      <c r="Y2" t="s">
        <v>46</v>
      </c>
      <c r="AD2" t="s">
        <v>45</v>
      </c>
      <c r="AE2">
        <v>-1002</v>
      </c>
      <c r="AF2">
        <v>42558488</v>
      </c>
      <c r="AG2" s="73">
        <v>45377.2499537037</v>
      </c>
      <c r="AH2" t="s">
        <v>226</v>
      </c>
      <c r="AI2" t="s">
        <v>280</v>
      </c>
      <c r="AJ2" t="s">
        <v>228</v>
      </c>
      <c r="AK2" t="s">
        <v>229</v>
      </c>
      <c r="AL2" t="s">
        <v>46</v>
      </c>
      <c r="AP2" t="s">
        <v>230</v>
      </c>
      <c r="AQ2" t="s">
        <v>231</v>
      </c>
      <c r="AT2" t="s">
        <v>232</v>
      </c>
      <c r="AU2">
        <v>-99</v>
      </c>
      <c r="AV2" t="s">
        <v>45</v>
      </c>
      <c r="AW2">
        <v>-1002</v>
      </c>
      <c r="AX2">
        <v>42558488</v>
      </c>
      <c r="AY2" s="73">
        <v>45377.2499537037</v>
      </c>
      <c r="AZ2" t="s">
        <v>226</v>
      </c>
      <c r="BA2" t="s">
        <v>280</v>
      </c>
      <c r="BB2" t="s">
        <v>228</v>
      </c>
      <c r="BC2" t="s">
        <v>229</v>
      </c>
      <c r="BD2" t="s">
        <v>46</v>
      </c>
      <c r="BI2" t="s">
        <v>233</v>
      </c>
      <c r="BJ2" t="s">
        <v>0</v>
      </c>
      <c r="BK2">
        <v>42558472</v>
      </c>
      <c r="BN2" t="s">
        <v>45</v>
      </c>
      <c r="BR2">
        <v>-1002</v>
      </c>
      <c r="BS2">
        <v>42558488</v>
      </c>
      <c r="BT2" s="73">
        <v>45377.2499537037</v>
      </c>
      <c r="BU2" t="s">
        <v>226</v>
      </c>
      <c r="BV2" t="s">
        <v>280</v>
      </c>
      <c r="BW2" t="s">
        <v>228</v>
      </c>
      <c r="CH2" t="s">
        <v>229</v>
      </c>
      <c r="CI2" t="s">
        <v>46</v>
      </c>
      <c r="CJ2" t="s">
        <v>226</v>
      </c>
      <c r="CK2" t="s">
        <v>280</v>
      </c>
      <c r="CL2" t="s">
        <v>228</v>
      </c>
      <c r="CM2" t="s">
        <v>234</v>
      </c>
      <c r="CN2" t="s">
        <v>45</v>
      </c>
      <c r="CO2">
        <v>-1002</v>
      </c>
      <c r="CP2">
        <v>42558488</v>
      </c>
      <c r="CQ2" s="73">
        <v>45377.2499537037</v>
      </c>
      <c r="CR2" t="s">
        <v>229</v>
      </c>
      <c r="CS2" t="s">
        <v>46</v>
      </c>
      <c r="CU2" t="s">
        <v>225</v>
      </c>
    </row>
    <row r="3" spans="1:101">
      <c r="A3" t="s">
        <v>93</v>
      </c>
      <c r="B3" t="s">
        <v>98</v>
      </c>
      <c r="J3" t="s">
        <v>225</v>
      </c>
      <c r="K3" t="s">
        <v>225</v>
      </c>
      <c r="M3" s="73">
        <v>45377.2499537037</v>
      </c>
      <c r="N3">
        <v>42558487</v>
      </c>
      <c r="O3">
        <v>-50</v>
      </c>
      <c r="P3" t="s">
        <v>73</v>
      </c>
      <c r="Q3">
        <v>-50</v>
      </c>
      <c r="R3" t="s">
        <v>73</v>
      </c>
      <c r="U3" t="s">
        <v>226</v>
      </c>
      <c r="V3" t="s">
        <v>280</v>
      </c>
      <c r="W3" t="s">
        <v>228</v>
      </c>
      <c r="X3" t="s">
        <v>229</v>
      </c>
      <c r="Y3" t="s">
        <v>93</v>
      </c>
      <c r="AD3" t="s">
        <v>73</v>
      </c>
      <c r="AE3">
        <v>-50</v>
      </c>
      <c r="AF3">
        <v>42558487</v>
      </c>
      <c r="AG3" s="73">
        <v>45377.2499537037</v>
      </c>
      <c r="AH3" t="s">
        <v>226</v>
      </c>
      <c r="AI3" t="s">
        <v>280</v>
      </c>
      <c r="AJ3" t="s">
        <v>228</v>
      </c>
      <c r="AK3" t="s">
        <v>229</v>
      </c>
      <c r="AL3" t="s">
        <v>93</v>
      </c>
      <c r="AP3" t="s">
        <v>230</v>
      </c>
      <c r="AQ3" t="s">
        <v>231</v>
      </c>
      <c r="AT3" t="s">
        <v>232</v>
      </c>
      <c r="AU3">
        <v>-99</v>
      </c>
      <c r="AV3" t="s">
        <v>73</v>
      </c>
      <c r="AW3">
        <v>-50</v>
      </c>
      <c r="AX3">
        <v>42558487</v>
      </c>
      <c r="AY3" s="73">
        <v>45377.2499537037</v>
      </c>
      <c r="AZ3" t="s">
        <v>226</v>
      </c>
      <c r="BA3" t="s">
        <v>280</v>
      </c>
      <c r="BB3" t="s">
        <v>228</v>
      </c>
      <c r="BC3" t="s">
        <v>229</v>
      </c>
      <c r="BD3" t="s">
        <v>93</v>
      </c>
      <c r="BI3" t="s">
        <v>233</v>
      </c>
      <c r="BJ3" t="s">
        <v>0</v>
      </c>
      <c r="BK3">
        <v>42558472</v>
      </c>
      <c r="BN3" t="s">
        <v>73</v>
      </c>
      <c r="BR3">
        <v>-50</v>
      </c>
      <c r="BS3">
        <v>42558487</v>
      </c>
      <c r="BT3" s="73">
        <v>45377.2499537037</v>
      </c>
      <c r="BU3" t="s">
        <v>226</v>
      </c>
      <c r="BV3" t="s">
        <v>280</v>
      </c>
      <c r="BW3" t="s">
        <v>228</v>
      </c>
      <c r="CH3" t="s">
        <v>229</v>
      </c>
      <c r="CI3" t="s">
        <v>93</v>
      </c>
      <c r="CJ3" t="s">
        <v>226</v>
      </c>
      <c r="CK3" t="s">
        <v>280</v>
      </c>
      <c r="CL3" t="s">
        <v>228</v>
      </c>
      <c r="CM3" t="s">
        <v>234</v>
      </c>
      <c r="CN3" t="s">
        <v>73</v>
      </c>
      <c r="CO3">
        <v>-50</v>
      </c>
      <c r="CP3">
        <v>42558487</v>
      </c>
      <c r="CQ3" s="73">
        <v>45377.2499537037</v>
      </c>
      <c r="CR3" t="s">
        <v>229</v>
      </c>
      <c r="CS3" t="s">
        <v>93</v>
      </c>
      <c r="CU3" t="s">
        <v>225</v>
      </c>
    </row>
    <row r="4" spans="1:101">
      <c r="A4" t="s">
        <v>108</v>
      </c>
      <c r="B4" t="s">
        <v>98</v>
      </c>
      <c r="J4" t="s">
        <v>225</v>
      </c>
      <c r="K4" t="s">
        <v>225</v>
      </c>
      <c r="M4" s="73">
        <v>45377.2499537037</v>
      </c>
      <c r="N4">
        <v>42558486</v>
      </c>
      <c r="O4">
        <v>1000</v>
      </c>
      <c r="P4" t="s">
        <v>104</v>
      </c>
      <c r="Q4">
        <v>1000</v>
      </c>
      <c r="R4" t="s">
        <v>104</v>
      </c>
      <c r="S4">
        <v>50</v>
      </c>
      <c r="T4" t="s">
        <v>73</v>
      </c>
      <c r="U4" t="s">
        <v>226</v>
      </c>
      <c r="V4" t="s">
        <v>280</v>
      </c>
      <c r="W4" t="s">
        <v>235</v>
      </c>
      <c r="X4" t="s">
        <v>229</v>
      </c>
      <c r="Y4" t="s">
        <v>108</v>
      </c>
      <c r="AD4" t="s">
        <v>104</v>
      </c>
      <c r="AE4">
        <v>1000</v>
      </c>
      <c r="AF4">
        <v>42558486</v>
      </c>
      <c r="AG4" s="73">
        <v>45377.2499537037</v>
      </c>
      <c r="AH4" t="s">
        <v>226</v>
      </c>
      <c r="AI4" t="s">
        <v>280</v>
      </c>
      <c r="AJ4" t="s">
        <v>235</v>
      </c>
      <c r="AK4" t="s">
        <v>229</v>
      </c>
      <c r="AL4" t="s">
        <v>108</v>
      </c>
      <c r="AP4" t="s">
        <v>230</v>
      </c>
      <c r="AQ4" t="s">
        <v>231</v>
      </c>
      <c r="AT4" t="s">
        <v>232</v>
      </c>
      <c r="AU4">
        <v>-99</v>
      </c>
      <c r="AV4" t="s">
        <v>104</v>
      </c>
      <c r="AW4">
        <v>1000</v>
      </c>
      <c r="AX4">
        <v>42558486</v>
      </c>
      <c r="AY4" s="73">
        <v>45377.2499537037</v>
      </c>
      <c r="AZ4" t="s">
        <v>226</v>
      </c>
      <c r="BA4" t="s">
        <v>280</v>
      </c>
      <c r="BB4" t="s">
        <v>235</v>
      </c>
      <c r="BC4" t="s">
        <v>229</v>
      </c>
      <c r="BD4" t="s">
        <v>108</v>
      </c>
      <c r="BI4" t="s">
        <v>233</v>
      </c>
      <c r="BJ4" t="s">
        <v>0</v>
      </c>
      <c r="BK4">
        <v>42558472</v>
      </c>
      <c r="BN4" t="s">
        <v>104</v>
      </c>
      <c r="BO4">
        <v>42558478</v>
      </c>
      <c r="BR4">
        <v>1000</v>
      </c>
      <c r="BS4">
        <v>42558486</v>
      </c>
      <c r="BT4" s="73">
        <v>45377.2499537037</v>
      </c>
      <c r="BU4" t="s">
        <v>226</v>
      </c>
      <c r="BV4" t="s">
        <v>280</v>
      </c>
      <c r="BW4" t="s">
        <v>235</v>
      </c>
      <c r="CH4" t="s">
        <v>229</v>
      </c>
      <c r="CI4" t="s">
        <v>108</v>
      </c>
      <c r="CJ4" t="s">
        <v>226</v>
      </c>
      <c r="CK4" t="s">
        <v>280</v>
      </c>
      <c r="CL4" t="s">
        <v>235</v>
      </c>
      <c r="CM4" t="s">
        <v>236</v>
      </c>
      <c r="CN4" t="s">
        <v>104</v>
      </c>
      <c r="CO4">
        <v>1000</v>
      </c>
      <c r="CP4">
        <v>42558486</v>
      </c>
      <c r="CQ4" s="73">
        <v>45377.2499537037</v>
      </c>
      <c r="CR4" t="s">
        <v>229</v>
      </c>
      <c r="CS4" t="s">
        <v>108</v>
      </c>
      <c r="CU4" t="s">
        <v>225</v>
      </c>
    </row>
    <row r="5" spans="1:101">
      <c r="A5" t="s">
        <v>111</v>
      </c>
      <c r="B5" t="s">
        <v>77</v>
      </c>
      <c r="J5" t="s">
        <v>225</v>
      </c>
      <c r="K5" t="s">
        <v>225</v>
      </c>
      <c r="M5" s="73">
        <v>45377.2499537037</v>
      </c>
      <c r="N5">
        <v>42558485</v>
      </c>
      <c r="O5">
        <v>2</v>
      </c>
      <c r="P5" t="s">
        <v>45</v>
      </c>
      <c r="Q5">
        <v>2</v>
      </c>
      <c r="R5" t="s">
        <v>45</v>
      </c>
      <c r="U5" t="s">
        <v>226</v>
      </c>
      <c r="V5" t="s">
        <v>280</v>
      </c>
      <c r="W5" t="s">
        <v>237</v>
      </c>
      <c r="X5" t="s">
        <v>229</v>
      </c>
      <c r="Y5" t="s">
        <v>111</v>
      </c>
      <c r="AD5" t="s">
        <v>45</v>
      </c>
      <c r="AE5">
        <v>2</v>
      </c>
      <c r="AF5">
        <v>42558485</v>
      </c>
      <c r="AG5" s="73">
        <v>45377.2499537037</v>
      </c>
      <c r="AH5" t="s">
        <v>226</v>
      </c>
      <c r="AI5" t="s">
        <v>280</v>
      </c>
      <c r="AJ5" t="s">
        <v>237</v>
      </c>
      <c r="AK5" t="s">
        <v>229</v>
      </c>
      <c r="AL5" t="s">
        <v>111</v>
      </c>
      <c r="AP5" t="s">
        <v>230</v>
      </c>
      <c r="AQ5" t="s">
        <v>231</v>
      </c>
      <c r="AT5" t="s">
        <v>232</v>
      </c>
      <c r="AU5">
        <v>-99</v>
      </c>
      <c r="AV5" t="s">
        <v>45</v>
      </c>
      <c r="AW5">
        <v>2</v>
      </c>
      <c r="AX5">
        <v>42558485</v>
      </c>
      <c r="AY5" s="73">
        <v>45377.2499537037</v>
      </c>
      <c r="AZ5" t="s">
        <v>226</v>
      </c>
      <c r="BA5" t="s">
        <v>280</v>
      </c>
      <c r="BB5" t="s">
        <v>237</v>
      </c>
      <c r="BC5" t="s">
        <v>229</v>
      </c>
      <c r="BD5" t="s">
        <v>111</v>
      </c>
      <c r="BI5" t="s">
        <v>233</v>
      </c>
      <c r="BJ5" t="s">
        <v>0</v>
      </c>
      <c r="BK5">
        <v>42558472</v>
      </c>
      <c r="BN5" t="s">
        <v>45</v>
      </c>
      <c r="BO5">
        <v>42558480</v>
      </c>
      <c r="BR5">
        <v>2</v>
      </c>
      <c r="BS5">
        <v>42558485</v>
      </c>
      <c r="BT5" s="73">
        <v>45377.2499537037</v>
      </c>
      <c r="BU5" t="s">
        <v>226</v>
      </c>
      <c r="BV5" t="s">
        <v>280</v>
      </c>
      <c r="BW5" t="s">
        <v>237</v>
      </c>
      <c r="CH5" t="s">
        <v>229</v>
      </c>
      <c r="CI5" t="s">
        <v>111</v>
      </c>
      <c r="CJ5" t="s">
        <v>226</v>
      </c>
      <c r="CK5" t="s">
        <v>280</v>
      </c>
      <c r="CL5" t="s">
        <v>237</v>
      </c>
      <c r="CM5" t="s">
        <v>236</v>
      </c>
      <c r="CN5" t="s">
        <v>45</v>
      </c>
      <c r="CO5">
        <v>2</v>
      </c>
      <c r="CP5">
        <v>42558485</v>
      </c>
      <c r="CQ5" s="73">
        <v>45377.2499537037</v>
      </c>
      <c r="CR5" t="s">
        <v>229</v>
      </c>
      <c r="CS5" t="s">
        <v>111</v>
      </c>
      <c r="CU5" t="s">
        <v>225</v>
      </c>
    </row>
    <row r="6" spans="1:101">
      <c r="A6" t="s">
        <v>52</v>
      </c>
      <c r="B6" t="s">
        <v>92</v>
      </c>
      <c r="J6" t="s">
        <v>225</v>
      </c>
      <c r="K6" t="s">
        <v>225</v>
      </c>
      <c r="M6" s="73">
        <v>45377.248136574075</v>
      </c>
      <c r="N6">
        <v>42558470</v>
      </c>
      <c r="O6">
        <v>-2676</v>
      </c>
      <c r="P6" t="s">
        <v>45</v>
      </c>
      <c r="Q6">
        <v>-2676</v>
      </c>
      <c r="R6" t="s">
        <v>45</v>
      </c>
      <c r="U6" t="s">
        <v>226</v>
      </c>
      <c r="V6" t="s">
        <v>281</v>
      </c>
      <c r="W6" t="s">
        <v>228</v>
      </c>
      <c r="X6" t="s">
        <v>229</v>
      </c>
      <c r="Y6" t="s">
        <v>52</v>
      </c>
      <c r="AD6" t="s">
        <v>45</v>
      </c>
      <c r="AE6">
        <v>-2676</v>
      </c>
      <c r="AF6">
        <v>42558470</v>
      </c>
      <c r="AG6" s="73">
        <v>45377.248136574075</v>
      </c>
      <c r="AH6" t="s">
        <v>226</v>
      </c>
      <c r="AI6" t="s">
        <v>281</v>
      </c>
      <c r="AJ6" t="s">
        <v>228</v>
      </c>
      <c r="AK6" t="s">
        <v>229</v>
      </c>
      <c r="AL6" t="s">
        <v>52</v>
      </c>
      <c r="AP6" t="s">
        <v>230</v>
      </c>
      <c r="AQ6" t="s">
        <v>231</v>
      </c>
      <c r="AT6" t="s">
        <v>232</v>
      </c>
      <c r="AU6">
        <v>-99</v>
      </c>
      <c r="AV6" t="s">
        <v>45</v>
      </c>
      <c r="AW6">
        <v>-2676</v>
      </c>
      <c r="AX6">
        <v>42558470</v>
      </c>
      <c r="AY6" s="73">
        <v>45377.248136574075</v>
      </c>
      <c r="AZ6" t="s">
        <v>226</v>
      </c>
      <c r="BA6" t="s">
        <v>281</v>
      </c>
      <c r="BB6" t="s">
        <v>228</v>
      </c>
      <c r="BC6" t="s">
        <v>229</v>
      </c>
      <c r="BD6" t="s">
        <v>52</v>
      </c>
      <c r="BI6" t="s">
        <v>233</v>
      </c>
      <c r="BJ6" t="s">
        <v>0</v>
      </c>
      <c r="BK6">
        <v>42558454</v>
      </c>
      <c r="BN6" t="s">
        <v>45</v>
      </c>
      <c r="BR6">
        <v>-2676</v>
      </c>
      <c r="BS6">
        <v>42558470</v>
      </c>
      <c r="BT6" s="73">
        <v>45377.248136574075</v>
      </c>
      <c r="BU6" t="s">
        <v>226</v>
      </c>
      <c r="BV6" t="s">
        <v>281</v>
      </c>
      <c r="BW6" t="s">
        <v>228</v>
      </c>
      <c r="CH6" t="s">
        <v>229</v>
      </c>
      <c r="CI6" t="s">
        <v>52</v>
      </c>
      <c r="CJ6" t="s">
        <v>226</v>
      </c>
      <c r="CK6" t="s">
        <v>281</v>
      </c>
      <c r="CL6" t="s">
        <v>228</v>
      </c>
      <c r="CM6" t="s">
        <v>234</v>
      </c>
      <c r="CN6" t="s">
        <v>45</v>
      </c>
      <c r="CO6">
        <v>-2676</v>
      </c>
      <c r="CP6">
        <v>42558470</v>
      </c>
      <c r="CQ6" s="73">
        <v>45377.248136574075</v>
      </c>
      <c r="CR6" t="s">
        <v>229</v>
      </c>
      <c r="CS6" t="s">
        <v>52</v>
      </c>
      <c r="CU6" t="s">
        <v>225</v>
      </c>
    </row>
    <row r="7" spans="1:101">
      <c r="A7" t="s">
        <v>101</v>
      </c>
      <c r="B7" t="s">
        <v>98</v>
      </c>
      <c r="J7" t="s">
        <v>225</v>
      </c>
      <c r="K7" t="s">
        <v>225</v>
      </c>
      <c r="M7" s="73">
        <v>45377.248136574075</v>
      </c>
      <c r="N7">
        <v>42558469</v>
      </c>
      <c r="O7">
        <v>-133.75</v>
      </c>
      <c r="P7" t="s">
        <v>73</v>
      </c>
      <c r="Q7">
        <v>-133.75</v>
      </c>
      <c r="R7" t="s">
        <v>73</v>
      </c>
      <c r="U7" t="s">
        <v>226</v>
      </c>
      <c r="V7" t="s">
        <v>281</v>
      </c>
      <c r="W7" t="s">
        <v>228</v>
      </c>
      <c r="X7" t="s">
        <v>229</v>
      </c>
      <c r="Y7" t="s">
        <v>101</v>
      </c>
      <c r="AD7" t="s">
        <v>73</v>
      </c>
      <c r="AE7">
        <v>-133.75</v>
      </c>
      <c r="AF7">
        <v>42558469</v>
      </c>
      <c r="AG7" s="73">
        <v>45377.248136574075</v>
      </c>
      <c r="AH7" t="s">
        <v>226</v>
      </c>
      <c r="AI7" t="s">
        <v>281</v>
      </c>
      <c r="AJ7" t="s">
        <v>228</v>
      </c>
      <c r="AK7" t="s">
        <v>229</v>
      </c>
      <c r="AL7" t="s">
        <v>101</v>
      </c>
      <c r="AP7" t="s">
        <v>230</v>
      </c>
      <c r="AQ7" t="s">
        <v>231</v>
      </c>
      <c r="AT7" t="s">
        <v>232</v>
      </c>
      <c r="AU7">
        <v>-99</v>
      </c>
      <c r="AV7" t="s">
        <v>73</v>
      </c>
      <c r="AW7">
        <v>-133.75</v>
      </c>
      <c r="AX7">
        <v>42558469</v>
      </c>
      <c r="AY7" s="73">
        <v>45377.248136574075</v>
      </c>
      <c r="AZ7" t="s">
        <v>226</v>
      </c>
      <c r="BA7" t="s">
        <v>281</v>
      </c>
      <c r="BB7" t="s">
        <v>228</v>
      </c>
      <c r="BC7" t="s">
        <v>229</v>
      </c>
      <c r="BD7" t="s">
        <v>101</v>
      </c>
      <c r="BI7" t="s">
        <v>233</v>
      </c>
      <c r="BJ7" t="s">
        <v>0</v>
      </c>
      <c r="BK7">
        <v>42558454</v>
      </c>
      <c r="BN7" t="s">
        <v>73</v>
      </c>
      <c r="BR7">
        <v>-133.75</v>
      </c>
      <c r="BS7">
        <v>42558469</v>
      </c>
      <c r="BT7" s="73">
        <v>45377.248136574075</v>
      </c>
      <c r="BU7" t="s">
        <v>226</v>
      </c>
      <c r="BV7" t="s">
        <v>281</v>
      </c>
      <c r="BW7" t="s">
        <v>228</v>
      </c>
      <c r="CH7" t="s">
        <v>229</v>
      </c>
      <c r="CI7" t="s">
        <v>101</v>
      </c>
      <c r="CJ7" t="s">
        <v>226</v>
      </c>
      <c r="CK7" t="s">
        <v>281</v>
      </c>
      <c r="CL7" t="s">
        <v>228</v>
      </c>
      <c r="CM7" t="s">
        <v>234</v>
      </c>
      <c r="CN7" t="s">
        <v>73</v>
      </c>
      <c r="CO7">
        <v>-133.75</v>
      </c>
      <c r="CP7">
        <v>42558469</v>
      </c>
      <c r="CQ7" s="73">
        <v>45377.248136574075</v>
      </c>
      <c r="CR7" t="s">
        <v>229</v>
      </c>
      <c r="CS7" t="s">
        <v>101</v>
      </c>
      <c r="CU7" t="s">
        <v>225</v>
      </c>
    </row>
    <row r="8" spans="1:101">
      <c r="A8" t="s">
        <v>107</v>
      </c>
      <c r="B8" t="s">
        <v>98</v>
      </c>
      <c r="J8" t="s">
        <v>225</v>
      </c>
      <c r="K8" t="s">
        <v>225</v>
      </c>
      <c r="M8" s="73">
        <v>45377.248136574075</v>
      </c>
      <c r="N8">
        <v>42558468</v>
      </c>
      <c r="O8">
        <v>2675</v>
      </c>
      <c r="P8" t="s">
        <v>104</v>
      </c>
      <c r="Q8">
        <v>2675</v>
      </c>
      <c r="R8" t="s">
        <v>104</v>
      </c>
      <c r="S8">
        <v>133.75</v>
      </c>
      <c r="T8" t="s">
        <v>73</v>
      </c>
      <c r="U8" t="s">
        <v>226</v>
      </c>
      <c r="V8" t="s">
        <v>281</v>
      </c>
      <c r="W8" t="s">
        <v>235</v>
      </c>
      <c r="X8" t="s">
        <v>229</v>
      </c>
      <c r="Y8" t="s">
        <v>107</v>
      </c>
      <c r="AD8" t="s">
        <v>104</v>
      </c>
      <c r="AE8">
        <v>2675</v>
      </c>
      <c r="AF8">
        <v>42558468</v>
      </c>
      <c r="AG8" s="73">
        <v>45377.248136574075</v>
      </c>
      <c r="AH8" t="s">
        <v>226</v>
      </c>
      <c r="AI8" t="s">
        <v>281</v>
      </c>
      <c r="AJ8" t="s">
        <v>235</v>
      </c>
      <c r="AK8" t="s">
        <v>229</v>
      </c>
      <c r="AL8" t="s">
        <v>107</v>
      </c>
      <c r="AP8" t="s">
        <v>230</v>
      </c>
      <c r="AQ8" t="s">
        <v>231</v>
      </c>
      <c r="AT8" t="s">
        <v>232</v>
      </c>
      <c r="AU8">
        <v>-99</v>
      </c>
      <c r="AV8" t="s">
        <v>104</v>
      </c>
      <c r="AW8">
        <v>2675</v>
      </c>
      <c r="AX8">
        <v>42558468</v>
      </c>
      <c r="AY8" s="73">
        <v>45377.248136574075</v>
      </c>
      <c r="AZ8" t="s">
        <v>226</v>
      </c>
      <c r="BA8" t="s">
        <v>281</v>
      </c>
      <c r="BB8" t="s">
        <v>235</v>
      </c>
      <c r="BC8" t="s">
        <v>229</v>
      </c>
      <c r="BD8" t="s">
        <v>107</v>
      </c>
      <c r="BI8" t="s">
        <v>233</v>
      </c>
      <c r="BJ8" t="s">
        <v>0</v>
      </c>
      <c r="BK8">
        <v>42558454</v>
      </c>
      <c r="BN8" t="s">
        <v>104</v>
      </c>
      <c r="BO8">
        <v>42558460</v>
      </c>
      <c r="BR8">
        <v>2675</v>
      </c>
      <c r="BS8">
        <v>42558468</v>
      </c>
      <c r="BT8" s="73">
        <v>45377.248136574075</v>
      </c>
      <c r="BU8" t="s">
        <v>226</v>
      </c>
      <c r="BV8" t="s">
        <v>281</v>
      </c>
      <c r="BW8" t="s">
        <v>235</v>
      </c>
      <c r="CH8" t="s">
        <v>229</v>
      </c>
      <c r="CI8" t="s">
        <v>107</v>
      </c>
      <c r="CJ8" t="s">
        <v>226</v>
      </c>
      <c r="CK8" t="s">
        <v>281</v>
      </c>
      <c r="CL8" t="s">
        <v>235</v>
      </c>
      <c r="CM8" t="s">
        <v>236</v>
      </c>
      <c r="CN8" t="s">
        <v>104</v>
      </c>
      <c r="CO8">
        <v>2675</v>
      </c>
      <c r="CP8">
        <v>42558468</v>
      </c>
      <c r="CQ8" s="73">
        <v>45377.248136574075</v>
      </c>
      <c r="CR8" t="s">
        <v>229</v>
      </c>
      <c r="CS8" t="s">
        <v>107</v>
      </c>
      <c r="CU8" t="s">
        <v>225</v>
      </c>
    </row>
    <row r="9" spans="1:101">
      <c r="A9" t="s">
        <v>111</v>
      </c>
      <c r="B9" t="s">
        <v>77</v>
      </c>
      <c r="J9" t="s">
        <v>225</v>
      </c>
      <c r="K9" t="s">
        <v>225</v>
      </c>
      <c r="M9" s="73">
        <v>45377.248136574075</v>
      </c>
      <c r="N9">
        <v>42558467</v>
      </c>
      <c r="O9">
        <v>1</v>
      </c>
      <c r="P9" t="s">
        <v>45</v>
      </c>
      <c r="Q9">
        <v>1</v>
      </c>
      <c r="R9" t="s">
        <v>45</v>
      </c>
      <c r="U9" t="s">
        <v>226</v>
      </c>
      <c r="V9" t="s">
        <v>281</v>
      </c>
      <c r="W9" t="s">
        <v>237</v>
      </c>
      <c r="X9" t="s">
        <v>229</v>
      </c>
      <c r="Y9" t="s">
        <v>111</v>
      </c>
      <c r="AD9" t="s">
        <v>45</v>
      </c>
      <c r="AE9">
        <v>1</v>
      </c>
      <c r="AF9">
        <v>42558467</v>
      </c>
      <c r="AG9" s="73">
        <v>45377.248136574075</v>
      </c>
      <c r="AH9" t="s">
        <v>226</v>
      </c>
      <c r="AI9" t="s">
        <v>281</v>
      </c>
      <c r="AJ9" t="s">
        <v>237</v>
      </c>
      <c r="AK9" t="s">
        <v>229</v>
      </c>
      <c r="AL9" t="s">
        <v>111</v>
      </c>
      <c r="AP9" t="s">
        <v>230</v>
      </c>
      <c r="AQ9" t="s">
        <v>231</v>
      </c>
      <c r="AT9" t="s">
        <v>232</v>
      </c>
      <c r="AU9">
        <v>-99</v>
      </c>
      <c r="AV9" t="s">
        <v>45</v>
      </c>
      <c r="AW9">
        <v>1</v>
      </c>
      <c r="AX9">
        <v>42558467</v>
      </c>
      <c r="AY9" s="73">
        <v>45377.248136574075</v>
      </c>
      <c r="AZ9" t="s">
        <v>226</v>
      </c>
      <c r="BA9" t="s">
        <v>281</v>
      </c>
      <c r="BB9" t="s">
        <v>237</v>
      </c>
      <c r="BC9" t="s">
        <v>229</v>
      </c>
      <c r="BD9" t="s">
        <v>111</v>
      </c>
      <c r="BI9" t="s">
        <v>233</v>
      </c>
      <c r="BJ9" t="s">
        <v>0</v>
      </c>
      <c r="BK9">
        <v>42558454</v>
      </c>
      <c r="BN9" t="s">
        <v>45</v>
      </c>
      <c r="BO9">
        <v>42558462</v>
      </c>
      <c r="BR9">
        <v>1</v>
      </c>
      <c r="BS9">
        <v>42558467</v>
      </c>
      <c r="BT9" s="73">
        <v>45377.248136574075</v>
      </c>
      <c r="BU9" t="s">
        <v>226</v>
      </c>
      <c r="BV9" t="s">
        <v>281</v>
      </c>
      <c r="BW9" t="s">
        <v>237</v>
      </c>
      <c r="CH9" t="s">
        <v>229</v>
      </c>
      <c r="CI9" t="s">
        <v>111</v>
      </c>
      <c r="CJ9" t="s">
        <v>226</v>
      </c>
      <c r="CK9" t="s">
        <v>281</v>
      </c>
      <c r="CL9" t="s">
        <v>237</v>
      </c>
      <c r="CM9" t="s">
        <v>236</v>
      </c>
      <c r="CN9" t="s">
        <v>45</v>
      </c>
      <c r="CO9">
        <v>1</v>
      </c>
      <c r="CP9">
        <v>42558467</v>
      </c>
      <c r="CQ9" s="73">
        <v>45377.248136574075</v>
      </c>
      <c r="CR9" t="s">
        <v>229</v>
      </c>
      <c r="CS9" t="s">
        <v>111</v>
      </c>
      <c r="CU9" t="s">
        <v>225</v>
      </c>
    </row>
    <row r="10" spans="1:101">
      <c r="A10" t="s">
        <v>93</v>
      </c>
      <c r="B10" t="s">
        <v>98</v>
      </c>
      <c r="J10" t="s">
        <v>225</v>
      </c>
      <c r="K10" t="s">
        <v>225</v>
      </c>
      <c r="M10" s="73">
        <v>45376.923611111109</v>
      </c>
      <c r="N10">
        <v>42551484</v>
      </c>
      <c r="O10">
        <v>650.69000000000005</v>
      </c>
      <c r="P10" t="s">
        <v>73</v>
      </c>
      <c r="Q10">
        <v>650.69000000000005</v>
      </c>
      <c r="R10" t="s">
        <v>73</v>
      </c>
      <c r="U10" t="s">
        <v>226</v>
      </c>
      <c r="V10" t="s">
        <v>282</v>
      </c>
      <c r="W10" t="s">
        <v>235</v>
      </c>
      <c r="X10" t="s">
        <v>229</v>
      </c>
      <c r="Y10" t="s">
        <v>93</v>
      </c>
      <c r="AD10" t="s">
        <v>73</v>
      </c>
      <c r="AE10">
        <v>650.69000000000005</v>
      </c>
      <c r="AF10">
        <v>42551484</v>
      </c>
      <c r="AG10" s="73">
        <v>45376.923611111109</v>
      </c>
      <c r="AH10" t="s">
        <v>226</v>
      </c>
      <c r="AI10" t="s">
        <v>282</v>
      </c>
      <c r="AJ10" t="s">
        <v>235</v>
      </c>
      <c r="AK10" t="s">
        <v>229</v>
      </c>
      <c r="AL10" t="s">
        <v>93</v>
      </c>
      <c r="AP10" t="s">
        <v>230</v>
      </c>
      <c r="AQ10" t="s">
        <v>231</v>
      </c>
      <c r="AT10" t="s">
        <v>232</v>
      </c>
      <c r="AU10">
        <v>-99</v>
      </c>
      <c r="AV10" t="s">
        <v>73</v>
      </c>
      <c r="AW10">
        <v>650.69000000000005</v>
      </c>
      <c r="AX10">
        <v>42551484</v>
      </c>
      <c r="AY10" s="73">
        <v>45376.923611111109</v>
      </c>
      <c r="AZ10" t="s">
        <v>226</v>
      </c>
      <c r="BA10" t="s">
        <v>282</v>
      </c>
      <c r="BB10" t="s">
        <v>235</v>
      </c>
      <c r="BC10" t="s">
        <v>229</v>
      </c>
      <c r="BD10" t="s">
        <v>93</v>
      </c>
      <c r="BI10" t="s">
        <v>233</v>
      </c>
      <c r="BJ10" t="s">
        <v>0</v>
      </c>
      <c r="BK10">
        <v>42551480</v>
      </c>
      <c r="BN10" t="s">
        <v>73</v>
      </c>
      <c r="BO10">
        <v>42551482</v>
      </c>
      <c r="BR10">
        <v>650.69000000000005</v>
      </c>
      <c r="BS10">
        <v>42551484</v>
      </c>
      <c r="BT10" s="73">
        <v>45376.923611111109</v>
      </c>
      <c r="BU10" t="s">
        <v>226</v>
      </c>
      <c r="BV10" t="s">
        <v>282</v>
      </c>
      <c r="BW10" t="s">
        <v>235</v>
      </c>
      <c r="CH10" t="s">
        <v>229</v>
      </c>
      <c r="CI10" t="s">
        <v>93</v>
      </c>
      <c r="CJ10" t="s">
        <v>226</v>
      </c>
      <c r="CK10" t="s">
        <v>282</v>
      </c>
      <c r="CL10" t="s">
        <v>235</v>
      </c>
      <c r="CM10" t="s">
        <v>236</v>
      </c>
      <c r="CN10" t="s">
        <v>73</v>
      </c>
      <c r="CO10">
        <v>650.69000000000005</v>
      </c>
      <c r="CP10">
        <v>42551484</v>
      </c>
      <c r="CQ10" s="73">
        <v>45376.923611111109</v>
      </c>
      <c r="CR10" t="s">
        <v>229</v>
      </c>
      <c r="CS10" t="s">
        <v>93</v>
      </c>
      <c r="CU10" t="s">
        <v>225</v>
      </c>
    </row>
    <row r="11" spans="1:101">
      <c r="A11" t="s">
        <v>71</v>
      </c>
      <c r="B11" t="s">
        <v>77</v>
      </c>
      <c r="J11" t="s">
        <v>225</v>
      </c>
      <c r="K11" t="s">
        <v>225</v>
      </c>
      <c r="M11" s="73">
        <v>45376.923611111109</v>
      </c>
      <c r="N11">
        <v>42551477</v>
      </c>
      <c r="O11">
        <v>0.26</v>
      </c>
      <c r="P11" t="s">
        <v>73</v>
      </c>
      <c r="Q11">
        <v>0.26</v>
      </c>
      <c r="R11" t="s">
        <v>73</v>
      </c>
      <c r="U11" t="s">
        <v>226</v>
      </c>
      <c r="V11" t="s">
        <v>282</v>
      </c>
      <c r="W11" t="s">
        <v>237</v>
      </c>
      <c r="X11" t="s">
        <v>229</v>
      </c>
      <c r="Y11" t="s">
        <v>71</v>
      </c>
      <c r="AD11" t="s">
        <v>73</v>
      </c>
      <c r="AE11">
        <v>0.26</v>
      </c>
      <c r="AF11">
        <v>42551477</v>
      </c>
      <c r="AG11" s="73">
        <v>45376.923611111109</v>
      </c>
      <c r="AH11" t="s">
        <v>226</v>
      </c>
      <c r="AI11" t="s">
        <v>282</v>
      </c>
      <c r="AJ11" t="s">
        <v>237</v>
      </c>
      <c r="AK11" t="s">
        <v>229</v>
      </c>
      <c r="AL11" t="s">
        <v>71</v>
      </c>
      <c r="AP11" t="s">
        <v>230</v>
      </c>
      <c r="AQ11" t="s">
        <v>231</v>
      </c>
      <c r="AT11" t="s">
        <v>232</v>
      </c>
      <c r="AU11">
        <v>-99</v>
      </c>
      <c r="AV11" t="s">
        <v>73</v>
      </c>
      <c r="AW11">
        <v>0.26</v>
      </c>
      <c r="AX11">
        <v>42551477</v>
      </c>
      <c r="AY11" s="73">
        <v>45376.923611111109</v>
      </c>
      <c r="AZ11" t="s">
        <v>226</v>
      </c>
      <c r="BA11" t="s">
        <v>282</v>
      </c>
      <c r="BB11" t="s">
        <v>237</v>
      </c>
      <c r="BC11" t="s">
        <v>229</v>
      </c>
      <c r="BD11" t="s">
        <v>71</v>
      </c>
      <c r="BI11" t="s">
        <v>233</v>
      </c>
      <c r="BJ11" t="s">
        <v>0</v>
      </c>
      <c r="BK11">
        <v>42551473</v>
      </c>
      <c r="BN11" t="s">
        <v>73</v>
      </c>
      <c r="BO11">
        <v>42551475</v>
      </c>
      <c r="BR11">
        <v>0.26</v>
      </c>
      <c r="BS11">
        <v>42551477</v>
      </c>
      <c r="BT11" s="73">
        <v>45376.923611111109</v>
      </c>
      <c r="BU11" t="s">
        <v>226</v>
      </c>
      <c r="BV11" t="s">
        <v>282</v>
      </c>
      <c r="BW11" t="s">
        <v>237</v>
      </c>
      <c r="CH11" t="s">
        <v>229</v>
      </c>
      <c r="CI11" t="s">
        <v>71</v>
      </c>
      <c r="CJ11" t="s">
        <v>226</v>
      </c>
      <c r="CK11" t="s">
        <v>282</v>
      </c>
      <c r="CL11" t="s">
        <v>237</v>
      </c>
      <c r="CM11" t="s">
        <v>236</v>
      </c>
      <c r="CN11" t="s">
        <v>73</v>
      </c>
      <c r="CO11">
        <v>0.26</v>
      </c>
      <c r="CP11">
        <v>42551477</v>
      </c>
      <c r="CQ11" s="73">
        <v>45376.923611111109</v>
      </c>
      <c r="CR11" t="s">
        <v>229</v>
      </c>
      <c r="CS11" t="s">
        <v>71</v>
      </c>
      <c r="CU11" t="s">
        <v>225</v>
      </c>
    </row>
    <row r="12" spans="1:101">
      <c r="A12" t="s">
        <v>131</v>
      </c>
      <c r="B12" t="s">
        <v>90</v>
      </c>
      <c r="J12" t="s">
        <v>225</v>
      </c>
      <c r="K12" t="s">
        <v>225</v>
      </c>
      <c r="M12" s="73">
        <v>45376.923611111109</v>
      </c>
      <c r="N12">
        <v>42551470</v>
      </c>
      <c r="O12">
        <v>-32.9</v>
      </c>
      <c r="P12" t="s">
        <v>73</v>
      </c>
      <c r="Q12">
        <v>-32.9</v>
      </c>
      <c r="R12" t="s">
        <v>73</v>
      </c>
      <c r="U12" t="s">
        <v>226</v>
      </c>
      <c r="V12" t="s">
        <v>282</v>
      </c>
      <c r="W12" t="s">
        <v>228</v>
      </c>
      <c r="X12" t="s">
        <v>229</v>
      </c>
      <c r="Y12" t="s">
        <v>131</v>
      </c>
      <c r="AD12" t="s">
        <v>73</v>
      </c>
      <c r="AE12">
        <v>-32.9</v>
      </c>
      <c r="AF12">
        <v>42551470</v>
      </c>
      <c r="AG12" s="73">
        <v>45376.923611111109</v>
      </c>
      <c r="AH12" t="s">
        <v>226</v>
      </c>
      <c r="AI12" t="s">
        <v>282</v>
      </c>
      <c r="AJ12" t="s">
        <v>228</v>
      </c>
      <c r="AK12" t="s">
        <v>229</v>
      </c>
      <c r="AL12" t="s">
        <v>131</v>
      </c>
      <c r="AP12" t="s">
        <v>230</v>
      </c>
      <c r="AQ12" t="s">
        <v>231</v>
      </c>
      <c r="AT12" t="s">
        <v>232</v>
      </c>
      <c r="AU12">
        <v>-99</v>
      </c>
      <c r="AV12" t="s">
        <v>73</v>
      </c>
      <c r="AW12">
        <v>-32.9</v>
      </c>
      <c r="AX12">
        <v>42551470</v>
      </c>
      <c r="AY12" s="73">
        <v>45376.923611111109</v>
      </c>
      <c r="AZ12" t="s">
        <v>226</v>
      </c>
      <c r="BA12" t="s">
        <v>282</v>
      </c>
      <c r="BB12" t="s">
        <v>228</v>
      </c>
      <c r="BC12" t="s">
        <v>229</v>
      </c>
      <c r="BD12" t="s">
        <v>131</v>
      </c>
      <c r="BI12" t="s">
        <v>233</v>
      </c>
      <c r="BJ12" t="s">
        <v>0</v>
      </c>
      <c r="BK12">
        <v>42551466</v>
      </c>
      <c r="BN12" t="s">
        <v>73</v>
      </c>
      <c r="BR12">
        <v>-32.9</v>
      </c>
      <c r="BS12">
        <v>42551470</v>
      </c>
      <c r="BT12" s="73">
        <v>45376.923611111109</v>
      </c>
      <c r="BU12" t="s">
        <v>226</v>
      </c>
      <c r="BV12" t="s">
        <v>282</v>
      </c>
      <c r="BW12" t="s">
        <v>228</v>
      </c>
      <c r="CH12" t="s">
        <v>229</v>
      </c>
      <c r="CI12" t="s">
        <v>131</v>
      </c>
      <c r="CJ12" t="s">
        <v>226</v>
      </c>
      <c r="CK12" t="s">
        <v>282</v>
      </c>
      <c r="CL12" t="s">
        <v>228</v>
      </c>
      <c r="CM12" t="s">
        <v>234</v>
      </c>
      <c r="CN12" t="s">
        <v>73</v>
      </c>
      <c r="CO12">
        <v>-32.9</v>
      </c>
      <c r="CP12">
        <v>42551470</v>
      </c>
      <c r="CQ12" s="73">
        <v>45376.923611111109</v>
      </c>
      <c r="CR12" t="s">
        <v>229</v>
      </c>
      <c r="CS12" t="s">
        <v>131</v>
      </c>
      <c r="CU12" t="s">
        <v>225</v>
      </c>
    </row>
    <row r="13" spans="1:101">
      <c r="A13" t="s">
        <v>87</v>
      </c>
      <c r="B13" t="s">
        <v>90</v>
      </c>
      <c r="J13" t="s">
        <v>225</v>
      </c>
      <c r="K13" t="s">
        <v>225</v>
      </c>
      <c r="M13" s="73">
        <v>45376.923611111109</v>
      </c>
      <c r="N13">
        <v>42551463</v>
      </c>
      <c r="O13">
        <v>-33</v>
      </c>
      <c r="P13" t="s">
        <v>73</v>
      </c>
      <c r="Q13">
        <v>-33</v>
      </c>
      <c r="R13" t="s">
        <v>73</v>
      </c>
      <c r="U13" t="s">
        <v>226</v>
      </c>
      <c r="V13" t="s">
        <v>282</v>
      </c>
      <c r="W13" t="s">
        <v>228</v>
      </c>
      <c r="X13" t="s">
        <v>229</v>
      </c>
      <c r="Y13" t="s">
        <v>87</v>
      </c>
      <c r="AD13" t="s">
        <v>73</v>
      </c>
      <c r="AE13">
        <v>-33</v>
      </c>
      <c r="AF13">
        <v>42551463</v>
      </c>
      <c r="AG13" s="73">
        <v>45376.923611111109</v>
      </c>
      <c r="AH13" t="s">
        <v>226</v>
      </c>
      <c r="AI13" t="s">
        <v>282</v>
      </c>
      <c r="AJ13" t="s">
        <v>228</v>
      </c>
      <c r="AK13" t="s">
        <v>229</v>
      </c>
      <c r="AL13" t="s">
        <v>87</v>
      </c>
      <c r="AP13" t="s">
        <v>230</v>
      </c>
      <c r="AQ13" t="s">
        <v>231</v>
      </c>
      <c r="AT13" t="s">
        <v>232</v>
      </c>
      <c r="AU13">
        <v>-99</v>
      </c>
      <c r="AV13" t="s">
        <v>73</v>
      </c>
      <c r="AW13">
        <v>-33</v>
      </c>
      <c r="AX13">
        <v>42551463</v>
      </c>
      <c r="AY13" s="73">
        <v>45376.923611111109</v>
      </c>
      <c r="AZ13" t="s">
        <v>226</v>
      </c>
      <c r="BA13" t="s">
        <v>282</v>
      </c>
      <c r="BB13" t="s">
        <v>228</v>
      </c>
      <c r="BC13" t="s">
        <v>229</v>
      </c>
      <c r="BD13" t="s">
        <v>87</v>
      </c>
      <c r="BI13" t="s">
        <v>233</v>
      </c>
      <c r="BJ13" t="s">
        <v>0</v>
      </c>
      <c r="BK13">
        <v>42551459</v>
      </c>
      <c r="BN13" t="s">
        <v>73</v>
      </c>
      <c r="BR13">
        <v>-33</v>
      </c>
      <c r="BS13">
        <v>42551463</v>
      </c>
      <c r="BT13" s="73">
        <v>45376.923611111109</v>
      </c>
      <c r="BU13" t="s">
        <v>226</v>
      </c>
      <c r="BV13" t="s">
        <v>282</v>
      </c>
      <c r="BW13" t="s">
        <v>228</v>
      </c>
      <c r="CH13" t="s">
        <v>229</v>
      </c>
      <c r="CI13" t="s">
        <v>87</v>
      </c>
      <c r="CJ13" t="s">
        <v>226</v>
      </c>
      <c r="CK13" t="s">
        <v>282</v>
      </c>
      <c r="CL13" t="s">
        <v>228</v>
      </c>
      <c r="CM13" t="s">
        <v>234</v>
      </c>
      <c r="CN13" t="s">
        <v>73</v>
      </c>
      <c r="CO13">
        <v>-33</v>
      </c>
      <c r="CP13">
        <v>42551463</v>
      </c>
      <c r="CQ13" s="73">
        <v>45376.923611111109</v>
      </c>
      <c r="CR13" t="s">
        <v>229</v>
      </c>
      <c r="CS13" t="s">
        <v>87</v>
      </c>
      <c r="CU13" t="s">
        <v>225</v>
      </c>
    </row>
    <row r="14" spans="1:101">
      <c r="A14" t="s">
        <v>133</v>
      </c>
      <c r="B14" t="s">
        <v>90</v>
      </c>
      <c r="J14" t="s">
        <v>225</v>
      </c>
      <c r="K14" t="s">
        <v>225</v>
      </c>
      <c r="M14" s="73">
        <v>45376.923611111109</v>
      </c>
      <c r="N14">
        <v>42551456</v>
      </c>
      <c r="O14">
        <v>-132.5</v>
      </c>
      <c r="P14" t="s">
        <v>73</v>
      </c>
      <c r="Q14">
        <v>-132.5</v>
      </c>
      <c r="R14" t="s">
        <v>73</v>
      </c>
      <c r="U14" t="s">
        <v>226</v>
      </c>
      <c r="V14" t="s">
        <v>282</v>
      </c>
      <c r="W14" t="s">
        <v>228</v>
      </c>
      <c r="X14" t="s">
        <v>229</v>
      </c>
      <c r="Y14" t="s">
        <v>133</v>
      </c>
      <c r="AD14" t="s">
        <v>73</v>
      </c>
      <c r="AE14">
        <v>-132.5</v>
      </c>
      <c r="AF14">
        <v>42551456</v>
      </c>
      <c r="AG14" s="73">
        <v>45376.923611111109</v>
      </c>
      <c r="AH14" t="s">
        <v>226</v>
      </c>
      <c r="AI14" t="s">
        <v>282</v>
      </c>
      <c r="AJ14" t="s">
        <v>228</v>
      </c>
      <c r="AK14" t="s">
        <v>229</v>
      </c>
      <c r="AL14" t="s">
        <v>133</v>
      </c>
      <c r="AP14" t="s">
        <v>230</v>
      </c>
      <c r="AQ14" t="s">
        <v>231</v>
      </c>
      <c r="AT14" t="s">
        <v>232</v>
      </c>
      <c r="AU14">
        <v>-99</v>
      </c>
      <c r="AV14" t="s">
        <v>73</v>
      </c>
      <c r="AW14">
        <v>-132.5</v>
      </c>
      <c r="AX14">
        <v>42551456</v>
      </c>
      <c r="AY14" s="73">
        <v>45376.923611111109</v>
      </c>
      <c r="AZ14" t="s">
        <v>226</v>
      </c>
      <c r="BA14" t="s">
        <v>282</v>
      </c>
      <c r="BB14" t="s">
        <v>228</v>
      </c>
      <c r="BC14" t="s">
        <v>229</v>
      </c>
      <c r="BD14" t="s">
        <v>133</v>
      </c>
      <c r="BI14" t="s">
        <v>233</v>
      </c>
      <c r="BJ14" t="s">
        <v>0</v>
      </c>
      <c r="BK14">
        <v>42551452</v>
      </c>
      <c r="BN14" t="s">
        <v>73</v>
      </c>
      <c r="BR14">
        <v>-132.5</v>
      </c>
      <c r="BS14">
        <v>42551456</v>
      </c>
      <c r="BT14" s="73">
        <v>45376.923611111109</v>
      </c>
      <c r="BU14" t="s">
        <v>226</v>
      </c>
      <c r="BV14" t="s">
        <v>282</v>
      </c>
      <c r="BW14" t="s">
        <v>228</v>
      </c>
      <c r="CH14" t="s">
        <v>229</v>
      </c>
      <c r="CI14" t="s">
        <v>133</v>
      </c>
      <c r="CJ14" t="s">
        <v>226</v>
      </c>
      <c r="CK14" t="s">
        <v>282</v>
      </c>
      <c r="CL14" t="s">
        <v>228</v>
      </c>
      <c r="CM14" t="s">
        <v>234</v>
      </c>
      <c r="CN14" t="s">
        <v>73</v>
      </c>
      <c r="CO14">
        <v>-132.5</v>
      </c>
      <c r="CP14">
        <v>42551456</v>
      </c>
      <c r="CQ14" s="73">
        <v>45376.923611111109</v>
      </c>
      <c r="CR14" t="s">
        <v>229</v>
      </c>
      <c r="CS14" t="s">
        <v>133</v>
      </c>
      <c r="CU14" t="s">
        <v>225</v>
      </c>
    </row>
    <row r="15" spans="1:101">
      <c r="A15" t="s">
        <v>127</v>
      </c>
      <c r="B15" t="s">
        <v>90</v>
      </c>
      <c r="J15" t="s">
        <v>225</v>
      </c>
      <c r="K15" t="s">
        <v>225</v>
      </c>
      <c r="M15" s="73">
        <v>45376.923611111109</v>
      </c>
      <c r="N15">
        <v>42551449</v>
      </c>
      <c r="O15">
        <v>-463.1</v>
      </c>
      <c r="P15" t="s">
        <v>73</v>
      </c>
      <c r="Q15">
        <v>-463.1</v>
      </c>
      <c r="R15" t="s">
        <v>73</v>
      </c>
      <c r="U15" t="s">
        <v>226</v>
      </c>
      <c r="V15" t="s">
        <v>282</v>
      </c>
      <c r="W15" t="s">
        <v>228</v>
      </c>
      <c r="X15" t="s">
        <v>229</v>
      </c>
      <c r="Y15" t="s">
        <v>127</v>
      </c>
      <c r="AD15" t="s">
        <v>73</v>
      </c>
      <c r="AE15">
        <v>-463.1</v>
      </c>
      <c r="AF15">
        <v>42551449</v>
      </c>
      <c r="AG15" s="73">
        <v>45376.923611111109</v>
      </c>
      <c r="AH15" t="s">
        <v>226</v>
      </c>
      <c r="AI15" t="s">
        <v>282</v>
      </c>
      <c r="AJ15" t="s">
        <v>228</v>
      </c>
      <c r="AK15" t="s">
        <v>229</v>
      </c>
      <c r="AL15" t="s">
        <v>127</v>
      </c>
      <c r="AP15" t="s">
        <v>230</v>
      </c>
      <c r="AQ15" t="s">
        <v>231</v>
      </c>
      <c r="AT15" t="s">
        <v>232</v>
      </c>
      <c r="AU15">
        <v>-99</v>
      </c>
      <c r="AV15" t="s">
        <v>73</v>
      </c>
      <c r="AW15">
        <v>-463.1</v>
      </c>
      <c r="AX15">
        <v>42551449</v>
      </c>
      <c r="AY15" s="73">
        <v>45376.923611111109</v>
      </c>
      <c r="AZ15" t="s">
        <v>226</v>
      </c>
      <c r="BA15" t="s">
        <v>282</v>
      </c>
      <c r="BB15" t="s">
        <v>228</v>
      </c>
      <c r="BC15" t="s">
        <v>229</v>
      </c>
      <c r="BD15" t="s">
        <v>127</v>
      </c>
      <c r="BI15" t="s">
        <v>233</v>
      </c>
      <c r="BJ15" t="s">
        <v>0</v>
      </c>
      <c r="BK15">
        <v>42551445</v>
      </c>
      <c r="BN15" t="s">
        <v>73</v>
      </c>
      <c r="BR15">
        <v>-463.1</v>
      </c>
      <c r="BS15">
        <v>42551449</v>
      </c>
      <c r="BT15" s="73">
        <v>45376.923611111109</v>
      </c>
      <c r="BU15" t="s">
        <v>226</v>
      </c>
      <c r="BV15" t="s">
        <v>282</v>
      </c>
      <c r="BW15" t="s">
        <v>228</v>
      </c>
      <c r="CH15" t="s">
        <v>229</v>
      </c>
      <c r="CI15" t="s">
        <v>127</v>
      </c>
      <c r="CJ15" t="s">
        <v>226</v>
      </c>
      <c r="CK15" t="s">
        <v>282</v>
      </c>
      <c r="CL15" t="s">
        <v>228</v>
      </c>
      <c r="CM15" t="s">
        <v>234</v>
      </c>
      <c r="CN15" t="s">
        <v>73</v>
      </c>
      <c r="CO15">
        <v>-463.1</v>
      </c>
      <c r="CP15">
        <v>42551449</v>
      </c>
      <c r="CQ15" s="73">
        <v>45376.923611111109</v>
      </c>
      <c r="CR15" t="s">
        <v>229</v>
      </c>
      <c r="CS15" t="s">
        <v>127</v>
      </c>
      <c r="CU15" t="s">
        <v>225</v>
      </c>
    </row>
    <row r="16" spans="1:101">
      <c r="A16" t="s">
        <v>42</v>
      </c>
      <c r="B16" t="s">
        <v>92</v>
      </c>
      <c r="J16" t="s">
        <v>225</v>
      </c>
      <c r="K16" t="s">
        <v>225</v>
      </c>
      <c r="M16" s="73">
        <v>45376.916666666664</v>
      </c>
      <c r="N16">
        <v>42559014</v>
      </c>
      <c r="O16">
        <v>-10515</v>
      </c>
      <c r="P16" t="s">
        <v>45</v>
      </c>
      <c r="Q16">
        <v>-10515</v>
      </c>
      <c r="R16" t="s">
        <v>45</v>
      </c>
      <c r="U16" t="s">
        <v>226</v>
      </c>
      <c r="V16" t="s">
        <v>283</v>
      </c>
      <c r="W16" t="s">
        <v>228</v>
      </c>
      <c r="X16" t="s">
        <v>229</v>
      </c>
      <c r="Y16" t="s">
        <v>42</v>
      </c>
      <c r="AD16" t="s">
        <v>45</v>
      </c>
      <c r="AE16">
        <v>-10515</v>
      </c>
      <c r="AF16">
        <v>42559014</v>
      </c>
      <c r="AG16" s="73">
        <v>45376.916666666664</v>
      </c>
      <c r="AH16" t="s">
        <v>226</v>
      </c>
      <c r="AI16" t="s">
        <v>283</v>
      </c>
      <c r="AJ16" t="s">
        <v>228</v>
      </c>
      <c r="AK16" t="s">
        <v>229</v>
      </c>
      <c r="AL16" t="s">
        <v>42</v>
      </c>
      <c r="AP16" t="s">
        <v>230</v>
      </c>
      <c r="AQ16" t="s">
        <v>231</v>
      </c>
      <c r="AT16" t="s">
        <v>232</v>
      </c>
      <c r="AU16">
        <v>-99</v>
      </c>
      <c r="AV16" t="s">
        <v>45</v>
      </c>
      <c r="AW16">
        <v>-10515</v>
      </c>
      <c r="AX16">
        <v>42559014</v>
      </c>
      <c r="AY16" s="73">
        <v>45376.916666666664</v>
      </c>
      <c r="AZ16" t="s">
        <v>226</v>
      </c>
      <c r="BA16" t="s">
        <v>283</v>
      </c>
      <c r="BB16" t="s">
        <v>228</v>
      </c>
      <c r="BC16" t="s">
        <v>229</v>
      </c>
      <c r="BD16" t="s">
        <v>42</v>
      </c>
      <c r="BI16" t="s">
        <v>233</v>
      </c>
      <c r="BJ16" t="s">
        <v>0</v>
      </c>
      <c r="BK16">
        <v>42558998</v>
      </c>
      <c r="BN16" t="s">
        <v>45</v>
      </c>
      <c r="BR16">
        <v>-10515</v>
      </c>
      <c r="BS16">
        <v>42559014</v>
      </c>
      <c r="BT16" s="73">
        <v>45376.916666666664</v>
      </c>
      <c r="BU16" t="s">
        <v>226</v>
      </c>
      <c r="BV16" t="s">
        <v>283</v>
      </c>
      <c r="BW16" t="s">
        <v>228</v>
      </c>
      <c r="CH16" t="s">
        <v>229</v>
      </c>
      <c r="CI16" t="s">
        <v>42</v>
      </c>
      <c r="CJ16" t="s">
        <v>226</v>
      </c>
      <c r="CK16" t="s">
        <v>283</v>
      </c>
      <c r="CL16" t="s">
        <v>228</v>
      </c>
      <c r="CM16" t="s">
        <v>234</v>
      </c>
      <c r="CN16" t="s">
        <v>45</v>
      </c>
      <c r="CO16">
        <v>-10515</v>
      </c>
      <c r="CP16">
        <v>42559014</v>
      </c>
      <c r="CQ16" s="73">
        <v>45376.916666666664</v>
      </c>
      <c r="CR16" t="s">
        <v>229</v>
      </c>
      <c r="CS16" t="s">
        <v>42</v>
      </c>
      <c r="CU16" t="s">
        <v>225</v>
      </c>
    </row>
    <row r="17" spans="1:99">
      <c r="A17" t="s">
        <v>99</v>
      </c>
      <c r="B17" t="s">
        <v>98</v>
      </c>
      <c r="J17" t="s">
        <v>225</v>
      </c>
      <c r="K17" t="s">
        <v>225</v>
      </c>
      <c r="M17" s="73">
        <v>45376.916666666664</v>
      </c>
      <c r="N17">
        <v>42559013</v>
      </c>
      <c r="O17">
        <v>-525</v>
      </c>
      <c r="P17" t="s">
        <v>73</v>
      </c>
      <c r="Q17">
        <v>-525</v>
      </c>
      <c r="R17" t="s">
        <v>73</v>
      </c>
      <c r="U17" t="s">
        <v>226</v>
      </c>
      <c r="V17" t="s">
        <v>283</v>
      </c>
      <c r="W17" t="s">
        <v>228</v>
      </c>
      <c r="X17" t="s">
        <v>229</v>
      </c>
      <c r="Y17" t="s">
        <v>99</v>
      </c>
      <c r="AD17" t="s">
        <v>73</v>
      </c>
      <c r="AE17">
        <v>-525</v>
      </c>
      <c r="AF17">
        <v>42559013</v>
      </c>
      <c r="AG17" s="73">
        <v>45376.916666666664</v>
      </c>
      <c r="AH17" t="s">
        <v>226</v>
      </c>
      <c r="AI17" t="s">
        <v>283</v>
      </c>
      <c r="AJ17" t="s">
        <v>228</v>
      </c>
      <c r="AK17" t="s">
        <v>229</v>
      </c>
      <c r="AL17" t="s">
        <v>99</v>
      </c>
      <c r="AP17" t="s">
        <v>230</v>
      </c>
      <c r="AQ17" t="s">
        <v>231</v>
      </c>
      <c r="AT17" t="s">
        <v>232</v>
      </c>
      <c r="AU17">
        <v>-99</v>
      </c>
      <c r="AV17" t="s">
        <v>73</v>
      </c>
      <c r="AW17">
        <v>-525</v>
      </c>
      <c r="AX17">
        <v>42559013</v>
      </c>
      <c r="AY17" s="73">
        <v>45376.916666666664</v>
      </c>
      <c r="AZ17" t="s">
        <v>226</v>
      </c>
      <c r="BA17" t="s">
        <v>283</v>
      </c>
      <c r="BB17" t="s">
        <v>228</v>
      </c>
      <c r="BC17" t="s">
        <v>229</v>
      </c>
      <c r="BD17" t="s">
        <v>99</v>
      </c>
      <c r="BI17" t="s">
        <v>233</v>
      </c>
      <c r="BJ17" t="s">
        <v>0</v>
      </c>
      <c r="BK17">
        <v>42558998</v>
      </c>
      <c r="BN17" t="s">
        <v>73</v>
      </c>
      <c r="BR17">
        <v>-525</v>
      </c>
      <c r="BS17">
        <v>42559013</v>
      </c>
      <c r="BT17" s="73">
        <v>45376.916666666664</v>
      </c>
      <c r="BU17" t="s">
        <v>226</v>
      </c>
      <c r="BV17" t="s">
        <v>283</v>
      </c>
      <c r="BW17" t="s">
        <v>228</v>
      </c>
      <c r="CH17" t="s">
        <v>229</v>
      </c>
      <c r="CI17" t="s">
        <v>99</v>
      </c>
      <c r="CJ17" t="s">
        <v>226</v>
      </c>
      <c r="CK17" t="s">
        <v>283</v>
      </c>
      <c r="CL17" t="s">
        <v>228</v>
      </c>
      <c r="CM17" t="s">
        <v>234</v>
      </c>
      <c r="CN17" t="s">
        <v>73</v>
      </c>
      <c r="CO17">
        <v>-525</v>
      </c>
      <c r="CP17">
        <v>42559013</v>
      </c>
      <c r="CQ17" s="73">
        <v>45376.916666666664</v>
      </c>
      <c r="CR17" t="s">
        <v>229</v>
      </c>
      <c r="CS17" t="s">
        <v>99</v>
      </c>
      <c r="CU17" t="s">
        <v>225</v>
      </c>
    </row>
    <row r="18" spans="1:99">
      <c r="A18" t="s">
        <v>103</v>
      </c>
      <c r="B18" t="s">
        <v>98</v>
      </c>
      <c r="J18" t="s">
        <v>225</v>
      </c>
      <c r="K18" t="s">
        <v>225</v>
      </c>
      <c r="M18" s="73">
        <v>45376.916666666664</v>
      </c>
      <c r="N18">
        <v>42559012</v>
      </c>
      <c r="O18">
        <v>10500</v>
      </c>
      <c r="P18" t="s">
        <v>104</v>
      </c>
      <c r="Q18">
        <v>10500</v>
      </c>
      <c r="R18" t="s">
        <v>104</v>
      </c>
      <c r="S18">
        <v>525</v>
      </c>
      <c r="T18" t="s">
        <v>73</v>
      </c>
      <c r="U18" t="s">
        <v>226</v>
      </c>
      <c r="V18" t="s">
        <v>283</v>
      </c>
      <c r="W18" t="s">
        <v>235</v>
      </c>
      <c r="X18" t="s">
        <v>229</v>
      </c>
      <c r="Y18" t="s">
        <v>103</v>
      </c>
      <c r="AD18" t="s">
        <v>104</v>
      </c>
      <c r="AE18">
        <v>10500</v>
      </c>
      <c r="AF18">
        <v>42559012</v>
      </c>
      <c r="AG18" s="73">
        <v>45376.916666666664</v>
      </c>
      <c r="AH18" t="s">
        <v>226</v>
      </c>
      <c r="AI18" t="s">
        <v>283</v>
      </c>
      <c r="AJ18" t="s">
        <v>235</v>
      </c>
      <c r="AK18" t="s">
        <v>229</v>
      </c>
      <c r="AL18" t="s">
        <v>103</v>
      </c>
      <c r="AP18" t="s">
        <v>230</v>
      </c>
      <c r="AQ18" t="s">
        <v>231</v>
      </c>
      <c r="AT18" t="s">
        <v>232</v>
      </c>
      <c r="AU18">
        <v>-99</v>
      </c>
      <c r="AV18" t="s">
        <v>104</v>
      </c>
      <c r="AW18">
        <v>10500</v>
      </c>
      <c r="AX18">
        <v>42559012</v>
      </c>
      <c r="AY18" s="73">
        <v>45376.916666666664</v>
      </c>
      <c r="AZ18" t="s">
        <v>226</v>
      </c>
      <c r="BA18" t="s">
        <v>283</v>
      </c>
      <c r="BB18" t="s">
        <v>235</v>
      </c>
      <c r="BC18" t="s">
        <v>229</v>
      </c>
      <c r="BD18" t="s">
        <v>103</v>
      </c>
      <c r="BI18" t="s">
        <v>233</v>
      </c>
      <c r="BJ18" t="s">
        <v>0</v>
      </c>
      <c r="BK18">
        <v>42558998</v>
      </c>
      <c r="BN18" t="s">
        <v>104</v>
      </c>
      <c r="BO18">
        <v>42559004</v>
      </c>
      <c r="BR18">
        <v>10500</v>
      </c>
      <c r="BS18">
        <v>42559012</v>
      </c>
      <c r="BT18" s="73">
        <v>45376.916666666664</v>
      </c>
      <c r="BU18" t="s">
        <v>226</v>
      </c>
      <c r="BV18" t="s">
        <v>283</v>
      </c>
      <c r="BW18" t="s">
        <v>235</v>
      </c>
      <c r="CH18" t="s">
        <v>229</v>
      </c>
      <c r="CI18" t="s">
        <v>103</v>
      </c>
      <c r="CJ18" t="s">
        <v>226</v>
      </c>
      <c r="CK18" t="s">
        <v>283</v>
      </c>
      <c r="CL18" t="s">
        <v>235</v>
      </c>
      <c r="CM18" t="s">
        <v>236</v>
      </c>
      <c r="CN18" t="s">
        <v>104</v>
      </c>
      <c r="CO18">
        <v>10500</v>
      </c>
      <c r="CP18">
        <v>42559012</v>
      </c>
      <c r="CQ18" s="73">
        <v>45376.916666666664</v>
      </c>
      <c r="CR18" t="s">
        <v>229</v>
      </c>
      <c r="CS18" t="s">
        <v>103</v>
      </c>
      <c r="CU18" t="s">
        <v>225</v>
      </c>
    </row>
    <row r="19" spans="1:99">
      <c r="A19" t="s">
        <v>111</v>
      </c>
      <c r="B19" t="s">
        <v>77</v>
      </c>
      <c r="J19" t="s">
        <v>225</v>
      </c>
      <c r="K19" t="s">
        <v>225</v>
      </c>
      <c r="M19" s="73">
        <v>45376.916666666664</v>
      </c>
      <c r="N19">
        <v>42559011</v>
      </c>
      <c r="O19">
        <v>15</v>
      </c>
      <c r="P19" t="s">
        <v>45</v>
      </c>
      <c r="Q19">
        <v>15</v>
      </c>
      <c r="R19" t="s">
        <v>45</v>
      </c>
      <c r="U19" t="s">
        <v>226</v>
      </c>
      <c r="V19" t="s">
        <v>283</v>
      </c>
      <c r="W19" t="s">
        <v>237</v>
      </c>
      <c r="X19" t="s">
        <v>229</v>
      </c>
      <c r="Y19" t="s">
        <v>111</v>
      </c>
      <c r="AD19" t="s">
        <v>45</v>
      </c>
      <c r="AE19">
        <v>15</v>
      </c>
      <c r="AF19">
        <v>42559011</v>
      </c>
      <c r="AG19" s="73">
        <v>45376.916666666664</v>
      </c>
      <c r="AH19" t="s">
        <v>226</v>
      </c>
      <c r="AI19" t="s">
        <v>283</v>
      </c>
      <c r="AJ19" t="s">
        <v>237</v>
      </c>
      <c r="AK19" t="s">
        <v>229</v>
      </c>
      <c r="AL19" t="s">
        <v>111</v>
      </c>
      <c r="AP19" t="s">
        <v>230</v>
      </c>
      <c r="AQ19" t="s">
        <v>231</v>
      </c>
      <c r="AT19" t="s">
        <v>232</v>
      </c>
      <c r="AU19">
        <v>-99</v>
      </c>
      <c r="AV19" t="s">
        <v>45</v>
      </c>
      <c r="AW19">
        <v>15</v>
      </c>
      <c r="AX19">
        <v>42559011</v>
      </c>
      <c r="AY19" s="73">
        <v>45376.916666666664</v>
      </c>
      <c r="AZ19" t="s">
        <v>226</v>
      </c>
      <c r="BA19" t="s">
        <v>283</v>
      </c>
      <c r="BB19" t="s">
        <v>237</v>
      </c>
      <c r="BC19" t="s">
        <v>229</v>
      </c>
      <c r="BD19" t="s">
        <v>111</v>
      </c>
      <c r="BI19" t="s">
        <v>233</v>
      </c>
      <c r="BJ19" t="s">
        <v>0</v>
      </c>
      <c r="BK19">
        <v>42558998</v>
      </c>
      <c r="BN19" t="s">
        <v>45</v>
      </c>
      <c r="BO19">
        <v>42559006</v>
      </c>
      <c r="BR19">
        <v>15</v>
      </c>
      <c r="BS19">
        <v>42559011</v>
      </c>
      <c r="BT19" s="73">
        <v>45376.916666666664</v>
      </c>
      <c r="BU19" t="s">
        <v>226</v>
      </c>
      <c r="BV19" t="s">
        <v>283</v>
      </c>
      <c r="BW19" t="s">
        <v>237</v>
      </c>
      <c r="CH19" t="s">
        <v>229</v>
      </c>
      <c r="CI19" t="s">
        <v>111</v>
      </c>
      <c r="CJ19" t="s">
        <v>226</v>
      </c>
      <c r="CK19" t="s">
        <v>283</v>
      </c>
      <c r="CL19" t="s">
        <v>237</v>
      </c>
      <c r="CM19" t="s">
        <v>236</v>
      </c>
      <c r="CN19" t="s">
        <v>45</v>
      </c>
      <c r="CO19">
        <v>15</v>
      </c>
      <c r="CP19">
        <v>42559011</v>
      </c>
      <c r="CQ19" s="73">
        <v>45376.916666666664</v>
      </c>
      <c r="CR19" t="s">
        <v>229</v>
      </c>
      <c r="CS19" t="s">
        <v>111</v>
      </c>
      <c r="CU19" t="s">
        <v>225</v>
      </c>
    </row>
    <row r="20" spans="1:99">
      <c r="A20" t="s">
        <v>42</v>
      </c>
      <c r="B20" t="s">
        <v>92</v>
      </c>
      <c r="J20" t="s">
        <v>225</v>
      </c>
      <c r="K20" t="s">
        <v>225</v>
      </c>
      <c r="M20" s="73">
        <v>45376.916666666664</v>
      </c>
      <c r="N20">
        <v>42558585</v>
      </c>
      <c r="O20">
        <v>-5230</v>
      </c>
      <c r="P20" t="s">
        <v>45</v>
      </c>
      <c r="Q20">
        <v>-5230</v>
      </c>
      <c r="R20" t="s">
        <v>45</v>
      </c>
      <c r="U20" t="s">
        <v>226</v>
      </c>
      <c r="V20" t="s">
        <v>284</v>
      </c>
      <c r="W20" t="s">
        <v>228</v>
      </c>
      <c r="X20" t="s">
        <v>229</v>
      </c>
      <c r="Y20" t="s">
        <v>42</v>
      </c>
      <c r="AD20" t="s">
        <v>45</v>
      </c>
      <c r="AE20">
        <v>-5230</v>
      </c>
      <c r="AF20">
        <v>42558585</v>
      </c>
      <c r="AG20" s="73">
        <v>45376.916666666664</v>
      </c>
      <c r="AH20" t="s">
        <v>226</v>
      </c>
      <c r="AI20" t="s">
        <v>284</v>
      </c>
      <c r="AJ20" t="s">
        <v>228</v>
      </c>
      <c r="AK20" t="s">
        <v>229</v>
      </c>
      <c r="AL20" t="s">
        <v>42</v>
      </c>
      <c r="AP20" t="s">
        <v>230</v>
      </c>
      <c r="AQ20" t="s">
        <v>231</v>
      </c>
      <c r="AT20" t="s">
        <v>232</v>
      </c>
      <c r="AU20">
        <v>-99</v>
      </c>
      <c r="AV20" t="s">
        <v>45</v>
      </c>
      <c r="AW20">
        <v>-5230</v>
      </c>
      <c r="AX20">
        <v>42558585</v>
      </c>
      <c r="AY20" s="73">
        <v>45376.916666666664</v>
      </c>
      <c r="AZ20" t="s">
        <v>226</v>
      </c>
      <c r="BA20" t="s">
        <v>284</v>
      </c>
      <c r="BB20" t="s">
        <v>228</v>
      </c>
      <c r="BC20" t="s">
        <v>229</v>
      </c>
      <c r="BD20" t="s">
        <v>42</v>
      </c>
      <c r="BI20" t="s">
        <v>233</v>
      </c>
      <c r="BJ20" t="s">
        <v>0</v>
      </c>
      <c r="BK20">
        <v>42558564</v>
      </c>
      <c r="BN20" t="s">
        <v>45</v>
      </c>
      <c r="BR20">
        <v>-5230</v>
      </c>
      <c r="BS20">
        <v>42558585</v>
      </c>
      <c r="BT20" s="73">
        <v>45376.916666666664</v>
      </c>
      <c r="BU20" t="s">
        <v>226</v>
      </c>
      <c r="BV20" t="s">
        <v>284</v>
      </c>
      <c r="BW20" t="s">
        <v>228</v>
      </c>
      <c r="CH20" t="s">
        <v>229</v>
      </c>
      <c r="CI20" t="s">
        <v>42</v>
      </c>
      <c r="CJ20" t="s">
        <v>226</v>
      </c>
      <c r="CK20" t="s">
        <v>284</v>
      </c>
      <c r="CL20" t="s">
        <v>228</v>
      </c>
      <c r="CM20" t="s">
        <v>234</v>
      </c>
      <c r="CN20" t="s">
        <v>45</v>
      </c>
      <c r="CO20">
        <v>-5230</v>
      </c>
      <c r="CP20">
        <v>42558585</v>
      </c>
      <c r="CQ20" s="73">
        <v>45376.916666666664</v>
      </c>
      <c r="CR20" t="s">
        <v>229</v>
      </c>
      <c r="CS20" t="s">
        <v>42</v>
      </c>
      <c r="CU20" t="s">
        <v>225</v>
      </c>
    </row>
    <row r="21" spans="1:99">
      <c r="A21" t="s">
        <v>99</v>
      </c>
      <c r="B21" t="s">
        <v>98</v>
      </c>
      <c r="J21" t="s">
        <v>225</v>
      </c>
      <c r="K21" t="s">
        <v>225</v>
      </c>
      <c r="M21" s="73">
        <v>45376.916666666664</v>
      </c>
      <c r="N21">
        <v>42558584</v>
      </c>
      <c r="O21">
        <v>-261.25</v>
      </c>
      <c r="P21" t="s">
        <v>73</v>
      </c>
      <c r="Q21">
        <v>-261.25</v>
      </c>
      <c r="R21" t="s">
        <v>73</v>
      </c>
      <c r="U21" t="s">
        <v>226</v>
      </c>
      <c r="V21" t="s">
        <v>284</v>
      </c>
      <c r="W21" t="s">
        <v>228</v>
      </c>
      <c r="X21" t="s">
        <v>229</v>
      </c>
      <c r="Y21" t="s">
        <v>99</v>
      </c>
      <c r="AD21" t="s">
        <v>73</v>
      </c>
      <c r="AE21">
        <v>-261.25</v>
      </c>
      <c r="AF21">
        <v>42558584</v>
      </c>
      <c r="AG21" s="73">
        <v>45376.916666666664</v>
      </c>
      <c r="AH21" t="s">
        <v>226</v>
      </c>
      <c r="AI21" t="s">
        <v>284</v>
      </c>
      <c r="AJ21" t="s">
        <v>228</v>
      </c>
      <c r="AK21" t="s">
        <v>229</v>
      </c>
      <c r="AL21" t="s">
        <v>99</v>
      </c>
      <c r="AP21" t="s">
        <v>230</v>
      </c>
      <c r="AQ21" t="s">
        <v>231</v>
      </c>
      <c r="AT21" t="s">
        <v>232</v>
      </c>
      <c r="AU21">
        <v>-99</v>
      </c>
      <c r="AV21" t="s">
        <v>73</v>
      </c>
      <c r="AW21">
        <v>-261.25</v>
      </c>
      <c r="AX21">
        <v>42558584</v>
      </c>
      <c r="AY21" s="73">
        <v>45376.916666666664</v>
      </c>
      <c r="AZ21" t="s">
        <v>226</v>
      </c>
      <c r="BA21" t="s">
        <v>284</v>
      </c>
      <c r="BB21" t="s">
        <v>228</v>
      </c>
      <c r="BC21" t="s">
        <v>229</v>
      </c>
      <c r="BD21" t="s">
        <v>99</v>
      </c>
      <c r="BI21" t="s">
        <v>233</v>
      </c>
      <c r="BJ21" t="s">
        <v>0</v>
      </c>
      <c r="BK21">
        <v>42558564</v>
      </c>
      <c r="BN21" t="s">
        <v>73</v>
      </c>
      <c r="BR21">
        <v>-261.25</v>
      </c>
      <c r="BS21">
        <v>42558584</v>
      </c>
      <c r="BT21" s="73">
        <v>45376.916666666664</v>
      </c>
      <c r="BU21" t="s">
        <v>226</v>
      </c>
      <c r="BV21" t="s">
        <v>284</v>
      </c>
      <c r="BW21" t="s">
        <v>228</v>
      </c>
      <c r="CH21" t="s">
        <v>229</v>
      </c>
      <c r="CI21" t="s">
        <v>99</v>
      </c>
      <c r="CJ21" t="s">
        <v>226</v>
      </c>
      <c r="CK21" t="s">
        <v>284</v>
      </c>
      <c r="CL21" t="s">
        <v>228</v>
      </c>
      <c r="CM21" t="s">
        <v>234</v>
      </c>
      <c r="CN21" t="s">
        <v>73</v>
      </c>
      <c r="CO21">
        <v>-261.25</v>
      </c>
      <c r="CP21">
        <v>42558584</v>
      </c>
      <c r="CQ21" s="73">
        <v>45376.916666666664</v>
      </c>
      <c r="CR21" t="s">
        <v>229</v>
      </c>
      <c r="CS21" t="s">
        <v>99</v>
      </c>
      <c r="CU21" t="s">
        <v>225</v>
      </c>
    </row>
    <row r="22" spans="1:99">
      <c r="A22" t="s">
        <v>103</v>
      </c>
      <c r="B22" t="s">
        <v>98</v>
      </c>
      <c r="J22" t="s">
        <v>225</v>
      </c>
      <c r="K22" t="s">
        <v>225</v>
      </c>
      <c r="M22" s="73">
        <v>45376.916666666664</v>
      </c>
      <c r="N22">
        <v>42558583</v>
      </c>
      <c r="O22">
        <v>5225</v>
      </c>
      <c r="P22" t="s">
        <v>104</v>
      </c>
      <c r="Q22">
        <v>5225</v>
      </c>
      <c r="R22" t="s">
        <v>104</v>
      </c>
      <c r="S22">
        <v>261.25</v>
      </c>
      <c r="T22" t="s">
        <v>73</v>
      </c>
      <c r="U22" t="s">
        <v>226</v>
      </c>
      <c r="V22" t="s">
        <v>284</v>
      </c>
      <c r="W22" t="s">
        <v>235</v>
      </c>
      <c r="X22" t="s">
        <v>229</v>
      </c>
      <c r="Y22" t="s">
        <v>103</v>
      </c>
      <c r="AD22" t="s">
        <v>104</v>
      </c>
      <c r="AE22">
        <v>5225</v>
      </c>
      <c r="AF22">
        <v>42558583</v>
      </c>
      <c r="AG22" s="73">
        <v>45376.916666666664</v>
      </c>
      <c r="AH22" t="s">
        <v>226</v>
      </c>
      <c r="AI22" t="s">
        <v>284</v>
      </c>
      <c r="AJ22" t="s">
        <v>235</v>
      </c>
      <c r="AK22" t="s">
        <v>229</v>
      </c>
      <c r="AL22" t="s">
        <v>103</v>
      </c>
      <c r="AP22" t="s">
        <v>230</v>
      </c>
      <c r="AQ22" t="s">
        <v>231</v>
      </c>
      <c r="AT22" t="s">
        <v>232</v>
      </c>
      <c r="AU22">
        <v>-99</v>
      </c>
      <c r="AV22" t="s">
        <v>104</v>
      </c>
      <c r="AW22">
        <v>5225</v>
      </c>
      <c r="AX22">
        <v>42558583</v>
      </c>
      <c r="AY22" s="73">
        <v>45376.916666666664</v>
      </c>
      <c r="AZ22" t="s">
        <v>226</v>
      </c>
      <c r="BA22" t="s">
        <v>284</v>
      </c>
      <c r="BB22" t="s">
        <v>235</v>
      </c>
      <c r="BC22" t="s">
        <v>229</v>
      </c>
      <c r="BD22" t="s">
        <v>103</v>
      </c>
      <c r="BI22" t="s">
        <v>233</v>
      </c>
      <c r="BJ22" t="s">
        <v>0</v>
      </c>
      <c r="BK22">
        <v>42558564</v>
      </c>
      <c r="BN22" t="s">
        <v>104</v>
      </c>
      <c r="BO22">
        <v>42558575</v>
      </c>
      <c r="BR22">
        <v>5225</v>
      </c>
      <c r="BS22">
        <v>42558583</v>
      </c>
      <c r="BT22" s="73">
        <v>45376.916666666664</v>
      </c>
      <c r="BU22" t="s">
        <v>226</v>
      </c>
      <c r="BV22" t="s">
        <v>284</v>
      </c>
      <c r="BW22" t="s">
        <v>235</v>
      </c>
      <c r="CH22" t="s">
        <v>229</v>
      </c>
      <c r="CI22" t="s">
        <v>103</v>
      </c>
      <c r="CJ22" t="s">
        <v>226</v>
      </c>
      <c r="CK22" t="s">
        <v>284</v>
      </c>
      <c r="CL22" t="s">
        <v>235</v>
      </c>
      <c r="CM22" t="s">
        <v>236</v>
      </c>
      <c r="CN22" t="s">
        <v>104</v>
      </c>
      <c r="CO22">
        <v>5225</v>
      </c>
      <c r="CP22">
        <v>42558583</v>
      </c>
      <c r="CQ22" s="73">
        <v>45376.916666666664</v>
      </c>
      <c r="CR22" t="s">
        <v>229</v>
      </c>
      <c r="CS22" t="s">
        <v>103</v>
      </c>
      <c r="CU22" t="s">
        <v>225</v>
      </c>
    </row>
    <row r="23" spans="1:99">
      <c r="A23" t="s">
        <v>111</v>
      </c>
      <c r="B23" t="s">
        <v>77</v>
      </c>
      <c r="J23" t="s">
        <v>225</v>
      </c>
      <c r="K23" t="s">
        <v>225</v>
      </c>
      <c r="M23" s="73">
        <v>45376.916666666664</v>
      </c>
      <c r="N23">
        <v>42558582</v>
      </c>
      <c r="O23">
        <v>5</v>
      </c>
      <c r="P23" t="s">
        <v>45</v>
      </c>
      <c r="Q23">
        <v>5</v>
      </c>
      <c r="R23" t="s">
        <v>45</v>
      </c>
      <c r="U23" t="s">
        <v>226</v>
      </c>
      <c r="V23" t="s">
        <v>284</v>
      </c>
      <c r="W23" t="s">
        <v>237</v>
      </c>
      <c r="X23" t="s">
        <v>229</v>
      </c>
      <c r="Y23" t="s">
        <v>111</v>
      </c>
      <c r="AD23" t="s">
        <v>45</v>
      </c>
      <c r="AE23">
        <v>5</v>
      </c>
      <c r="AF23">
        <v>42558582</v>
      </c>
      <c r="AG23" s="73">
        <v>45376.916666666664</v>
      </c>
      <c r="AH23" t="s">
        <v>226</v>
      </c>
      <c r="AI23" t="s">
        <v>284</v>
      </c>
      <c r="AJ23" t="s">
        <v>237</v>
      </c>
      <c r="AK23" t="s">
        <v>229</v>
      </c>
      <c r="AL23" t="s">
        <v>111</v>
      </c>
      <c r="AP23" t="s">
        <v>230</v>
      </c>
      <c r="AQ23" t="s">
        <v>231</v>
      </c>
      <c r="AT23" t="s">
        <v>232</v>
      </c>
      <c r="AU23">
        <v>-99</v>
      </c>
      <c r="AV23" t="s">
        <v>45</v>
      </c>
      <c r="AW23">
        <v>5</v>
      </c>
      <c r="AX23">
        <v>42558582</v>
      </c>
      <c r="AY23" s="73">
        <v>45376.916666666664</v>
      </c>
      <c r="AZ23" t="s">
        <v>226</v>
      </c>
      <c r="BA23" t="s">
        <v>284</v>
      </c>
      <c r="BB23" t="s">
        <v>237</v>
      </c>
      <c r="BC23" t="s">
        <v>229</v>
      </c>
      <c r="BD23" t="s">
        <v>111</v>
      </c>
      <c r="BI23" t="s">
        <v>233</v>
      </c>
      <c r="BJ23" t="s">
        <v>0</v>
      </c>
      <c r="BK23">
        <v>42558564</v>
      </c>
      <c r="BN23" t="s">
        <v>45</v>
      </c>
      <c r="BO23">
        <v>42558577</v>
      </c>
      <c r="BR23">
        <v>5</v>
      </c>
      <c r="BS23">
        <v>42558582</v>
      </c>
      <c r="BT23" s="73">
        <v>45376.916666666664</v>
      </c>
      <c r="BU23" t="s">
        <v>226</v>
      </c>
      <c r="BV23" t="s">
        <v>284</v>
      </c>
      <c r="BW23" t="s">
        <v>237</v>
      </c>
      <c r="CH23" t="s">
        <v>229</v>
      </c>
      <c r="CI23" t="s">
        <v>111</v>
      </c>
      <c r="CJ23" t="s">
        <v>226</v>
      </c>
      <c r="CK23" t="s">
        <v>284</v>
      </c>
      <c r="CL23" t="s">
        <v>237</v>
      </c>
      <c r="CM23" t="s">
        <v>236</v>
      </c>
      <c r="CN23" t="s">
        <v>45</v>
      </c>
      <c r="CO23">
        <v>5</v>
      </c>
      <c r="CP23">
        <v>42558582</v>
      </c>
      <c r="CQ23" s="73">
        <v>45376.916666666664</v>
      </c>
      <c r="CR23" t="s">
        <v>229</v>
      </c>
      <c r="CS23" t="s">
        <v>111</v>
      </c>
      <c r="CU23" t="s">
        <v>225</v>
      </c>
    </row>
    <row r="24" spans="1:99">
      <c r="A24" t="s">
        <v>42</v>
      </c>
      <c r="B24" t="s">
        <v>92</v>
      </c>
      <c r="J24" t="s">
        <v>225</v>
      </c>
      <c r="K24" t="s">
        <v>225</v>
      </c>
      <c r="M24" s="73">
        <v>45376.619444444441</v>
      </c>
      <c r="N24">
        <v>42550893</v>
      </c>
      <c r="O24">
        <v>-4565</v>
      </c>
      <c r="P24" t="s">
        <v>45</v>
      </c>
      <c r="Q24">
        <v>-4565</v>
      </c>
      <c r="R24" t="s">
        <v>45</v>
      </c>
      <c r="U24" t="s">
        <v>226</v>
      </c>
      <c r="V24" t="s">
        <v>285</v>
      </c>
      <c r="W24" t="s">
        <v>228</v>
      </c>
      <c r="X24" t="s">
        <v>229</v>
      </c>
      <c r="Y24" t="s">
        <v>42</v>
      </c>
      <c r="AD24" t="s">
        <v>45</v>
      </c>
      <c r="AE24">
        <v>-4565</v>
      </c>
      <c r="AF24">
        <v>42550893</v>
      </c>
      <c r="AG24" s="73">
        <v>45376.619444444441</v>
      </c>
      <c r="AH24" t="s">
        <v>226</v>
      </c>
      <c r="AI24" t="s">
        <v>285</v>
      </c>
      <c r="AJ24" t="s">
        <v>228</v>
      </c>
      <c r="AK24" t="s">
        <v>229</v>
      </c>
      <c r="AL24" t="s">
        <v>42</v>
      </c>
      <c r="AP24" t="s">
        <v>230</v>
      </c>
      <c r="AQ24" t="s">
        <v>231</v>
      </c>
      <c r="AT24" t="s">
        <v>232</v>
      </c>
      <c r="AU24">
        <v>-99</v>
      </c>
      <c r="AV24" t="s">
        <v>45</v>
      </c>
      <c r="AW24">
        <v>-4565</v>
      </c>
      <c r="AX24">
        <v>42550893</v>
      </c>
      <c r="AY24" s="73">
        <v>45376.619444444441</v>
      </c>
      <c r="AZ24" t="s">
        <v>226</v>
      </c>
      <c r="BA24" t="s">
        <v>285</v>
      </c>
      <c r="BB24" t="s">
        <v>228</v>
      </c>
      <c r="BC24" t="s">
        <v>229</v>
      </c>
      <c r="BD24" t="s">
        <v>42</v>
      </c>
      <c r="BI24" t="s">
        <v>233</v>
      </c>
      <c r="BJ24" t="s">
        <v>0</v>
      </c>
      <c r="BK24">
        <v>42550877</v>
      </c>
      <c r="BN24" t="s">
        <v>45</v>
      </c>
      <c r="BR24">
        <v>-4565</v>
      </c>
      <c r="BS24">
        <v>42550893</v>
      </c>
      <c r="BT24" s="73">
        <v>45376.619444444441</v>
      </c>
      <c r="BU24" t="s">
        <v>226</v>
      </c>
      <c r="BV24" t="s">
        <v>285</v>
      </c>
      <c r="BW24" t="s">
        <v>228</v>
      </c>
      <c r="CH24" t="s">
        <v>229</v>
      </c>
      <c r="CI24" t="s">
        <v>42</v>
      </c>
      <c r="CJ24" t="s">
        <v>226</v>
      </c>
      <c r="CK24" t="s">
        <v>285</v>
      </c>
      <c r="CL24" t="s">
        <v>228</v>
      </c>
      <c r="CM24" t="s">
        <v>234</v>
      </c>
      <c r="CN24" t="s">
        <v>45</v>
      </c>
      <c r="CO24">
        <v>-4565</v>
      </c>
      <c r="CP24">
        <v>42550893</v>
      </c>
      <c r="CQ24" s="73">
        <v>45376.619444444441</v>
      </c>
      <c r="CR24" t="s">
        <v>229</v>
      </c>
      <c r="CS24" t="s">
        <v>42</v>
      </c>
      <c r="CU24" t="s">
        <v>225</v>
      </c>
    </row>
    <row r="25" spans="1:99">
      <c r="A25" t="s">
        <v>99</v>
      </c>
      <c r="B25" t="s">
        <v>98</v>
      </c>
      <c r="J25" t="s">
        <v>225</v>
      </c>
      <c r="K25" t="s">
        <v>225</v>
      </c>
      <c r="M25" s="73">
        <v>45376.619444444441</v>
      </c>
      <c r="N25">
        <v>42550892</v>
      </c>
      <c r="O25">
        <v>-228</v>
      </c>
      <c r="P25" t="s">
        <v>73</v>
      </c>
      <c r="Q25">
        <v>-228</v>
      </c>
      <c r="R25" t="s">
        <v>73</v>
      </c>
      <c r="U25" t="s">
        <v>226</v>
      </c>
      <c r="V25" t="s">
        <v>285</v>
      </c>
      <c r="W25" t="s">
        <v>228</v>
      </c>
      <c r="X25" t="s">
        <v>229</v>
      </c>
      <c r="Y25" t="s">
        <v>99</v>
      </c>
      <c r="AD25" t="s">
        <v>73</v>
      </c>
      <c r="AE25">
        <v>-228</v>
      </c>
      <c r="AF25">
        <v>42550892</v>
      </c>
      <c r="AG25" s="73">
        <v>45376.619444444441</v>
      </c>
      <c r="AH25" t="s">
        <v>226</v>
      </c>
      <c r="AI25" t="s">
        <v>285</v>
      </c>
      <c r="AJ25" t="s">
        <v>228</v>
      </c>
      <c r="AK25" t="s">
        <v>229</v>
      </c>
      <c r="AL25" t="s">
        <v>99</v>
      </c>
      <c r="AP25" t="s">
        <v>230</v>
      </c>
      <c r="AQ25" t="s">
        <v>231</v>
      </c>
      <c r="AT25" t="s">
        <v>232</v>
      </c>
      <c r="AU25">
        <v>-99</v>
      </c>
      <c r="AV25" t="s">
        <v>73</v>
      </c>
      <c r="AW25">
        <v>-228</v>
      </c>
      <c r="AX25">
        <v>42550892</v>
      </c>
      <c r="AY25" s="73">
        <v>45376.619444444441</v>
      </c>
      <c r="AZ25" t="s">
        <v>226</v>
      </c>
      <c r="BA25" t="s">
        <v>285</v>
      </c>
      <c r="BB25" t="s">
        <v>228</v>
      </c>
      <c r="BC25" t="s">
        <v>229</v>
      </c>
      <c r="BD25" t="s">
        <v>99</v>
      </c>
      <c r="BI25" t="s">
        <v>233</v>
      </c>
      <c r="BJ25" t="s">
        <v>0</v>
      </c>
      <c r="BK25">
        <v>42550877</v>
      </c>
      <c r="BN25" t="s">
        <v>73</v>
      </c>
      <c r="BR25">
        <v>-228</v>
      </c>
      <c r="BS25">
        <v>42550892</v>
      </c>
      <c r="BT25" s="73">
        <v>45376.619444444441</v>
      </c>
      <c r="BU25" t="s">
        <v>226</v>
      </c>
      <c r="BV25" t="s">
        <v>285</v>
      </c>
      <c r="BW25" t="s">
        <v>228</v>
      </c>
      <c r="CH25" t="s">
        <v>229</v>
      </c>
      <c r="CI25" t="s">
        <v>99</v>
      </c>
      <c r="CJ25" t="s">
        <v>226</v>
      </c>
      <c r="CK25" t="s">
        <v>285</v>
      </c>
      <c r="CL25" t="s">
        <v>228</v>
      </c>
      <c r="CM25" t="s">
        <v>234</v>
      </c>
      <c r="CN25" t="s">
        <v>73</v>
      </c>
      <c r="CO25">
        <v>-228</v>
      </c>
      <c r="CP25">
        <v>42550892</v>
      </c>
      <c r="CQ25" s="73">
        <v>45376.619444444441</v>
      </c>
      <c r="CR25" t="s">
        <v>229</v>
      </c>
      <c r="CS25" t="s">
        <v>99</v>
      </c>
      <c r="CU25" t="s">
        <v>225</v>
      </c>
    </row>
    <row r="26" spans="1:99">
      <c r="A26" t="s">
        <v>103</v>
      </c>
      <c r="B26" t="s">
        <v>98</v>
      </c>
      <c r="J26" t="s">
        <v>225</v>
      </c>
      <c r="K26" t="s">
        <v>225</v>
      </c>
      <c r="M26" s="73">
        <v>45376.619444444441</v>
      </c>
      <c r="N26">
        <v>42550891</v>
      </c>
      <c r="O26">
        <v>4560</v>
      </c>
      <c r="P26" t="s">
        <v>104</v>
      </c>
      <c r="Q26">
        <v>4560</v>
      </c>
      <c r="R26" t="s">
        <v>104</v>
      </c>
      <c r="S26">
        <v>228</v>
      </c>
      <c r="T26" t="s">
        <v>73</v>
      </c>
      <c r="U26" t="s">
        <v>226</v>
      </c>
      <c r="V26" t="s">
        <v>285</v>
      </c>
      <c r="W26" t="s">
        <v>235</v>
      </c>
      <c r="X26" t="s">
        <v>229</v>
      </c>
      <c r="Y26" t="s">
        <v>103</v>
      </c>
      <c r="AD26" t="s">
        <v>104</v>
      </c>
      <c r="AE26">
        <v>4560</v>
      </c>
      <c r="AF26">
        <v>42550891</v>
      </c>
      <c r="AG26" s="73">
        <v>45376.619444444441</v>
      </c>
      <c r="AH26" t="s">
        <v>226</v>
      </c>
      <c r="AI26" t="s">
        <v>285</v>
      </c>
      <c r="AJ26" t="s">
        <v>235</v>
      </c>
      <c r="AK26" t="s">
        <v>229</v>
      </c>
      <c r="AL26" t="s">
        <v>103</v>
      </c>
      <c r="AP26" t="s">
        <v>230</v>
      </c>
      <c r="AQ26" t="s">
        <v>231</v>
      </c>
      <c r="AT26" t="s">
        <v>232</v>
      </c>
      <c r="AU26">
        <v>-99</v>
      </c>
      <c r="AV26" t="s">
        <v>104</v>
      </c>
      <c r="AW26">
        <v>4560</v>
      </c>
      <c r="AX26">
        <v>42550891</v>
      </c>
      <c r="AY26" s="73">
        <v>45376.619444444441</v>
      </c>
      <c r="AZ26" t="s">
        <v>226</v>
      </c>
      <c r="BA26" t="s">
        <v>285</v>
      </c>
      <c r="BB26" t="s">
        <v>235</v>
      </c>
      <c r="BC26" t="s">
        <v>229</v>
      </c>
      <c r="BD26" t="s">
        <v>103</v>
      </c>
      <c r="BI26" t="s">
        <v>233</v>
      </c>
      <c r="BJ26" t="s">
        <v>0</v>
      </c>
      <c r="BK26">
        <v>42550877</v>
      </c>
      <c r="BN26" t="s">
        <v>104</v>
      </c>
      <c r="BO26">
        <v>42550883</v>
      </c>
      <c r="BR26">
        <v>4560</v>
      </c>
      <c r="BS26">
        <v>42550891</v>
      </c>
      <c r="BT26" s="73">
        <v>45376.619444444441</v>
      </c>
      <c r="BU26" t="s">
        <v>226</v>
      </c>
      <c r="BV26" t="s">
        <v>285</v>
      </c>
      <c r="BW26" t="s">
        <v>235</v>
      </c>
      <c r="CH26" t="s">
        <v>229</v>
      </c>
      <c r="CI26" t="s">
        <v>103</v>
      </c>
      <c r="CJ26" t="s">
        <v>226</v>
      </c>
      <c r="CK26" t="s">
        <v>285</v>
      </c>
      <c r="CL26" t="s">
        <v>235</v>
      </c>
      <c r="CM26" t="s">
        <v>236</v>
      </c>
      <c r="CN26" t="s">
        <v>104</v>
      </c>
      <c r="CO26">
        <v>4560</v>
      </c>
      <c r="CP26">
        <v>42550891</v>
      </c>
      <c r="CQ26" s="73">
        <v>45376.619444444441</v>
      </c>
      <c r="CR26" t="s">
        <v>229</v>
      </c>
      <c r="CS26" t="s">
        <v>103</v>
      </c>
      <c r="CU26" t="s">
        <v>225</v>
      </c>
    </row>
    <row r="27" spans="1:99">
      <c r="A27" t="s">
        <v>111</v>
      </c>
      <c r="B27" t="s">
        <v>77</v>
      </c>
      <c r="J27" t="s">
        <v>225</v>
      </c>
      <c r="K27" t="s">
        <v>225</v>
      </c>
      <c r="M27" s="73">
        <v>45376.619444444441</v>
      </c>
      <c r="N27">
        <v>42550890</v>
      </c>
      <c r="O27">
        <v>5</v>
      </c>
      <c r="P27" t="s">
        <v>45</v>
      </c>
      <c r="Q27">
        <v>5</v>
      </c>
      <c r="R27" t="s">
        <v>45</v>
      </c>
      <c r="U27" t="s">
        <v>226</v>
      </c>
      <c r="V27" t="s">
        <v>285</v>
      </c>
      <c r="W27" t="s">
        <v>237</v>
      </c>
      <c r="X27" t="s">
        <v>229</v>
      </c>
      <c r="Y27" t="s">
        <v>111</v>
      </c>
      <c r="AD27" t="s">
        <v>45</v>
      </c>
      <c r="AE27">
        <v>5</v>
      </c>
      <c r="AF27">
        <v>42550890</v>
      </c>
      <c r="AG27" s="73">
        <v>45376.619444444441</v>
      </c>
      <c r="AH27" t="s">
        <v>226</v>
      </c>
      <c r="AI27" t="s">
        <v>285</v>
      </c>
      <c r="AJ27" t="s">
        <v>237</v>
      </c>
      <c r="AK27" t="s">
        <v>229</v>
      </c>
      <c r="AL27" t="s">
        <v>111</v>
      </c>
      <c r="AP27" t="s">
        <v>230</v>
      </c>
      <c r="AQ27" t="s">
        <v>231</v>
      </c>
      <c r="AT27" t="s">
        <v>232</v>
      </c>
      <c r="AU27">
        <v>-99</v>
      </c>
      <c r="AV27" t="s">
        <v>45</v>
      </c>
      <c r="AW27">
        <v>5</v>
      </c>
      <c r="AX27">
        <v>42550890</v>
      </c>
      <c r="AY27" s="73">
        <v>45376.619444444441</v>
      </c>
      <c r="AZ27" t="s">
        <v>226</v>
      </c>
      <c r="BA27" t="s">
        <v>285</v>
      </c>
      <c r="BB27" t="s">
        <v>237</v>
      </c>
      <c r="BC27" t="s">
        <v>229</v>
      </c>
      <c r="BD27" t="s">
        <v>111</v>
      </c>
      <c r="BI27" t="s">
        <v>233</v>
      </c>
      <c r="BJ27" t="s">
        <v>0</v>
      </c>
      <c r="BK27">
        <v>42550877</v>
      </c>
      <c r="BN27" t="s">
        <v>45</v>
      </c>
      <c r="BO27">
        <v>42550885</v>
      </c>
      <c r="BR27">
        <v>5</v>
      </c>
      <c r="BS27">
        <v>42550890</v>
      </c>
      <c r="BT27" s="73">
        <v>45376.619444444441</v>
      </c>
      <c r="BU27" t="s">
        <v>226</v>
      </c>
      <c r="BV27" t="s">
        <v>285</v>
      </c>
      <c r="BW27" t="s">
        <v>237</v>
      </c>
      <c r="CH27" t="s">
        <v>229</v>
      </c>
      <c r="CI27" t="s">
        <v>111</v>
      </c>
      <c r="CJ27" t="s">
        <v>226</v>
      </c>
      <c r="CK27" t="s">
        <v>285</v>
      </c>
      <c r="CL27" t="s">
        <v>237</v>
      </c>
      <c r="CM27" t="s">
        <v>236</v>
      </c>
      <c r="CN27" t="s">
        <v>45</v>
      </c>
      <c r="CO27">
        <v>5</v>
      </c>
      <c r="CP27">
        <v>42550890</v>
      </c>
      <c r="CQ27" s="73">
        <v>45376.619444444441</v>
      </c>
      <c r="CR27" t="s">
        <v>229</v>
      </c>
      <c r="CS27" t="s">
        <v>111</v>
      </c>
      <c r="CU27" t="s">
        <v>225</v>
      </c>
    </row>
    <row r="28" spans="1:99">
      <c r="A28" t="s">
        <v>46</v>
      </c>
      <c r="B28" t="s">
        <v>92</v>
      </c>
      <c r="J28" t="s">
        <v>225</v>
      </c>
      <c r="K28" t="s">
        <v>225</v>
      </c>
      <c r="M28" s="73">
        <v>45376.619444444441</v>
      </c>
      <c r="N28">
        <v>42549517</v>
      </c>
      <c r="O28">
        <v>-602</v>
      </c>
      <c r="P28" t="s">
        <v>45</v>
      </c>
      <c r="Q28">
        <v>-602</v>
      </c>
      <c r="R28" t="s">
        <v>45</v>
      </c>
      <c r="U28" t="s">
        <v>226</v>
      </c>
      <c r="V28" t="s">
        <v>286</v>
      </c>
      <c r="W28" t="s">
        <v>228</v>
      </c>
      <c r="X28" t="s">
        <v>229</v>
      </c>
      <c r="Y28" t="s">
        <v>46</v>
      </c>
      <c r="AD28" t="s">
        <v>45</v>
      </c>
      <c r="AE28">
        <v>-602</v>
      </c>
      <c r="AF28">
        <v>42549517</v>
      </c>
      <c r="AG28" s="73">
        <v>45376.619444444441</v>
      </c>
      <c r="AH28" t="s">
        <v>226</v>
      </c>
      <c r="AI28" t="s">
        <v>286</v>
      </c>
      <c r="AJ28" t="s">
        <v>228</v>
      </c>
      <c r="AK28" t="s">
        <v>229</v>
      </c>
      <c r="AL28" t="s">
        <v>46</v>
      </c>
      <c r="AP28" t="s">
        <v>230</v>
      </c>
      <c r="AQ28" t="s">
        <v>231</v>
      </c>
      <c r="AT28" t="s">
        <v>232</v>
      </c>
      <c r="AU28">
        <v>-99</v>
      </c>
      <c r="AV28" t="s">
        <v>45</v>
      </c>
      <c r="AW28">
        <v>-602</v>
      </c>
      <c r="AX28">
        <v>42549517</v>
      </c>
      <c r="AY28" s="73">
        <v>45376.619444444441</v>
      </c>
      <c r="AZ28" t="s">
        <v>226</v>
      </c>
      <c r="BA28" t="s">
        <v>286</v>
      </c>
      <c r="BB28" t="s">
        <v>228</v>
      </c>
      <c r="BC28" t="s">
        <v>229</v>
      </c>
      <c r="BD28" t="s">
        <v>46</v>
      </c>
      <c r="BI28" t="s">
        <v>233</v>
      </c>
      <c r="BJ28" t="s">
        <v>0</v>
      </c>
      <c r="BK28">
        <v>42549489</v>
      </c>
      <c r="BN28" t="s">
        <v>45</v>
      </c>
      <c r="BR28">
        <v>-602</v>
      </c>
      <c r="BS28">
        <v>42549517</v>
      </c>
      <c r="BT28" s="73">
        <v>45376.619444444441</v>
      </c>
      <c r="BU28" t="s">
        <v>226</v>
      </c>
      <c r="BV28" t="s">
        <v>286</v>
      </c>
      <c r="BW28" t="s">
        <v>228</v>
      </c>
      <c r="CH28" t="s">
        <v>229</v>
      </c>
      <c r="CI28" t="s">
        <v>46</v>
      </c>
      <c r="CJ28" t="s">
        <v>226</v>
      </c>
      <c r="CK28" t="s">
        <v>286</v>
      </c>
      <c r="CL28" t="s">
        <v>228</v>
      </c>
      <c r="CM28" t="s">
        <v>234</v>
      </c>
      <c r="CN28" t="s">
        <v>45</v>
      </c>
      <c r="CO28">
        <v>-602</v>
      </c>
      <c r="CP28">
        <v>42549517</v>
      </c>
      <c r="CQ28" s="73">
        <v>45376.619444444441</v>
      </c>
      <c r="CR28" t="s">
        <v>229</v>
      </c>
      <c r="CS28" t="s">
        <v>46</v>
      </c>
      <c r="CU28" t="s">
        <v>225</v>
      </c>
    </row>
    <row r="29" spans="1:99">
      <c r="A29" t="s">
        <v>93</v>
      </c>
      <c r="B29" t="s">
        <v>98</v>
      </c>
      <c r="J29" t="s">
        <v>225</v>
      </c>
      <c r="K29" t="s">
        <v>225</v>
      </c>
      <c r="M29" s="73">
        <v>45376.619444444441</v>
      </c>
      <c r="N29">
        <v>42549516</v>
      </c>
      <c r="O29">
        <v>-30</v>
      </c>
      <c r="P29" t="s">
        <v>73</v>
      </c>
      <c r="Q29">
        <v>-30</v>
      </c>
      <c r="R29" t="s">
        <v>73</v>
      </c>
      <c r="U29" t="s">
        <v>226</v>
      </c>
      <c r="V29" t="s">
        <v>286</v>
      </c>
      <c r="W29" t="s">
        <v>228</v>
      </c>
      <c r="X29" t="s">
        <v>229</v>
      </c>
      <c r="Y29" t="s">
        <v>93</v>
      </c>
      <c r="AD29" t="s">
        <v>73</v>
      </c>
      <c r="AE29">
        <v>-30</v>
      </c>
      <c r="AF29">
        <v>42549516</v>
      </c>
      <c r="AG29" s="73">
        <v>45376.619444444441</v>
      </c>
      <c r="AH29" t="s">
        <v>226</v>
      </c>
      <c r="AI29" t="s">
        <v>286</v>
      </c>
      <c r="AJ29" t="s">
        <v>228</v>
      </c>
      <c r="AK29" t="s">
        <v>229</v>
      </c>
      <c r="AL29" t="s">
        <v>93</v>
      </c>
      <c r="AP29" t="s">
        <v>230</v>
      </c>
      <c r="AQ29" t="s">
        <v>231</v>
      </c>
      <c r="AT29" t="s">
        <v>232</v>
      </c>
      <c r="AU29">
        <v>-99</v>
      </c>
      <c r="AV29" t="s">
        <v>73</v>
      </c>
      <c r="AW29">
        <v>-30</v>
      </c>
      <c r="AX29">
        <v>42549516</v>
      </c>
      <c r="AY29" s="73">
        <v>45376.619444444441</v>
      </c>
      <c r="AZ29" t="s">
        <v>226</v>
      </c>
      <c r="BA29" t="s">
        <v>286</v>
      </c>
      <c r="BB29" t="s">
        <v>228</v>
      </c>
      <c r="BC29" t="s">
        <v>229</v>
      </c>
      <c r="BD29" t="s">
        <v>93</v>
      </c>
      <c r="BI29" t="s">
        <v>233</v>
      </c>
      <c r="BJ29" t="s">
        <v>0</v>
      </c>
      <c r="BK29">
        <v>42549489</v>
      </c>
      <c r="BN29" t="s">
        <v>73</v>
      </c>
      <c r="BR29">
        <v>-30</v>
      </c>
      <c r="BS29">
        <v>42549516</v>
      </c>
      <c r="BT29" s="73">
        <v>45376.619444444441</v>
      </c>
      <c r="BU29" t="s">
        <v>226</v>
      </c>
      <c r="BV29" t="s">
        <v>286</v>
      </c>
      <c r="BW29" t="s">
        <v>228</v>
      </c>
      <c r="CH29" t="s">
        <v>229</v>
      </c>
      <c r="CI29" t="s">
        <v>93</v>
      </c>
      <c r="CJ29" t="s">
        <v>226</v>
      </c>
      <c r="CK29" t="s">
        <v>286</v>
      </c>
      <c r="CL29" t="s">
        <v>228</v>
      </c>
      <c r="CM29" t="s">
        <v>234</v>
      </c>
      <c r="CN29" t="s">
        <v>73</v>
      </c>
      <c r="CO29">
        <v>-30</v>
      </c>
      <c r="CP29">
        <v>42549516</v>
      </c>
      <c r="CQ29" s="73">
        <v>45376.619444444441</v>
      </c>
      <c r="CR29" t="s">
        <v>229</v>
      </c>
      <c r="CS29" t="s">
        <v>93</v>
      </c>
      <c r="CU29" t="s">
        <v>225</v>
      </c>
    </row>
    <row r="30" spans="1:99">
      <c r="A30" t="s">
        <v>108</v>
      </c>
      <c r="B30" t="s">
        <v>98</v>
      </c>
      <c r="J30" t="s">
        <v>225</v>
      </c>
      <c r="K30" t="s">
        <v>225</v>
      </c>
      <c r="M30" s="73">
        <v>45376.619444444441</v>
      </c>
      <c r="N30">
        <v>42549515</v>
      </c>
      <c r="O30">
        <v>600</v>
      </c>
      <c r="P30" t="s">
        <v>104</v>
      </c>
      <c r="Q30">
        <v>600</v>
      </c>
      <c r="R30" t="s">
        <v>104</v>
      </c>
      <c r="S30">
        <v>30</v>
      </c>
      <c r="T30" t="s">
        <v>73</v>
      </c>
      <c r="U30" t="s">
        <v>226</v>
      </c>
      <c r="V30" t="s">
        <v>286</v>
      </c>
      <c r="W30" t="s">
        <v>235</v>
      </c>
      <c r="X30" t="s">
        <v>229</v>
      </c>
      <c r="Y30" t="s">
        <v>108</v>
      </c>
      <c r="AD30" t="s">
        <v>104</v>
      </c>
      <c r="AE30">
        <v>600</v>
      </c>
      <c r="AF30">
        <v>42549515</v>
      </c>
      <c r="AG30" s="73">
        <v>45376.619444444441</v>
      </c>
      <c r="AH30" t="s">
        <v>226</v>
      </c>
      <c r="AI30" t="s">
        <v>286</v>
      </c>
      <c r="AJ30" t="s">
        <v>235</v>
      </c>
      <c r="AK30" t="s">
        <v>229</v>
      </c>
      <c r="AL30" t="s">
        <v>108</v>
      </c>
      <c r="AP30" t="s">
        <v>230</v>
      </c>
      <c r="AQ30" t="s">
        <v>231</v>
      </c>
      <c r="AT30" t="s">
        <v>232</v>
      </c>
      <c r="AU30">
        <v>-99</v>
      </c>
      <c r="AV30" t="s">
        <v>104</v>
      </c>
      <c r="AW30">
        <v>600</v>
      </c>
      <c r="AX30">
        <v>42549515</v>
      </c>
      <c r="AY30" s="73">
        <v>45376.619444444441</v>
      </c>
      <c r="AZ30" t="s">
        <v>226</v>
      </c>
      <c r="BA30" t="s">
        <v>286</v>
      </c>
      <c r="BB30" t="s">
        <v>235</v>
      </c>
      <c r="BC30" t="s">
        <v>229</v>
      </c>
      <c r="BD30" t="s">
        <v>108</v>
      </c>
      <c r="BI30" t="s">
        <v>233</v>
      </c>
      <c r="BJ30" t="s">
        <v>0</v>
      </c>
      <c r="BK30">
        <v>42549489</v>
      </c>
      <c r="BN30" t="s">
        <v>104</v>
      </c>
      <c r="BO30">
        <v>42549507</v>
      </c>
      <c r="BR30">
        <v>600</v>
      </c>
      <c r="BS30">
        <v>42549515</v>
      </c>
      <c r="BT30" s="73">
        <v>45376.619444444441</v>
      </c>
      <c r="BU30" t="s">
        <v>226</v>
      </c>
      <c r="BV30" t="s">
        <v>286</v>
      </c>
      <c r="BW30" t="s">
        <v>235</v>
      </c>
      <c r="CH30" t="s">
        <v>229</v>
      </c>
      <c r="CI30" t="s">
        <v>108</v>
      </c>
      <c r="CJ30" t="s">
        <v>226</v>
      </c>
      <c r="CK30" t="s">
        <v>286</v>
      </c>
      <c r="CL30" t="s">
        <v>235</v>
      </c>
      <c r="CM30" t="s">
        <v>236</v>
      </c>
      <c r="CN30" t="s">
        <v>104</v>
      </c>
      <c r="CO30">
        <v>600</v>
      </c>
      <c r="CP30">
        <v>42549515</v>
      </c>
      <c r="CQ30" s="73">
        <v>45376.619444444441</v>
      </c>
      <c r="CR30" t="s">
        <v>229</v>
      </c>
      <c r="CS30" t="s">
        <v>108</v>
      </c>
      <c r="CU30" t="s">
        <v>225</v>
      </c>
    </row>
    <row r="31" spans="1:99">
      <c r="A31" t="s">
        <v>111</v>
      </c>
      <c r="B31" t="s">
        <v>77</v>
      </c>
      <c r="J31" t="s">
        <v>225</v>
      </c>
      <c r="K31" t="s">
        <v>225</v>
      </c>
      <c r="M31" s="73">
        <v>45376.619444444441</v>
      </c>
      <c r="N31">
        <v>42549514</v>
      </c>
      <c r="O31">
        <v>2</v>
      </c>
      <c r="P31" t="s">
        <v>45</v>
      </c>
      <c r="Q31">
        <v>2</v>
      </c>
      <c r="R31" t="s">
        <v>45</v>
      </c>
      <c r="U31" t="s">
        <v>226</v>
      </c>
      <c r="V31" t="s">
        <v>286</v>
      </c>
      <c r="W31" t="s">
        <v>237</v>
      </c>
      <c r="X31" t="s">
        <v>229</v>
      </c>
      <c r="Y31" t="s">
        <v>111</v>
      </c>
      <c r="AD31" t="s">
        <v>45</v>
      </c>
      <c r="AE31">
        <v>2</v>
      </c>
      <c r="AF31">
        <v>42549514</v>
      </c>
      <c r="AG31" s="73">
        <v>45376.619444444441</v>
      </c>
      <c r="AH31" t="s">
        <v>226</v>
      </c>
      <c r="AI31" t="s">
        <v>286</v>
      </c>
      <c r="AJ31" t="s">
        <v>237</v>
      </c>
      <c r="AK31" t="s">
        <v>229</v>
      </c>
      <c r="AL31" t="s">
        <v>111</v>
      </c>
      <c r="AP31" t="s">
        <v>230</v>
      </c>
      <c r="AQ31" t="s">
        <v>231</v>
      </c>
      <c r="AT31" t="s">
        <v>232</v>
      </c>
      <c r="AU31">
        <v>-99</v>
      </c>
      <c r="AV31" t="s">
        <v>45</v>
      </c>
      <c r="AW31">
        <v>2</v>
      </c>
      <c r="AX31">
        <v>42549514</v>
      </c>
      <c r="AY31" s="73">
        <v>45376.619444444441</v>
      </c>
      <c r="AZ31" t="s">
        <v>226</v>
      </c>
      <c r="BA31" t="s">
        <v>286</v>
      </c>
      <c r="BB31" t="s">
        <v>237</v>
      </c>
      <c r="BC31" t="s">
        <v>229</v>
      </c>
      <c r="BD31" t="s">
        <v>111</v>
      </c>
      <c r="BI31" t="s">
        <v>233</v>
      </c>
      <c r="BJ31" t="s">
        <v>0</v>
      </c>
      <c r="BK31">
        <v>42549489</v>
      </c>
      <c r="BN31" t="s">
        <v>45</v>
      </c>
      <c r="BO31">
        <v>42549509</v>
      </c>
      <c r="BR31">
        <v>2</v>
      </c>
      <c r="BS31">
        <v>42549514</v>
      </c>
      <c r="BT31" s="73">
        <v>45376.619444444441</v>
      </c>
      <c r="BU31" t="s">
        <v>226</v>
      </c>
      <c r="BV31" t="s">
        <v>286</v>
      </c>
      <c r="BW31" t="s">
        <v>237</v>
      </c>
      <c r="CH31" t="s">
        <v>229</v>
      </c>
      <c r="CI31" t="s">
        <v>111</v>
      </c>
      <c r="CJ31" t="s">
        <v>226</v>
      </c>
      <c r="CK31" t="s">
        <v>286</v>
      </c>
      <c r="CL31" t="s">
        <v>237</v>
      </c>
      <c r="CM31" t="s">
        <v>236</v>
      </c>
      <c r="CN31" t="s">
        <v>45</v>
      </c>
      <c r="CO31">
        <v>2</v>
      </c>
      <c r="CP31">
        <v>42549514</v>
      </c>
      <c r="CQ31" s="73">
        <v>45376.619444444441</v>
      </c>
      <c r="CR31" t="s">
        <v>229</v>
      </c>
      <c r="CS31" t="s">
        <v>111</v>
      </c>
      <c r="CU31" t="s">
        <v>225</v>
      </c>
    </row>
    <row r="32" spans="1:99">
      <c r="A32" t="s">
        <v>42</v>
      </c>
      <c r="B32" t="s">
        <v>92</v>
      </c>
      <c r="J32" t="s">
        <v>225</v>
      </c>
      <c r="K32" t="s">
        <v>225</v>
      </c>
      <c r="M32" s="73">
        <v>45376.618055555555</v>
      </c>
      <c r="N32">
        <v>42550911</v>
      </c>
      <c r="O32">
        <v>-4764</v>
      </c>
      <c r="P32" t="s">
        <v>45</v>
      </c>
      <c r="Q32">
        <v>-4764</v>
      </c>
      <c r="R32" t="s">
        <v>45</v>
      </c>
      <c r="U32" t="s">
        <v>226</v>
      </c>
      <c r="V32" t="s">
        <v>287</v>
      </c>
      <c r="W32" t="s">
        <v>228</v>
      </c>
      <c r="X32" t="s">
        <v>229</v>
      </c>
      <c r="Y32" t="s">
        <v>42</v>
      </c>
      <c r="AD32" t="s">
        <v>45</v>
      </c>
      <c r="AE32">
        <v>-4764</v>
      </c>
      <c r="AF32">
        <v>42550911</v>
      </c>
      <c r="AG32" s="73">
        <v>45376.618055555555</v>
      </c>
      <c r="AH32" t="s">
        <v>226</v>
      </c>
      <c r="AI32" t="s">
        <v>287</v>
      </c>
      <c r="AJ32" t="s">
        <v>228</v>
      </c>
      <c r="AK32" t="s">
        <v>229</v>
      </c>
      <c r="AL32" t="s">
        <v>42</v>
      </c>
      <c r="AP32" t="s">
        <v>230</v>
      </c>
      <c r="AQ32" t="s">
        <v>231</v>
      </c>
      <c r="AT32" t="s">
        <v>232</v>
      </c>
      <c r="AU32">
        <v>-99</v>
      </c>
      <c r="AV32" t="s">
        <v>45</v>
      </c>
      <c r="AW32">
        <v>-4764</v>
      </c>
      <c r="AX32">
        <v>42550911</v>
      </c>
      <c r="AY32" s="73">
        <v>45376.618055555555</v>
      </c>
      <c r="AZ32" t="s">
        <v>226</v>
      </c>
      <c r="BA32" t="s">
        <v>287</v>
      </c>
      <c r="BB32" t="s">
        <v>228</v>
      </c>
      <c r="BC32" t="s">
        <v>229</v>
      </c>
      <c r="BD32" t="s">
        <v>42</v>
      </c>
      <c r="BI32" t="s">
        <v>233</v>
      </c>
      <c r="BJ32" t="s">
        <v>0</v>
      </c>
      <c r="BK32">
        <v>42550895</v>
      </c>
      <c r="BN32" t="s">
        <v>45</v>
      </c>
      <c r="BR32">
        <v>-4764</v>
      </c>
      <c r="BS32">
        <v>42550911</v>
      </c>
      <c r="BT32" s="73">
        <v>45376.618055555555</v>
      </c>
      <c r="BU32" t="s">
        <v>226</v>
      </c>
      <c r="BV32" t="s">
        <v>287</v>
      </c>
      <c r="BW32" t="s">
        <v>228</v>
      </c>
      <c r="CH32" t="s">
        <v>229</v>
      </c>
      <c r="CI32" t="s">
        <v>42</v>
      </c>
      <c r="CJ32" t="s">
        <v>226</v>
      </c>
      <c r="CK32" t="s">
        <v>287</v>
      </c>
      <c r="CL32" t="s">
        <v>228</v>
      </c>
      <c r="CM32" t="s">
        <v>234</v>
      </c>
      <c r="CN32" t="s">
        <v>45</v>
      </c>
      <c r="CO32">
        <v>-4764</v>
      </c>
      <c r="CP32">
        <v>42550911</v>
      </c>
      <c r="CQ32" s="73">
        <v>45376.618055555555</v>
      </c>
      <c r="CR32" t="s">
        <v>229</v>
      </c>
      <c r="CS32" t="s">
        <v>42</v>
      </c>
      <c r="CU32" t="s">
        <v>225</v>
      </c>
    </row>
    <row r="33" spans="1:99">
      <c r="A33" t="s">
        <v>99</v>
      </c>
      <c r="B33" t="s">
        <v>98</v>
      </c>
      <c r="J33" t="s">
        <v>225</v>
      </c>
      <c r="K33" t="s">
        <v>225</v>
      </c>
      <c r="M33" s="73">
        <v>45376.618055555555</v>
      </c>
      <c r="N33">
        <v>42550910</v>
      </c>
      <c r="O33">
        <v>-238</v>
      </c>
      <c r="P33" t="s">
        <v>73</v>
      </c>
      <c r="Q33">
        <v>-238</v>
      </c>
      <c r="R33" t="s">
        <v>73</v>
      </c>
      <c r="U33" t="s">
        <v>226</v>
      </c>
      <c r="V33" t="s">
        <v>287</v>
      </c>
      <c r="W33" t="s">
        <v>228</v>
      </c>
      <c r="X33" t="s">
        <v>229</v>
      </c>
      <c r="Y33" t="s">
        <v>99</v>
      </c>
      <c r="AD33" t="s">
        <v>73</v>
      </c>
      <c r="AE33">
        <v>-238</v>
      </c>
      <c r="AF33">
        <v>42550910</v>
      </c>
      <c r="AG33" s="73">
        <v>45376.618055555555</v>
      </c>
      <c r="AH33" t="s">
        <v>226</v>
      </c>
      <c r="AI33" t="s">
        <v>287</v>
      </c>
      <c r="AJ33" t="s">
        <v>228</v>
      </c>
      <c r="AK33" t="s">
        <v>229</v>
      </c>
      <c r="AL33" t="s">
        <v>99</v>
      </c>
      <c r="AP33" t="s">
        <v>230</v>
      </c>
      <c r="AQ33" t="s">
        <v>231</v>
      </c>
      <c r="AT33" t="s">
        <v>232</v>
      </c>
      <c r="AU33">
        <v>-99</v>
      </c>
      <c r="AV33" t="s">
        <v>73</v>
      </c>
      <c r="AW33">
        <v>-238</v>
      </c>
      <c r="AX33">
        <v>42550910</v>
      </c>
      <c r="AY33" s="73">
        <v>45376.618055555555</v>
      </c>
      <c r="AZ33" t="s">
        <v>226</v>
      </c>
      <c r="BA33" t="s">
        <v>287</v>
      </c>
      <c r="BB33" t="s">
        <v>228</v>
      </c>
      <c r="BC33" t="s">
        <v>229</v>
      </c>
      <c r="BD33" t="s">
        <v>99</v>
      </c>
      <c r="BI33" t="s">
        <v>233</v>
      </c>
      <c r="BJ33" t="s">
        <v>0</v>
      </c>
      <c r="BK33">
        <v>42550895</v>
      </c>
      <c r="BN33" t="s">
        <v>73</v>
      </c>
      <c r="BR33">
        <v>-238</v>
      </c>
      <c r="BS33">
        <v>42550910</v>
      </c>
      <c r="BT33" s="73">
        <v>45376.618055555555</v>
      </c>
      <c r="BU33" t="s">
        <v>226</v>
      </c>
      <c r="BV33" t="s">
        <v>287</v>
      </c>
      <c r="BW33" t="s">
        <v>228</v>
      </c>
      <c r="CH33" t="s">
        <v>229</v>
      </c>
      <c r="CI33" t="s">
        <v>99</v>
      </c>
      <c r="CJ33" t="s">
        <v>226</v>
      </c>
      <c r="CK33" t="s">
        <v>287</v>
      </c>
      <c r="CL33" t="s">
        <v>228</v>
      </c>
      <c r="CM33" t="s">
        <v>234</v>
      </c>
      <c r="CN33" t="s">
        <v>73</v>
      </c>
      <c r="CO33">
        <v>-238</v>
      </c>
      <c r="CP33">
        <v>42550910</v>
      </c>
      <c r="CQ33" s="73">
        <v>45376.618055555555</v>
      </c>
      <c r="CR33" t="s">
        <v>229</v>
      </c>
      <c r="CS33" t="s">
        <v>99</v>
      </c>
      <c r="CU33" t="s">
        <v>225</v>
      </c>
    </row>
    <row r="34" spans="1:99">
      <c r="A34" t="s">
        <v>103</v>
      </c>
      <c r="B34" t="s">
        <v>98</v>
      </c>
      <c r="J34" t="s">
        <v>225</v>
      </c>
      <c r="K34" t="s">
        <v>225</v>
      </c>
      <c r="M34" s="73">
        <v>45376.618055555555</v>
      </c>
      <c r="N34">
        <v>42550909</v>
      </c>
      <c r="O34">
        <v>4760</v>
      </c>
      <c r="P34" t="s">
        <v>104</v>
      </c>
      <c r="Q34">
        <v>4760</v>
      </c>
      <c r="R34" t="s">
        <v>104</v>
      </c>
      <c r="S34">
        <v>238</v>
      </c>
      <c r="T34" t="s">
        <v>73</v>
      </c>
      <c r="U34" t="s">
        <v>226</v>
      </c>
      <c r="V34" t="s">
        <v>287</v>
      </c>
      <c r="W34" t="s">
        <v>235</v>
      </c>
      <c r="X34" t="s">
        <v>229</v>
      </c>
      <c r="Y34" t="s">
        <v>103</v>
      </c>
      <c r="AD34" t="s">
        <v>104</v>
      </c>
      <c r="AE34">
        <v>4760</v>
      </c>
      <c r="AF34">
        <v>42550909</v>
      </c>
      <c r="AG34" s="73">
        <v>45376.618055555555</v>
      </c>
      <c r="AH34" t="s">
        <v>226</v>
      </c>
      <c r="AI34" t="s">
        <v>287</v>
      </c>
      <c r="AJ34" t="s">
        <v>235</v>
      </c>
      <c r="AK34" t="s">
        <v>229</v>
      </c>
      <c r="AL34" t="s">
        <v>103</v>
      </c>
      <c r="AP34" t="s">
        <v>230</v>
      </c>
      <c r="AQ34" t="s">
        <v>231</v>
      </c>
      <c r="AT34" t="s">
        <v>232</v>
      </c>
      <c r="AU34">
        <v>-99</v>
      </c>
      <c r="AV34" t="s">
        <v>104</v>
      </c>
      <c r="AW34">
        <v>4760</v>
      </c>
      <c r="AX34">
        <v>42550909</v>
      </c>
      <c r="AY34" s="73">
        <v>45376.618055555555</v>
      </c>
      <c r="AZ34" t="s">
        <v>226</v>
      </c>
      <c r="BA34" t="s">
        <v>287</v>
      </c>
      <c r="BB34" t="s">
        <v>235</v>
      </c>
      <c r="BC34" t="s">
        <v>229</v>
      </c>
      <c r="BD34" t="s">
        <v>103</v>
      </c>
      <c r="BI34" t="s">
        <v>233</v>
      </c>
      <c r="BJ34" t="s">
        <v>0</v>
      </c>
      <c r="BK34">
        <v>42550895</v>
      </c>
      <c r="BN34" t="s">
        <v>104</v>
      </c>
      <c r="BO34">
        <v>42550901</v>
      </c>
      <c r="BR34">
        <v>4760</v>
      </c>
      <c r="BS34">
        <v>42550909</v>
      </c>
      <c r="BT34" s="73">
        <v>45376.618055555555</v>
      </c>
      <c r="BU34" t="s">
        <v>226</v>
      </c>
      <c r="BV34" t="s">
        <v>287</v>
      </c>
      <c r="BW34" t="s">
        <v>235</v>
      </c>
      <c r="CH34" t="s">
        <v>229</v>
      </c>
      <c r="CI34" t="s">
        <v>103</v>
      </c>
      <c r="CJ34" t="s">
        <v>226</v>
      </c>
      <c r="CK34" t="s">
        <v>287</v>
      </c>
      <c r="CL34" t="s">
        <v>235</v>
      </c>
      <c r="CM34" t="s">
        <v>236</v>
      </c>
      <c r="CN34" t="s">
        <v>104</v>
      </c>
      <c r="CO34">
        <v>4760</v>
      </c>
      <c r="CP34">
        <v>42550909</v>
      </c>
      <c r="CQ34" s="73">
        <v>45376.618055555555</v>
      </c>
      <c r="CR34" t="s">
        <v>229</v>
      </c>
      <c r="CS34" t="s">
        <v>103</v>
      </c>
      <c r="CU34" t="s">
        <v>225</v>
      </c>
    </row>
    <row r="35" spans="1:99">
      <c r="A35" t="s">
        <v>111</v>
      </c>
      <c r="B35" t="s">
        <v>77</v>
      </c>
      <c r="J35" t="s">
        <v>225</v>
      </c>
      <c r="K35" t="s">
        <v>225</v>
      </c>
      <c r="M35" s="73">
        <v>45376.618055555555</v>
      </c>
      <c r="N35">
        <v>42550908</v>
      </c>
      <c r="O35">
        <v>4</v>
      </c>
      <c r="P35" t="s">
        <v>45</v>
      </c>
      <c r="Q35">
        <v>4</v>
      </c>
      <c r="R35" t="s">
        <v>45</v>
      </c>
      <c r="U35" t="s">
        <v>226</v>
      </c>
      <c r="V35" t="s">
        <v>287</v>
      </c>
      <c r="W35" t="s">
        <v>237</v>
      </c>
      <c r="X35" t="s">
        <v>229</v>
      </c>
      <c r="Y35" t="s">
        <v>111</v>
      </c>
      <c r="AD35" t="s">
        <v>45</v>
      </c>
      <c r="AE35">
        <v>4</v>
      </c>
      <c r="AF35">
        <v>42550908</v>
      </c>
      <c r="AG35" s="73">
        <v>45376.618055555555</v>
      </c>
      <c r="AH35" t="s">
        <v>226</v>
      </c>
      <c r="AI35" t="s">
        <v>287</v>
      </c>
      <c r="AJ35" t="s">
        <v>237</v>
      </c>
      <c r="AK35" t="s">
        <v>229</v>
      </c>
      <c r="AL35" t="s">
        <v>111</v>
      </c>
      <c r="AP35" t="s">
        <v>230</v>
      </c>
      <c r="AQ35" t="s">
        <v>231</v>
      </c>
      <c r="AT35" t="s">
        <v>232</v>
      </c>
      <c r="AU35">
        <v>-99</v>
      </c>
      <c r="AV35" t="s">
        <v>45</v>
      </c>
      <c r="AW35">
        <v>4</v>
      </c>
      <c r="AX35">
        <v>42550908</v>
      </c>
      <c r="AY35" s="73">
        <v>45376.618055555555</v>
      </c>
      <c r="AZ35" t="s">
        <v>226</v>
      </c>
      <c r="BA35" t="s">
        <v>287</v>
      </c>
      <c r="BB35" t="s">
        <v>237</v>
      </c>
      <c r="BC35" t="s">
        <v>229</v>
      </c>
      <c r="BD35" t="s">
        <v>111</v>
      </c>
      <c r="BI35" t="s">
        <v>233</v>
      </c>
      <c r="BJ35" t="s">
        <v>0</v>
      </c>
      <c r="BK35">
        <v>42550895</v>
      </c>
      <c r="BN35" t="s">
        <v>45</v>
      </c>
      <c r="BO35">
        <v>42550903</v>
      </c>
      <c r="BR35">
        <v>4</v>
      </c>
      <c r="BS35">
        <v>42550908</v>
      </c>
      <c r="BT35" s="73">
        <v>45376.618055555555</v>
      </c>
      <c r="BU35" t="s">
        <v>226</v>
      </c>
      <c r="BV35" t="s">
        <v>287</v>
      </c>
      <c r="BW35" t="s">
        <v>237</v>
      </c>
      <c r="CH35" t="s">
        <v>229</v>
      </c>
      <c r="CI35" t="s">
        <v>111</v>
      </c>
      <c r="CJ35" t="s">
        <v>226</v>
      </c>
      <c r="CK35" t="s">
        <v>287</v>
      </c>
      <c r="CL35" t="s">
        <v>237</v>
      </c>
      <c r="CM35" t="s">
        <v>236</v>
      </c>
      <c r="CN35" t="s">
        <v>45</v>
      </c>
      <c r="CO35">
        <v>4</v>
      </c>
      <c r="CP35">
        <v>42550908</v>
      </c>
      <c r="CQ35" s="73">
        <v>45376.618055555555</v>
      </c>
      <c r="CR35" t="s">
        <v>229</v>
      </c>
      <c r="CS35" t="s">
        <v>111</v>
      </c>
      <c r="CU35" t="s">
        <v>225</v>
      </c>
    </row>
    <row r="36" spans="1:99">
      <c r="A36" t="s">
        <v>52</v>
      </c>
      <c r="B36" t="s">
        <v>92</v>
      </c>
      <c r="J36" t="s">
        <v>225</v>
      </c>
      <c r="K36" t="s">
        <v>225</v>
      </c>
      <c r="M36" s="73">
        <v>45376.607638888891</v>
      </c>
      <c r="N36">
        <v>42550775</v>
      </c>
      <c r="O36">
        <v>-1050</v>
      </c>
      <c r="P36" t="s">
        <v>45</v>
      </c>
      <c r="Q36">
        <v>-1050</v>
      </c>
      <c r="R36" t="s">
        <v>45</v>
      </c>
      <c r="U36" t="s">
        <v>226</v>
      </c>
      <c r="V36" t="s">
        <v>288</v>
      </c>
      <c r="W36" t="s">
        <v>228</v>
      </c>
      <c r="X36" t="s">
        <v>229</v>
      </c>
      <c r="Y36" t="s">
        <v>52</v>
      </c>
      <c r="AD36" t="s">
        <v>45</v>
      </c>
      <c r="AE36">
        <v>-1050</v>
      </c>
      <c r="AF36">
        <v>42550775</v>
      </c>
      <c r="AG36" s="73">
        <v>45376.607638888891</v>
      </c>
      <c r="AH36" t="s">
        <v>226</v>
      </c>
      <c r="AI36" t="s">
        <v>288</v>
      </c>
      <c r="AJ36" t="s">
        <v>228</v>
      </c>
      <c r="AK36" t="s">
        <v>229</v>
      </c>
      <c r="AL36" t="s">
        <v>52</v>
      </c>
      <c r="AP36" t="s">
        <v>230</v>
      </c>
      <c r="AQ36" t="s">
        <v>231</v>
      </c>
      <c r="AT36" t="s">
        <v>232</v>
      </c>
      <c r="AU36">
        <v>-99</v>
      </c>
      <c r="AV36" t="s">
        <v>45</v>
      </c>
      <c r="AW36">
        <v>-1050</v>
      </c>
      <c r="AX36">
        <v>42550775</v>
      </c>
      <c r="AY36" s="73">
        <v>45376.607638888891</v>
      </c>
      <c r="AZ36" t="s">
        <v>226</v>
      </c>
      <c r="BA36" t="s">
        <v>288</v>
      </c>
      <c r="BB36" t="s">
        <v>228</v>
      </c>
      <c r="BC36" t="s">
        <v>229</v>
      </c>
      <c r="BD36" t="s">
        <v>52</v>
      </c>
      <c r="BI36" t="s">
        <v>233</v>
      </c>
      <c r="BJ36" t="s">
        <v>0</v>
      </c>
      <c r="BK36">
        <v>42550741</v>
      </c>
      <c r="BN36" t="s">
        <v>45</v>
      </c>
      <c r="BR36">
        <v>-1050</v>
      </c>
      <c r="BS36">
        <v>42550775</v>
      </c>
      <c r="BT36" s="73">
        <v>45376.607638888891</v>
      </c>
      <c r="BU36" t="s">
        <v>226</v>
      </c>
      <c r="BV36" t="s">
        <v>288</v>
      </c>
      <c r="BW36" t="s">
        <v>228</v>
      </c>
      <c r="CH36" t="s">
        <v>229</v>
      </c>
      <c r="CI36" t="s">
        <v>52</v>
      </c>
      <c r="CJ36" t="s">
        <v>226</v>
      </c>
      <c r="CK36" t="s">
        <v>288</v>
      </c>
      <c r="CL36" t="s">
        <v>228</v>
      </c>
      <c r="CM36" t="s">
        <v>234</v>
      </c>
      <c r="CN36" t="s">
        <v>45</v>
      </c>
      <c r="CO36">
        <v>-1050</v>
      </c>
      <c r="CP36">
        <v>42550775</v>
      </c>
      <c r="CQ36" s="73">
        <v>45376.607638888891</v>
      </c>
      <c r="CR36" t="s">
        <v>229</v>
      </c>
      <c r="CS36" t="s">
        <v>52</v>
      </c>
      <c r="CU36" t="s">
        <v>225</v>
      </c>
    </row>
    <row r="37" spans="1:99">
      <c r="A37" t="s">
        <v>101</v>
      </c>
      <c r="B37" t="s">
        <v>98</v>
      </c>
      <c r="J37" t="s">
        <v>225</v>
      </c>
      <c r="K37" t="s">
        <v>225</v>
      </c>
      <c r="M37" s="73">
        <v>45376.607638888891</v>
      </c>
      <c r="N37">
        <v>42550774</v>
      </c>
      <c r="O37">
        <v>-52.5</v>
      </c>
      <c r="P37" t="s">
        <v>73</v>
      </c>
      <c r="Q37">
        <v>-52.5</v>
      </c>
      <c r="R37" t="s">
        <v>73</v>
      </c>
      <c r="U37" t="s">
        <v>226</v>
      </c>
      <c r="V37" t="s">
        <v>288</v>
      </c>
      <c r="W37" t="s">
        <v>228</v>
      </c>
      <c r="X37" t="s">
        <v>229</v>
      </c>
      <c r="Y37" t="s">
        <v>101</v>
      </c>
      <c r="AD37" t="s">
        <v>73</v>
      </c>
      <c r="AE37">
        <v>-52.5</v>
      </c>
      <c r="AF37">
        <v>42550774</v>
      </c>
      <c r="AG37" s="73">
        <v>45376.607638888891</v>
      </c>
      <c r="AH37" t="s">
        <v>226</v>
      </c>
      <c r="AI37" t="s">
        <v>288</v>
      </c>
      <c r="AJ37" t="s">
        <v>228</v>
      </c>
      <c r="AK37" t="s">
        <v>229</v>
      </c>
      <c r="AL37" t="s">
        <v>101</v>
      </c>
      <c r="AP37" t="s">
        <v>230</v>
      </c>
      <c r="AQ37" t="s">
        <v>231</v>
      </c>
      <c r="AT37" t="s">
        <v>232</v>
      </c>
      <c r="AU37">
        <v>-99</v>
      </c>
      <c r="AV37" t="s">
        <v>73</v>
      </c>
      <c r="AW37">
        <v>-52.5</v>
      </c>
      <c r="AX37">
        <v>42550774</v>
      </c>
      <c r="AY37" s="73">
        <v>45376.607638888891</v>
      </c>
      <c r="AZ37" t="s">
        <v>226</v>
      </c>
      <c r="BA37" t="s">
        <v>288</v>
      </c>
      <c r="BB37" t="s">
        <v>228</v>
      </c>
      <c r="BC37" t="s">
        <v>229</v>
      </c>
      <c r="BD37" t="s">
        <v>101</v>
      </c>
      <c r="BI37" t="s">
        <v>233</v>
      </c>
      <c r="BJ37" t="s">
        <v>0</v>
      </c>
      <c r="BK37">
        <v>42550741</v>
      </c>
      <c r="BN37" t="s">
        <v>73</v>
      </c>
      <c r="BR37">
        <v>-52.5</v>
      </c>
      <c r="BS37">
        <v>42550774</v>
      </c>
      <c r="BT37" s="73">
        <v>45376.607638888891</v>
      </c>
      <c r="BU37" t="s">
        <v>226</v>
      </c>
      <c r="BV37" t="s">
        <v>288</v>
      </c>
      <c r="BW37" t="s">
        <v>228</v>
      </c>
      <c r="CH37" t="s">
        <v>229</v>
      </c>
      <c r="CI37" t="s">
        <v>101</v>
      </c>
      <c r="CJ37" t="s">
        <v>226</v>
      </c>
      <c r="CK37" t="s">
        <v>288</v>
      </c>
      <c r="CL37" t="s">
        <v>228</v>
      </c>
      <c r="CM37" t="s">
        <v>234</v>
      </c>
      <c r="CN37" t="s">
        <v>73</v>
      </c>
      <c r="CO37">
        <v>-52.5</v>
      </c>
      <c r="CP37">
        <v>42550774</v>
      </c>
      <c r="CQ37" s="73">
        <v>45376.607638888891</v>
      </c>
      <c r="CR37" t="s">
        <v>229</v>
      </c>
      <c r="CS37" t="s">
        <v>101</v>
      </c>
      <c r="CU37" t="s">
        <v>225</v>
      </c>
    </row>
    <row r="38" spans="1:99">
      <c r="A38" t="s">
        <v>107</v>
      </c>
      <c r="B38" t="s">
        <v>98</v>
      </c>
      <c r="J38" t="s">
        <v>225</v>
      </c>
      <c r="K38" t="s">
        <v>225</v>
      </c>
      <c r="M38" s="73">
        <v>45376.607638888891</v>
      </c>
      <c r="N38">
        <v>42550773</v>
      </c>
      <c r="O38">
        <v>1050</v>
      </c>
      <c r="P38" t="s">
        <v>104</v>
      </c>
      <c r="Q38">
        <v>1050</v>
      </c>
      <c r="R38" t="s">
        <v>104</v>
      </c>
      <c r="S38">
        <v>52.5</v>
      </c>
      <c r="T38" t="s">
        <v>73</v>
      </c>
      <c r="U38" t="s">
        <v>226</v>
      </c>
      <c r="V38" t="s">
        <v>288</v>
      </c>
      <c r="W38" t="s">
        <v>235</v>
      </c>
      <c r="X38" t="s">
        <v>229</v>
      </c>
      <c r="Y38" t="s">
        <v>107</v>
      </c>
      <c r="AD38" t="s">
        <v>104</v>
      </c>
      <c r="AE38">
        <v>1050</v>
      </c>
      <c r="AF38">
        <v>42550773</v>
      </c>
      <c r="AG38" s="73">
        <v>45376.607638888891</v>
      </c>
      <c r="AH38" t="s">
        <v>226</v>
      </c>
      <c r="AI38" t="s">
        <v>288</v>
      </c>
      <c r="AJ38" t="s">
        <v>235</v>
      </c>
      <c r="AK38" t="s">
        <v>229</v>
      </c>
      <c r="AL38" t="s">
        <v>107</v>
      </c>
      <c r="AP38" t="s">
        <v>230</v>
      </c>
      <c r="AQ38" t="s">
        <v>231</v>
      </c>
      <c r="AT38" t="s">
        <v>232</v>
      </c>
      <c r="AU38">
        <v>-99</v>
      </c>
      <c r="AV38" t="s">
        <v>104</v>
      </c>
      <c r="AW38">
        <v>1050</v>
      </c>
      <c r="AX38">
        <v>42550773</v>
      </c>
      <c r="AY38" s="73">
        <v>45376.607638888891</v>
      </c>
      <c r="AZ38" t="s">
        <v>226</v>
      </c>
      <c r="BA38" t="s">
        <v>288</v>
      </c>
      <c r="BB38" t="s">
        <v>235</v>
      </c>
      <c r="BC38" t="s">
        <v>229</v>
      </c>
      <c r="BD38" t="s">
        <v>107</v>
      </c>
      <c r="BI38" t="s">
        <v>233</v>
      </c>
      <c r="BJ38" t="s">
        <v>0</v>
      </c>
      <c r="BK38">
        <v>42550741</v>
      </c>
      <c r="BN38" t="s">
        <v>104</v>
      </c>
      <c r="BO38">
        <v>42550769</v>
      </c>
      <c r="BR38">
        <v>1050</v>
      </c>
      <c r="BS38">
        <v>42550773</v>
      </c>
      <c r="BT38" s="73">
        <v>45376.607638888891</v>
      </c>
      <c r="BU38" t="s">
        <v>226</v>
      </c>
      <c r="BV38" t="s">
        <v>288</v>
      </c>
      <c r="BW38" t="s">
        <v>235</v>
      </c>
      <c r="CH38" t="s">
        <v>229</v>
      </c>
      <c r="CI38" t="s">
        <v>107</v>
      </c>
      <c r="CJ38" t="s">
        <v>226</v>
      </c>
      <c r="CK38" t="s">
        <v>288</v>
      </c>
      <c r="CL38" t="s">
        <v>235</v>
      </c>
      <c r="CM38" t="s">
        <v>236</v>
      </c>
      <c r="CN38" t="s">
        <v>104</v>
      </c>
      <c r="CO38">
        <v>1050</v>
      </c>
      <c r="CP38">
        <v>42550773</v>
      </c>
      <c r="CQ38" s="73">
        <v>45376.607638888891</v>
      </c>
      <c r="CR38" t="s">
        <v>229</v>
      </c>
      <c r="CS38" t="s">
        <v>107</v>
      </c>
      <c r="CU38" t="s">
        <v>225</v>
      </c>
    </row>
    <row r="39" spans="1:99">
      <c r="A39" t="s">
        <v>113</v>
      </c>
      <c r="B39" t="s">
        <v>90</v>
      </c>
      <c r="J39" t="s">
        <v>225</v>
      </c>
      <c r="K39" t="s">
        <v>225</v>
      </c>
      <c r="M39" s="73">
        <v>45376.590289351851</v>
      </c>
      <c r="N39">
        <v>42551540</v>
      </c>
      <c r="O39">
        <v>-200</v>
      </c>
      <c r="P39" t="s">
        <v>115</v>
      </c>
      <c r="Q39">
        <v>-200</v>
      </c>
      <c r="R39" t="s">
        <v>115</v>
      </c>
      <c r="U39" t="s">
        <v>226</v>
      </c>
      <c r="V39" t="s">
        <v>282</v>
      </c>
      <c r="W39" t="s">
        <v>228</v>
      </c>
      <c r="X39" t="s">
        <v>229</v>
      </c>
      <c r="Y39" t="s">
        <v>113</v>
      </c>
      <c r="AD39" t="s">
        <v>115</v>
      </c>
      <c r="AE39">
        <v>-200</v>
      </c>
      <c r="AF39">
        <v>42551540</v>
      </c>
      <c r="AG39" s="73">
        <v>45376.590289351851</v>
      </c>
      <c r="AH39" t="s">
        <v>226</v>
      </c>
      <c r="AI39" t="s">
        <v>282</v>
      </c>
      <c r="AJ39" t="s">
        <v>228</v>
      </c>
      <c r="AK39" t="s">
        <v>229</v>
      </c>
      <c r="AL39" t="s">
        <v>113</v>
      </c>
      <c r="AP39" t="s">
        <v>230</v>
      </c>
      <c r="AQ39" t="s">
        <v>231</v>
      </c>
      <c r="AT39" t="s">
        <v>232</v>
      </c>
      <c r="AU39">
        <v>-99</v>
      </c>
      <c r="AV39" t="s">
        <v>115</v>
      </c>
      <c r="AW39">
        <v>-200</v>
      </c>
      <c r="AX39">
        <v>42551540</v>
      </c>
      <c r="AY39" s="73">
        <v>45376.590289351851</v>
      </c>
      <c r="AZ39" t="s">
        <v>226</v>
      </c>
      <c r="BA39" t="s">
        <v>282</v>
      </c>
      <c r="BB39" t="s">
        <v>228</v>
      </c>
      <c r="BC39" t="s">
        <v>229</v>
      </c>
      <c r="BD39" t="s">
        <v>113</v>
      </c>
      <c r="BI39" t="s">
        <v>233</v>
      </c>
      <c r="BJ39" t="s">
        <v>0</v>
      </c>
      <c r="BK39">
        <v>42551520</v>
      </c>
      <c r="BN39" t="s">
        <v>115</v>
      </c>
      <c r="BR39">
        <v>-200</v>
      </c>
      <c r="BS39">
        <v>42551540</v>
      </c>
      <c r="BT39" s="73">
        <v>45376.590289351851</v>
      </c>
      <c r="BU39" t="s">
        <v>226</v>
      </c>
      <c r="BV39" t="s">
        <v>282</v>
      </c>
      <c r="BW39" t="s">
        <v>228</v>
      </c>
      <c r="CH39" t="s">
        <v>229</v>
      </c>
      <c r="CI39" t="s">
        <v>113</v>
      </c>
      <c r="CJ39" t="s">
        <v>226</v>
      </c>
      <c r="CK39" t="s">
        <v>282</v>
      </c>
      <c r="CL39" t="s">
        <v>228</v>
      </c>
      <c r="CM39" t="s">
        <v>234</v>
      </c>
      <c r="CN39" t="s">
        <v>115</v>
      </c>
      <c r="CO39">
        <v>-200</v>
      </c>
      <c r="CP39">
        <v>42551540</v>
      </c>
      <c r="CQ39" s="73">
        <v>45376.590289351851</v>
      </c>
      <c r="CR39" t="s">
        <v>229</v>
      </c>
      <c r="CS39" t="s">
        <v>113</v>
      </c>
      <c r="CU39" t="s">
        <v>225</v>
      </c>
    </row>
    <row r="40" spans="1:99">
      <c r="A40" t="s">
        <v>129</v>
      </c>
      <c r="B40" t="s">
        <v>90</v>
      </c>
      <c r="J40" t="s">
        <v>225</v>
      </c>
      <c r="K40" t="s">
        <v>225</v>
      </c>
      <c r="M40" s="73">
        <v>45376.590289351851</v>
      </c>
      <c r="N40">
        <v>42551539</v>
      </c>
      <c r="O40">
        <v>-2.9</v>
      </c>
      <c r="P40" t="s">
        <v>73</v>
      </c>
      <c r="Q40">
        <v>-2.9</v>
      </c>
      <c r="R40" t="s">
        <v>73</v>
      </c>
      <c r="U40" t="s">
        <v>226</v>
      </c>
      <c r="V40" t="s">
        <v>282</v>
      </c>
      <c r="W40" t="s">
        <v>228</v>
      </c>
      <c r="X40" t="s">
        <v>229</v>
      </c>
      <c r="Y40" t="s">
        <v>129</v>
      </c>
      <c r="AD40" t="s">
        <v>73</v>
      </c>
      <c r="AE40">
        <v>-2.9</v>
      </c>
      <c r="AF40">
        <v>42551539</v>
      </c>
      <c r="AG40" s="73">
        <v>45376.590289351851</v>
      </c>
      <c r="AH40" t="s">
        <v>226</v>
      </c>
      <c r="AI40" t="s">
        <v>282</v>
      </c>
      <c r="AJ40" t="s">
        <v>228</v>
      </c>
      <c r="AK40" t="s">
        <v>229</v>
      </c>
      <c r="AL40" t="s">
        <v>129</v>
      </c>
      <c r="AP40" t="s">
        <v>230</v>
      </c>
      <c r="AQ40" t="s">
        <v>231</v>
      </c>
      <c r="AT40" t="s">
        <v>232</v>
      </c>
      <c r="AU40">
        <v>-99</v>
      </c>
      <c r="AV40" t="s">
        <v>73</v>
      </c>
      <c r="AW40">
        <v>-2.9</v>
      </c>
      <c r="AX40">
        <v>42551539</v>
      </c>
      <c r="AY40" s="73">
        <v>45376.590289351851</v>
      </c>
      <c r="AZ40" t="s">
        <v>226</v>
      </c>
      <c r="BA40" t="s">
        <v>282</v>
      </c>
      <c r="BB40" t="s">
        <v>228</v>
      </c>
      <c r="BC40" t="s">
        <v>229</v>
      </c>
      <c r="BD40" t="s">
        <v>129</v>
      </c>
      <c r="BI40" t="s">
        <v>233</v>
      </c>
      <c r="BJ40" t="s">
        <v>0</v>
      </c>
      <c r="BK40">
        <v>42551520</v>
      </c>
      <c r="BN40" t="s">
        <v>73</v>
      </c>
      <c r="BR40">
        <v>-2.9</v>
      </c>
      <c r="BS40">
        <v>42551539</v>
      </c>
      <c r="BT40" s="73">
        <v>45376.590289351851</v>
      </c>
      <c r="BU40" t="s">
        <v>226</v>
      </c>
      <c r="BV40" t="s">
        <v>282</v>
      </c>
      <c r="BW40" t="s">
        <v>228</v>
      </c>
      <c r="CH40" t="s">
        <v>229</v>
      </c>
      <c r="CI40" t="s">
        <v>129</v>
      </c>
      <c r="CJ40" t="s">
        <v>226</v>
      </c>
      <c r="CK40" t="s">
        <v>282</v>
      </c>
      <c r="CL40" t="s">
        <v>228</v>
      </c>
      <c r="CM40" t="s">
        <v>234</v>
      </c>
      <c r="CN40" t="s">
        <v>73</v>
      </c>
      <c r="CO40">
        <v>-2.9</v>
      </c>
      <c r="CP40">
        <v>42551539</v>
      </c>
      <c r="CQ40" s="73">
        <v>45376.590289351851</v>
      </c>
      <c r="CR40" t="s">
        <v>229</v>
      </c>
      <c r="CS40" t="s">
        <v>129</v>
      </c>
      <c r="CU40" t="s">
        <v>225</v>
      </c>
    </row>
    <row r="41" spans="1:99">
      <c r="A41" t="s">
        <v>99</v>
      </c>
      <c r="B41" t="s">
        <v>98</v>
      </c>
      <c r="J41" t="s">
        <v>225</v>
      </c>
      <c r="K41" t="s">
        <v>225</v>
      </c>
      <c r="M41" s="73">
        <v>45376.590277777781</v>
      </c>
      <c r="N41">
        <v>42542202</v>
      </c>
      <c r="O41">
        <v>1443.03</v>
      </c>
      <c r="P41" t="s">
        <v>73</v>
      </c>
      <c r="Q41">
        <v>1443.03</v>
      </c>
      <c r="R41" t="s">
        <v>73</v>
      </c>
      <c r="U41" t="s">
        <v>226</v>
      </c>
      <c r="V41" t="s">
        <v>289</v>
      </c>
      <c r="W41" t="s">
        <v>235</v>
      </c>
      <c r="X41" t="s">
        <v>229</v>
      </c>
      <c r="Y41" t="s">
        <v>99</v>
      </c>
      <c r="AD41" t="s">
        <v>73</v>
      </c>
      <c r="AE41">
        <v>1443.03</v>
      </c>
      <c r="AF41">
        <v>42542202</v>
      </c>
      <c r="AG41" s="73">
        <v>45376.590277777781</v>
      </c>
      <c r="AH41" t="s">
        <v>226</v>
      </c>
      <c r="AI41" t="s">
        <v>289</v>
      </c>
      <c r="AJ41" t="s">
        <v>235</v>
      </c>
      <c r="AK41" t="s">
        <v>229</v>
      </c>
      <c r="AL41" t="s">
        <v>99</v>
      </c>
      <c r="AP41" t="s">
        <v>230</v>
      </c>
      <c r="AQ41" t="s">
        <v>231</v>
      </c>
      <c r="AT41" t="s">
        <v>232</v>
      </c>
      <c r="AU41">
        <v>-99</v>
      </c>
      <c r="AV41" t="s">
        <v>73</v>
      </c>
      <c r="AW41">
        <v>1443.03</v>
      </c>
      <c r="AX41">
        <v>42542202</v>
      </c>
      <c r="AY41" s="73">
        <v>45376.590277777781</v>
      </c>
      <c r="AZ41" t="s">
        <v>226</v>
      </c>
      <c r="BA41" t="s">
        <v>289</v>
      </c>
      <c r="BB41" t="s">
        <v>235</v>
      </c>
      <c r="BC41" t="s">
        <v>229</v>
      </c>
      <c r="BD41" t="s">
        <v>99</v>
      </c>
      <c r="BI41" t="s">
        <v>233</v>
      </c>
      <c r="BJ41" t="s">
        <v>0</v>
      </c>
      <c r="BK41">
        <v>42542198</v>
      </c>
      <c r="BN41" t="s">
        <v>73</v>
      </c>
      <c r="BO41">
        <v>42542200</v>
      </c>
      <c r="BR41">
        <v>1443.03</v>
      </c>
      <c r="BS41">
        <v>42542202</v>
      </c>
      <c r="BT41" s="73">
        <v>45376.590277777781</v>
      </c>
      <c r="BU41" t="s">
        <v>226</v>
      </c>
      <c r="BV41" t="s">
        <v>289</v>
      </c>
      <c r="BW41" t="s">
        <v>235</v>
      </c>
      <c r="CH41" t="s">
        <v>229</v>
      </c>
      <c r="CI41" t="s">
        <v>99</v>
      </c>
      <c r="CJ41" t="s">
        <v>226</v>
      </c>
      <c r="CK41" t="s">
        <v>289</v>
      </c>
      <c r="CL41" t="s">
        <v>235</v>
      </c>
      <c r="CM41" t="s">
        <v>236</v>
      </c>
      <c r="CN41" t="s">
        <v>73</v>
      </c>
      <c r="CO41">
        <v>1443.03</v>
      </c>
      <c r="CP41">
        <v>42542202</v>
      </c>
      <c r="CQ41" s="73">
        <v>45376.590277777781</v>
      </c>
      <c r="CR41" t="s">
        <v>229</v>
      </c>
      <c r="CS41" t="s">
        <v>99</v>
      </c>
      <c r="CU41" t="s">
        <v>225</v>
      </c>
    </row>
    <row r="42" spans="1:99">
      <c r="A42" t="s">
        <v>71</v>
      </c>
      <c r="B42" t="s">
        <v>77</v>
      </c>
      <c r="J42" t="s">
        <v>225</v>
      </c>
      <c r="K42" t="s">
        <v>225</v>
      </c>
      <c r="M42" s="73">
        <v>45376.590277777781</v>
      </c>
      <c r="N42">
        <v>42542195</v>
      </c>
      <c r="O42">
        <v>0.87</v>
      </c>
      <c r="P42" t="s">
        <v>73</v>
      </c>
      <c r="Q42">
        <v>0.87</v>
      </c>
      <c r="R42" t="s">
        <v>73</v>
      </c>
      <c r="U42" t="s">
        <v>226</v>
      </c>
      <c r="V42" t="s">
        <v>289</v>
      </c>
      <c r="W42" t="s">
        <v>237</v>
      </c>
      <c r="X42" t="s">
        <v>229</v>
      </c>
      <c r="Y42" t="s">
        <v>71</v>
      </c>
      <c r="AD42" t="s">
        <v>73</v>
      </c>
      <c r="AE42">
        <v>0.87</v>
      </c>
      <c r="AF42">
        <v>42542195</v>
      </c>
      <c r="AG42" s="73">
        <v>45376.590277777781</v>
      </c>
      <c r="AH42" t="s">
        <v>226</v>
      </c>
      <c r="AI42" t="s">
        <v>289</v>
      </c>
      <c r="AJ42" t="s">
        <v>237</v>
      </c>
      <c r="AK42" t="s">
        <v>229</v>
      </c>
      <c r="AL42" t="s">
        <v>71</v>
      </c>
      <c r="AP42" t="s">
        <v>230</v>
      </c>
      <c r="AQ42" t="s">
        <v>231</v>
      </c>
      <c r="AT42" t="s">
        <v>232</v>
      </c>
      <c r="AU42">
        <v>-99</v>
      </c>
      <c r="AV42" t="s">
        <v>73</v>
      </c>
      <c r="AW42">
        <v>0.87</v>
      </c>
      <c r="AX42">
        <v>42542195</v>
      </c>
      <c r="AY42" s="73">
        <v>45376.590277777781</v>
      </c>
      <c r="AZ42" t="s">
        <v>226</v>
      </c>
      <c r="BA42" t="s">
        <v>289</v>
      </c>
      <c r="BB42" t="s">
        <v>237</v>
      </c>
      <c r="BC42" t="s">
        <v>229</v>
      </c>
      <c r="BD42" t="s">
        <v>71</v>
      </c>
      <c r="BI42" t="s">
        <v>233</v>
      </c>
      <c r="BJ42" t="s">
        <v>0</v>
      </c>
      <c r="BK42">
        <v>42542191</v>
      </c>
      <c r="BN42" t="s">
        <v>73</v>
      </c>
      <c r="BO42">
        <v>42542193</v>
      </c>
      <c r="BR42">
        <v>0.87</v>
      </c>
      <c r="BS42">
        <v>42542195</v>
      </c>
      <c r="BT42" s="73">
        <v>45376.590277777781</v>
      </c>
      <c r="BU42" t="s">
        <v>226</v>
      </c>
      <c r="BV42" t="s">
        <v>289</v>
      </c>
      <c r="BW42" t="s">
        <v>237</v>
      </c>
      <c r="CH42" t="s">
        <v>229</v>
      </c>
      <c r="CI42" t="s">
        <v>71</v>
      </c>
      <c r="CJ42" t="s">
        <v>226</v>
      </c>
      <c r="CK42" t="s">
        <v>289</v>
      </c>
      <c r="CL42" t="s">
        <v>237</v>
      </c>
      <c r="CM42" t="s">
        <v>236</v>
      </c>
      <c r="CN42" t="s">
        <v>73</v>
      </c>
      <c r="CO42">
        <v>0.87</v>
      </c>
      <c r="CP42">
        <v>42542195</v>
      </c>
      <c r="CQ42" s="73">
        <v>45376.590277777781</v>
      </c>
      <c r="CR42" t="s">
        <v>229</v>
      </c>
      <c r="CS42" t="s">
        <v>71</v>
      </c>
      <c r="CU42" t="s">
        <v>225</v>
      </c>
    </row>
    <row r="43" spans="1:99">
      <c r="A43" t="s">
        <v>133</v>
      </c>
      <c r="B43" t="s">
        <v>90</v>
      </c>
      <c r="J43" t="s">
        <v>225</v>
      </c>
      <c r="K43" t="s">
        <v>225</v>
      </c>
      <c r="M43" s="73">
        <v>45376.590277777781</v>
      </c>
      <c r="N43">
        <v>42542188</v>
      </c>
      <c r="O43">
        <v>-588.1</v>
      </c>
      <c r="P43" t="s">
        <v>73</v>
      </c>
      <c r="Q43">
        <v>-588.1</v>
      </c>
      <c r="R43" t="s">
        <v>73</v>
      </c>
      <c r="U43" t="s">
        <v>226</v>
      </c>
      <c r="V43" t="s">
        <v>289</v>
      </c>
      <c r="W43" t="s">
        <v>228</v>
      </c>
      <c r="X43" t="s">
        <v>229</v>
      </c>
      <c r="Y43" t="s">
        <v>133</v>
      </c>
      <c r="AD43" t="s">
        <v>73</v>
      </c>
      <c r="AE43">
        <v>-588.1</v>
      </c>
      <c r="AF43">
        <v>42542188</v>
      </c>
      <c r="AG43" s="73">
        <v>45376.590277777781</v>
      </c>
      <c r="AH43" t="s">
        <v>226</v>
      </c>
      <c r="AI43" t="s">
        <v>289</v>
      </c>
      <c r="AJ43" t="s">
        <v>228</v>
      </c>
      <c r="AK43" t="s">
        <v>229</v>
      </c>
      <c r="AL43" t="s">
        <v>133</v>
      </c>
      <c r="AP43" t="s">
        <v>230</v>
      </c>
      <c r="AQ43" t="s">
        <v>231</v>
      </c>
      <c r="AT43" t="s">
        <v>232</v>
      </c>
      <c r="AU43">
        <v>-99</v>
      </c>
      <c r="AV43" t="s">
        <v>73</v>
      </c>
      <c r="AW43">
        <v>-588.1</v>
      </c>
      <c r="AX43">
        <v>42542188</v>
      </c>
      <c r="AY43" s="73">
        <v>45376.590277777781</v>
      </c>
      <c r="AZ43" t="s">
        <v>226</v>
      </c>
      <c r="BA43" t="s">
        <v>289</v>
      </c>
      <c r="BB43" t="s">
        <v>228</v>
      </c>
      <c r="BC43" t="s">
        <v>229</v>
      </c>
      <c r="BD43" t="s">
        <v>133</v>
      </c>
      <c r="BI43" t="s">
        <v>233</v>
      </c>
      <c r="BJ43" t="s">
        <v>0</v>
      </c>
      <c r="BK43">
        <v>42542184</v>
      </c>
      <c r="BN43" t="s">
        <v>73</v>
      </c>
      <c r="BR43">
        <v>-588.1</v>
      </c>
      <c r="BS43">
        <v>42542188</v>
      </c>
      <c r="BT43" s="73">
        <v>45376.590277777781</v>
      </c>
      <c r="BU43" t="s">
        <v>226</v>
      </c>
      <c r="BV43" t="s">
        <v>289</v>
      </c>
      <c r="BW43" t="s">
        <v>228</v>
      </c>
      <c r="CH43" t="s">
        <v>229</v>
      </c>
      <c r="CI43" t="s">
        <v>133</v>
      </c>
      <c r="CJ43" t="s">
        <v>226</v>
      </c>
      <c r="CK43" t="s">
        <v>289</v>
      </c>
      <c r="CL43" t="s">
        <v>228</v>
      </c>
      <c r="CM43" t="s">
        <v>234</v>
      </c>
      <c r="CN43" t="s">
        <v>73</v>
      </c>
      <c r="CO43">
        <v>-588.1</v>
      </c>
      <c r="CP43">
        <v>42542188</v>
      </c>
      <c r="CQ43" s="73">
        <v>45376.590277777781</v>
      </c>
      <c r="CR43" t="s">
        <v>229</v>
      </c>
      <c r="CS43" t="s">
        <v>133</v>
      </c>
      <c r="CU43" t="s">
        <v>225</v>
      </c>
    </row>
    <row r="44" spans="1:99">
      <c r="A44" t="s">
        <v>127</v>
      </c>
      <c r="B44" t="s">
        <v>90</v>
      </c>
      <c r="J44" t="s">
        <v>225</v>
      </c>
      <c r="K44" t="s">
        <v>225</v>
      </c>
      <c r="M44" s="73">
        <v>45376.590277777781</v>
      </c>
      <c r="N44">
        <v>42542181</v>
      </c>
      <c r="O44">
        <v>-670</v>
      </c>
      <c r="P44" t="s">
        <v>73</v>
      </c>
      <c r="Q44">
        <v>-670</v>
      </c>
      <c r="R44" t="s">
        <v>73</v>
      </c>
      <c r="U44" t="s">
        <v>226</v>
      </c>
      <c r="V44" t="s">
        <v>289</v>
      </c>
      <c r="W44" t="s">
        <v>228</v>
      </c>
      <c r="X44" t="s">
        <v>229</v>
      </c>
      <c r="Y44" t="s">
        <v>127</v>
      </c>
      <c r="AD44" t="s">
        <v>73</v>
      </c>
      <c r="AE44">
        <v>-670</v>
      </c>
      <c r="AF44">
        <v>42542181</v>
      </c>
      <c r="AG44" s="73">
        <v>45376.590277777781</v>
      </c>
      <c r="AH44" t="s">
        <v>226</v>
      </c>
      <c r="AI44" t="s">
        <v>289</v>
      </c>
      <c r="AJ44" t="s">
        <v>228</v>
      </c>
      <c r="AK44" t="s">
        <v>229</v>
      </c>
      <c r="AL44" t="s">
        <v>127</v>
      </c>
      <c r="AP44" t="s">
        <v>230</v>
      </c>
      <c r="AQ44" t="s">
        <v>231</v>
      </c>
      <c r="AT44" t="s">
        <v>232</v>
      </c>
      <c r="AU44">
        <v>-99</v>
      </c>
      <c r="AV44" t="s">
        <v>73</v>
      </c>
      <c r="AW44">
        <v>-670</v>
      </c>
      <c r="AX44">
        <v>42542181</v>
      </c>
      <c r="AY44" s="73">
        <v>45376.590277777781</v>
      </c>
      <c r="AZ44" t="s">
        <v>226</v>
      </c>
      <c r="BA44" t="s">
        <v>289</v>
      </c>
      <c r="BB44" t="s">
        <v>228</v>
      </c>
      <c r="BC44" t="s">
        <v>229</v>
      </c>
      <c r="BD44" t="s">
        <v>127</v>
      </c>
      <c r="BI44" t="s">
        <v>233</v>
      </c>
      <c r="BJ44" t="s">
        <v>0</v>
      </c>
      <c r="BK44">
        <v>42542177</v>
      </c>
      <c r="BN44" t="s">
        <v>73</v>
      </c>
      <c r="BR44">
        <v>-670</v>
      </c>
      <c r="BS44">
        <v>42542181</v>
      </c>
      <c r="BT44" s="73">
        <v>45376.590277777781</v>
      </c>
      <c r="BU44" t="s">
        <v>226</v>
      </c>
      <c r="BV44" t="s">
        <v>289</v>
      </c>
      <c r="BW44" t="s">
        <v>228</v>
      </c>
      <c r="CH44" t="s">
        <v>229</v>
      </c>
      <c r="CI44" t="s">
        <v>127</v>
      </c>
      <c r="CJ44" t="s">
        <v>226</v>
      </c>
      <c r="CK44" t="s">
        <v>289</v>
      </c>
      <c r="CL44" t="s">
        <v>228</v>
      </c>
      <c r="CM44" t="s">
        <v>234</v>
      </c>
      <c r="CN44" t="s">
        <v>73</v>
      </c>
      <c r="CO44">
        <v>-670</v>
      </c>
      <c r="CP44">
        <v>42542181</v>
      </c>
      <c r="CQ44" s="73">
        <v>45376.590277777781</v>
      </c>
      <c r="CR44" t="s">
        <v>229</v>
      </c>
      <c r="CS44" t="s">
        <v>127</v>
      </c>
      <c r="CU44" t="s">
        <v>225</v>
      </c>
    </row>
    <row r="45" spans="1:99">
      <c r="A45" t="s">
        <v>87</v>
      </c>
      <c r="B45" t="s">
        <v>90</v>
      </c>
      <c r="J45" t="s">
        <v>225</v>
      </c>
      <c r="K45" t="s">
        <v>225</v>
      </c>
      <c r="M45" s="73">
        <v>45376.590277777781</v>
      </c>
      <c r="N45">
        <v>42542174</v>
      </c>
      <c r="O45">
        <v>-67</v>
      </c>
      <c r="P45" t="s">
        <v>73</v>
      </c>
      <c r="Q45">
        <v>-67</v>
      </c>
      <c r="R45" t="s">
        <v>73</v>
      </c>
      <c r="U45" t="s">
        <v>226</v>
      </c>
      <c r="V45" t="s">
        <v>289</v>
      </c>
      <c r="W45" t="s">
        <v>228</v>
      </c>
      <c r="X45" t="s">
        <v>229</v>
      </c>
      <c r="Y45" t="s">
        <v>87</v>
      </c>
      <c r="AD45" t="s">
        <v>73</v>
      </c>
      <c r="AE45">
        <v>-67</v>
      </c>
      <c r="AF45">
        <v>42542174</v>
      </c>
      <c r="AG45" s="73">
        <v>45376.590277777781</v>
      </c>
      <c r="AH45" t="s">
        <v>226</v>
      </c>
      <c r="AI45" t="s">
        <v>289</v>
      </c>
      <c r="AJ45" t="s">
        <v>228</v>
      </c>
      <c r="AK45" t="s">
        <v>229</v>
      </c>
      <c r="AL45" t="s">
        <v>87</v>
      </c>
      <c r="AP45" t="s">
        <v>230</v>
      </c>
      <c r="AQ45" t="s">
        <v>231</v>
      </c>
      <c r="AT45" t="s">
        <v>232</v>
      </c>
      <c r="AU45">
        <v>-99</v>
      </c>
      <c r="AV45" t="s">
        <v>73</v>
      </c>
      <c r="AW45">
        <v>-67</v>
      </c>
      <c r="AX45">
        <v>42542174</v>
      </c>
      <c r="AY45" s="73">
        <v>45376.590277777781</v>
      </c>
      <c r="AZ45" t="s">
        <v>226</v>
      </c>
      <c r="BA45" t="s">
        <v>289</v>
      </c>
      <c r="BB45" t="s">
        <v>228</v>
      </c>
      <c r="BC45" t="s">
        <v>229</v>
      </c>
      <c r="BD45" t="s">
        <v>87</v>
      </c>
      <c r="BI45" t="s">
        <v>233</v>
      </c>
      <c r="BJ45" t="s">
        <v>0</v>
      </c>
      <c r="BK45">
        <v>42542170</v>
      </c>
      <c r="BN45" t="s">
        <v>73</v>
      </c>
      <c r="BR45">
        <v>-67</v>
      </c>
      <c r="BS45">
        <v>42542174</v>
      </c>
      <c r="BT45" s="73">
        <v>45376.590277777781</v>
      </c>
      <c r="BU45" t="s">
        <v>226</v>
      </c>
      <c r="BV45" t="s">
        <v>289</v>
      </c>
      <c r="BW45" t="s">
        <v>228</v>
      </c>
      <c r="CH45" t="s">
        <v>229</v>
      </c>
      <c r="CI45" t="s">
        <v>87</v>
      </c>
      <c r="CJ45" t="s">
        <v>226</v>
      </c>
      <c r="CK45" t="s">
        <v>289</v>
      </c>
      <c r="CL45" t="s">
        <v>228</v>
      </c>
      <c r="CM45" t="s">
        <v>234</v>
      </c>
      <c r="CN45" t="s">
        <v>73</v>
      </c>
      <c r="CO45">
        <v>-67</v>
      </c>
      <c r="CP45">
        <v>42542174</v>
      </c>
      <c r="CQ45" s="73">
        <v>45376.590277777781</v>
      </c>
      <c r="CR45" t="s">
        <v>229</v>
      </c>
      <c r="CS45" t="s">
        <v>87</v>
      </c>
      <c r="CU45" t="s">
        <v>225</v>
      </c>
    </row>
    <row r="46" spans="1:99">
      <c r="A46" t="s">
        <v>113</v>
      </c>
      <c r="B46" t="s">
        <v>90</v>
      </c>
      <c r="J46" t="s">
        <v>225</v>
      </c>
      <c r="K46" t="s">
        <v>225</v>
      </c>
      <c r="M46" s="73">
        <v>45376.256956018522</v>
      </c>
      <c r="N46">
        <v>42542305</v>
      </c>
      <c r="O46">
        <v>-450</v>
      </c>
      <c r="P46" t="s">
        <v>115</v>
      </c>
      <c r="Q46">
        <v>-450</v>
      </c>
      <c r="R46" t="s">
        <v>115</v>
      </c>
      <c r="U46" t="s">
        <v>226</v>
      </c>
      <c r="V46" t="s">
        <v>289</v>
      </c>
      <c r="W46" t="s">
        <v>228</v>
      </c>
      <c r="X46" t="s">
        <v>229</v>
      </c>
      <c r="Y46" t="s">
        <v>113</v>
      </c>
      <c r="AD46" t="s">
        <v>115</v>
      </c>
      <c r="AE46">
        <v>-450</v>
      </c>
      <c r="AF46">
        <v>42542305</v>
      </c>
      <c r="AG46" s="73">
        <v>45376.256956018522</v>
      </c>
      <c r="AH46" t="s">
        <v>226</v>
      </c>
      <c r="AI46" t="s">
        <v>289</v>
      </c>
      <c r="AJ46" t="s">
        <v>228</v>
      </c>
      <c r="AK46" t="s">
        <v>229</v>
      </c>
      <c r="AL46" t="s">
        <v>113</v>
      </c>
      <c r="AP46" t="s">
        <v>230</v>
      </c>
      <c r="AQ46" t="s">
        <v>231</v>
      </c>
      <c r="AT46" t="s">
        <v>232</v>
      </c>
      <c r="AU46">
        <v>-99</v>
      </c>
      <c r="AV46" t="s">
        <v>115</v>
      </c>
      <c r="AW46">
        <v>-450</v>
      </c>
      <c r="AX46">
        <v>42542305</v>
      </c>
      <c r="AY46" s="73">
        <v>45376.256956018522</v>
      </c>
      <c r="AZ46" t="s">
        <v>226</v>
      </c>
      <c r="BA46" t="s">
        <v>289</v>
      </c>
      <c r="BB46" t="s">
        <v>228</v>
      </c>
      <c r="BC46" t="s">
        <v>229</v>
      </c>
      <c r="BD46" t="s">
        <v>113</v>
      </c>
      <c r="BI46" t="s">
        <v>233</v>
      </c>
      <c r="BJ46" t="s">
        <v>0</v>
      </c>
      <c r="BK46">
        <v>42542270</v>
      </c>
      <c r="BN46" t="s">
        <v>115</v>
      </c>
      <c r="BR46">
        <v>-450</v>
      </c>
      <c r="BS46">
        <v>42542305</v>
      </c>
      <c r="BT46" s="73">
        <v>45376.256956018522</v>
      </c>
      <c r="BU46" t="s">
        <v>226</v>
      </c>
      <c r="BV46" t="s">
        <v>289</v>
      </c>
      <c r="BW46" t="s">
        <v>228</v>
      </c>
      <c r="CH46" t="s">
        <v>229</v>
      </c>
      <c r="CI46" t="s">
        <v>113</v>
      </c>
      <c r="CJ46" t="s">
        <v>226</v>
      </c>
      <c r="CK46" t="s">
        <v>289</v>
      </c>
      <c r="CL46" t="s">
        <v>228</v>
      </c>
      <c r="CM46" t="s">
        <v>234</v>
      </c>
      <c r="CN46" t="s">
        <v>115</v>
      </c>
      <c r="CO46">
        <v>-450</v>
      </c>
      <c r="CP46">
        <v>42542305</v>
      </c>
      <c r="CQ46" s="73">
        <v>45376.256956018522</v>
      </c>
      <c r="CR46" t="s">
        <v>229</v>
      </c>
      <c r="CS46" t="s">
        <v>113</v>
      </c>
      <c r="CU46" t="s">
        <v>225</v>
      </c>
    </row>
    <row r="47" spans="1:99">
      <c r="A47" t="s">
        <v>129</v>
      </c>
      <c r="B47" t="s">
        <v>90</v>
      </c>
      <c r="J47" t="s">
        <v>225</v>
      </c>
      <c r="K47" t="s">
        <v>225</v>
      </c>
      <c r="M47" s="73">
        <v>45376.256956018522</v>
      </c>
      <c r="N47">
        <v>42542304</v>
      </c>
      <c r="O47">
        <v>-5.8</v>
      </c>
      <c r="P47" t="s">
        <v>73</v>
      </c>
      <c r="Q47">
        <v>-5.8</v>
      </c>
      <c r="R47" t="s">
        <v>73</v>
      </c>
      <c r="U47" t="s">
        <v>226</v>
      </c>
      <c r="V47" t="s">
        <v>289</v>
      </c>
      <c r="W47" t="s">
        <v>228</v>
      </c>
      <c r="X47" t="s">
        <v>229</v>
      </c>
      <c r="Y47" t="s">
        <v>129</v>
      </c>
      <c r="AD47" t="s">
        <v>73</v>
      </c>
      <c r="AE47">
        <v>-5.8</v>
      </c>
      <c r="AF47">
        <v>42542304</v>
      </c>
      <c r="AG47" s="73">
        <v>45376.256956018522</v>
      </c>
      <c r="AH47" t="s">
        <v>226</v>
      </c>
      <c r="AI47" t="s">
        <v>289</v>
      </c>
      <c r="AJ47" t="s">
        <v>228</v>
      </c>
      <c r="AK47" t="s">
        <v>229</v>
      </c>
      <c r="AL47" t="s">
        <v>129</v>
      </c>
      <c r="AP47" t="s">
        <v>230</v>
      </c>
      <c r="AQ47" t="s">
        <v>231</v>
      </c>
      <c r="AT47" t="s">
        <v>232</v>
      </c>
      <c r="AU47">
        <v>-99</v>
      </c>
      <c r="AV47" t="s">
        <v>73</v>
      </c>
      <c r="AW47">
        <v>-5.8</v>
      </c>
      <c r="AX47">
        <v>42542304</v>
      </c>
      <c r="AY47" s="73">
        <v>45376.256956018522</v>
      </c>
      <c r="AZ47" t="s">
        <v>226</v>
      </c>
      <c r="BA47" t="s">
        <v>289</v>
      </c>
      <c r="BB47" t="s">
        <v>228</v>
      </c>
      <c r="BC47" t="s">
        <v>229</v>
      </c>
      <c r="BD47" t="s">
        <v>129</v>
      </c>
      <c r="BI47" t="s">
        <v>233</v>
      </c>
      <c r="BJ47" t="s">
        <v>0</v>
      </c>
      <c r="BK47">
        <v>42542270</v>
      </c>
      <c r="BN47" t="s">
        <v>73</v>
      </c>
      <c r="BR47">
        <v>-5.8</v>
      </c>
      <c r="BS47">
        <v>42542304</v>
      </c>
      <c r="BT47" s="73">
        <v>45376.256956018522</v>
      </c>
      <c r="BU47" t="s">
        <v>226</v>
      </c>
      <c r="BV47" t="s">
        <v>289</v>
      </c>
      <c r="BW47" t="s">
        <v>228</v>
      </c>
      <c r="CH47" t="s">
        <v>229</v>
      </c>
      <c r="CI47" t="s">
        <v>129</v>
      </c>
      <c r="CJ47" t="s">
        <v>226</v>
      </c>
      <c r="CK47" t="s">
        <v>289</v>
      </c>
      <c r="CL47" t="s">
        <v>228</v>
      </c>
      <c r="CM47" t="s">
        <v>234</v>
      </c>
      <c r="CN47" t="s">
        <v>73</v>
      </c>
      <c r="CO47">
        <v>-5.8</v>
      </c>
      <c r="CP47">
        <v>42542304</v>
      </c>
      <c r="CQ47" s="73">
        <v>45376.256956018522</v>
      </c>
      <c r="CR47" t="s">
        <v>229</v>
      </c>
      <c r="CS47" t="s">
        <v>129</v>
      </c>
      <c r="CU47" t="s">
        <v>225</v>
      </c>
    </row>
    <row r="48" spans="1:99">
      <c r="A48" t="s">
        <v>42</v>
      </c>
      <c r="B48" t="s">
        <v>92</v>
      </c>
      <c r="J48" t="s">
        <v>225</v>
      </c>
      <c r="K48" t="s">
        <v>225</v>
      </c>
      <c r="M48" s="73">
        <v>45376.25</v>
      </c>
      <c r="N48">
        <v>42541357</v>
      </c>
      <c r="O48">
        <v>-2520</v>
      </c>
      <c r="P48" t="s">
        <v>45</v>
      </c>
      <c r="Q48">
        <v>-2520</v>
      </c>
      <c r="R48" t="s">
        <v>45</v>
      </c>
      <c r="U48" t="s">
        <v>226</v>
      </c>
      <c r="V48" t="s">
        <v>290</v>
      </c>
      <c r="W48" t="s">
        <v>228</v>
      </c>
      <c r="X48" t="s">
        <v>229</v>
      </c>
      <c r="Y48" t="s">
        <v>42</v>
      </c>
      <c r="AD48" t="s">
        <v>45</v>
      </c>
      <c r="AE48">
        <v>-2520</v>
      </c>
      <c r="AF48">
        <v>42541357</v>
      </c>
      <c r="AG48" s="73">
        <v>45376.25</v>
      </c>
      <c r="AH48" t="s">
        <v>226</v>
      </c>
      <c r="AI48" t="s">
        <v>290</v>
      </c>
      <c r="AJ48" t="s">
        <v>228</v>
      </c>
      <c r="AK48" t="s">
        <v>229</v>
      </c>
      <c r="AL48" t="s">
        <v>42</v>
      </c>
      <c r="AP48" t="s">
        <v>230</v>
      </c>
      <c r="AQ48" t="s">
        <v>231</v>
      </c>
      <c r="AT48" t="s">
        <v>232</v>
      </c>
      <c r="AU48">
        <v>-99</v>
      </c>
      <c r="AV48" t="s">
        <v>45</v>
      </c>
      <c r="AW48">
        <v>-2520</v>
      </c>
      <c r="AX48">
        <v>42541357</v>
      </c>
      <c r="AY48" s="73">
        <v>45376.25</v>
      </c>
      <c r="AZ48" t="s">
        <v>226</v>
      </c>
      <c r="BA48" t="s">
        <v>290</v>
      </c>
      <c r="BB48" t="s">
        <v>228</v>
      </c>
      <c r="BC48" t="s">
        <v>229</v>
      </c>
      <c r="BD48" t="s">
        <v>42</v>
      </c>
      <c r="BI48" t="s">
        <v>233</v>
      </c>
      <c r="BJ48" t="s">
        <v>0</v>
      </c>
      <c r="BK48">
        <v>42541337</v>
      </c>
      <c r="BN48" t="s">
        <v>45</v>
      </c>
      <c r="BR48">
        <v>-2520</v>
      </c>
      <c r="BS48">
        <v>42541357</v>
      </c>
      <c r="BT48" s="73">
        <v>45376.25</v>
      </c>
      <c r="BU48" t="s">
        <v>226</v>
      </c>
      <c r="BV48" t="s">
        <v>290</v>
      </c>
      <c r="BW48" t="s">
        <v>228</v>
      </c>
      <c r="CH48" t="s">
        <v>229</v>
      </c>
      <c r="CI48" t="s">
        <v>42</v>
      </c>
      <c r="CJ48" t="s">
        <v>226</v>
      </c>
      <c r="CK48" t="s">
        <v>290</v>
      </c>
      <c r="CL48" t="s">
        <v>228</v>
      </c>
      <c r="CM48" t="s">
        <v>234</v>
      </c>
      <c r="CN48" t="s">
        <v>45</v>
      </c>
      <c r="CO48">
        <v>-2520</v>
      </c>
      <c r="CP48">
        <v>42541357</v>
      </c>
      <c r="CQ48" s="73">
        <v>45376.25</v>
      </c>
      <c r="CR48" t="s">
        <v>229</v>
      </c>
      <c r="CS48" t="s">
        <v>42</v>
      </c>
      <c r="CU48" t="s">
        <v>225</v>
      </c>
    </row>
    <row r="49" spans="1:99">
      <c r="A49" t="s">
        <v>99</v>
      </c>
      <c r="B49" t="s">
        <v>98</v>
      </c>
      <c r="J49" t="s">
        <v>225</v>
      </c>
      <c r="K49" t="s">
        <v>225</v>
      </c>
      <c r="M49" s="73">
        <v>45376.25</v>
      </c>
      <c r="N49">
        <v>42541356</v>
      </c>
      <c r="O49">
        <v>-126</v>
      </c>
      <c r="P49" t="s">
        <v>73</v>
      </c>
      <c r="Q49">
        <v>-126</v>
      </c>
      <c r="R49" t="s">
        <v>73</v>
      </c>
      <c r="U49" t="s">
        <v>226</v>
      </c>
      <c r="V49" t="s">
        <v>290</v>
      </c>
      <c r="W49" t="s">
        <v>228</v>
      </c>
      <c r="X49" t="s">
        <v>229</v>
      </c>
      <c r="Y49" t="s">
        <v>99</v>
      </c>
      <c r="AD49" t="s">
        <v>73</v>
      </c>
      <c r="AE49">
        <v>-126</v>
      </c>
      <c r="AF49">
        <v>42541356</v>
      </c>
      <c r="AG49" s="73">
        <v>45376.25</v>
      </c>
      <c r="AH49" t="s">
        <v>226</v>
      </c>
      <c r="AI49" t="s">
        <v>290</v>
      </c>
      <c r="AJ49" t="s">
        <v>228</v>
      </c>
      <c r="AK49" t="s">
        <v>229</v>
      </c>
      <c r="AL49" t="s">
        <v>99</v>
      </c>
      <c r="AP49" t="s">
        <v>230</v>
      </c>
      <c r="AQ49" t="s">
        <v>231</v>
      </c>
      <c r="AT49" t="s">
        <v>232</v>
      </c>
      <c r="AU49">
        <v>-99</v>
      </c>
      <c r="AV49" t="s">
        <v>73</v>
      </c>
      <c r="AW49">
        <v>-126</v>
      </c>
      <c r="AX49">
        <v>42541356</v>
      </c>
      <c r="AY49" s="73">
        <v>45376.25</v>
      </c>
      <c r="AZ49" t="s">
        <v>226</v>
      </c>
      <c r="BA49" t="s">
        <v>290</v>
      </c>
      <c r="BB49" t="s">
        <v>228</v>
      </c>
      <c r="BC49" t="s">
        <v>229</v>
      </c>
      <c r="BD49" t="s">
        <v>99</v>
      </c>
      <c r="BI49" t="s">
        <v>233</v>
      </c>
      <c r="BJ49" t="s">
        <v>0</v>
      </c>
      <c r="BK49">
        <v>42541337</v>
      </c>
      <c r="BN49" t="s">
        <v>73</v>
      </c>
      <c r="BR49">
        <v>-126</v>
      </c>
      <c r="BS49">
        <v>42541356</v>
      </c>
      <c r="BT49" s="73">
        <v>45376.25</v>
      </c>
      <c r="BU49" t="s">
        <v>226</v>
      </c>
      <c r="BV49" t="s">
        <v>290</v>
      </c>
      <c r="BW49" t="s">
        <v>228</v>
      </c>
      <c r="CH49" t="s">
        <v>229</v>
      </c>
      <c r="CI49" t="s">
        <v>99</v>
      </c>
      <c r="CJ49" t="s">
        <v>226</v>
      </c>
      <c r="CK49" t="s">
        <v>290</v>
      </c>
      <c r="CL49" t="s">
        <v>228</v>
      </c>
      <c r="CM49" t="s">
        <v>234</v>
      </c>
      <c r="CN49" t="s">
        <v>73</v>
      </c>
      <c r="CO49">
        <v>-126</v>
      </c>
      <c r="CP49">
        <v>42541356</v>
      </c>
      <c r="CQ49" s="73">
        <v>45376.25</v>
      </c>
      <c r="CR49" t="s">
        <v>229</v>
      </c>
      <c r="CS49" t="s">
        <v>99</v>
      </c>
      <c r="CU49" t="s">
        <v>225</v>
      </c>
    </row>
    <row r="50" spans="1:99">
      <c r="A50" t="s">
        <v>103</v>
      </c>
      <c r="B50" t="s">
        <v>98</v>
      </c>
      <c r="J50" t="s">
        <v>225</v>
      </c>
      <c r="K50" t="s">
        <v>225</v>
      </c>
      <c r="M50" s="73">
        <v>45376.25</v>
      </c>
      <c r="N50">
        <v>42541355</v>
      </c>
      <c r="O50">
        <v>2520</v>
      </c>
      <c r="P50" t="s">
        <v>104</v>
      </c>
      <c r="Q50">
        <v>2520</v>
      </c>
      <c r="R50" t="s">
        <v>104</v>
      </c>
      <c r="S50">
        <v>126</v>
      </c>
      <c r="T50" t="s">
        <v>73</v>
      </c>
      <c r="U50" t="s">
        <v>226</v>
      </c>
      <c r="V50" t="s">
        <v>290</v>
      </c>
      <c r="W50" t="s">
        <v>235</v>
      </c>
      <c r="X50" t="s">
        <v>229</v>
      </c>
      <c r="Y50" t="s">
        <v>103</v>
      </c>
      <c r="AD50" t="s">
        <v>104</v>
      </c>
      <c r="AE50">
        <v>2520</v>
      </c>
      <c r="AF50">
        <v>42541355</v>
      </c>
      <c r="AG50" s="73">
        <v>45376.25</v>
      </c>
      <c r="AH50" t="s">
        <v>226</v>
      </c>
      <c r="AI50" t="s">
        <v>290</v>
      </c>
      <c r="AJ50" t="s">
        <v>235</v>
      </c>
      <c r="AK50" t="s">
        <v>229</v>
      </c>
      <c r="AL50" t="s">
        <v>103</v>
      </c>
      <c r="AP50" t="s">
        <v>230</v>
      </c>
      <c r="AQ50" t="s">
        <v>231</v>
      </c>
      <c r="AT50" t="s">
        <v>232</v>
      </c>
      <c r="AU50">
        <v>-99</v>
      </c>
      <c r="AV50" t="s">
        <v>104</v>
      </c>
      <c r="AW50">
        <v>2520</v>
      </c>
      <c r="AX50">
        <v>42541355</v>
      </c>
      <c r="AY50" s="73">
        <v>45376.25</v>
      </c>
      <c r="AZ50" t="s">
        <v>226</v>
      </c>
      <c r="BA50" t="s">
        <v>290</v>
      </c>
      <c r="BB50" t="s">
        <v>235</v>
      </c>
      <c r="BC50" t="s">
        <v>229</v>
      </c>
      <c r="BD50" t="s">
        <v>103</v>
      </c>
      <c r="BI50" t="s">
        <v>233</v>
      </c>
      <c r="BJ50" t="s">
        <v>0</v>
      </c>
      <c r="BK50">
        <v>42541337</v>
      </c>
      <c r="BN50" t="s">
        <v>104</v>
      </c>
      <c r="BO50">
        <v>42541348</v>
      </c>
      <c r="BR50">
        <v>2520</v>
      </c>
      <c r="BS50">
        <v>42541355</v>
      </c>
      <c r="BT50" s="73">
        <v>45376.25</v>
      </c>
      <c r="BU50" t="s">
        <v>226</v>
      </c>
      <c r="BV50" t="s">
        <v>290</v>
      </c>
      <c r="BW50" t="s">
        <v>235</v>
      </c>
      <c r="CH50" t="s">
        <v>229</v>
      </c>
      <c r="CI50" t="s">
        <v>103</v>
      </c>
      <c r="CJ50" t="s">
        <v>226</v>
      </c>
      <c r="CK50" t="s">
        <v>290</v>
      </c>
      <c r="CL50" t="s">
        <v>235</v>
      </c>
      <c r="CM50" t="s">
        <v>236</v>
      </c>
      <c r="CN50" t="s">
        <v>104</v>
      </c>
      <c r="CO50">
        <v>2520</v>
      </c>
      <c r="CP50">
        <v>42541355</v>
      </c>
      <c r="CQ50" s="73">
        <v>45376.25</v>
      </c>
      <c r="CR50" t="s">
        <v>229</v>
      </c>
      <c r="CS50" t="s">
        <v>103</v>
      </c>
      <c r="CU50" t="s">
        <v>225</v>
      </c>
    </row>
    <row r="51" spans="1:99">
      <c r="A51" t="s">
        <v>42</v>
      </c>
      <c r="B51" t="s">
        <v>92</v>
      </c>
      <c r="J51" t="s">
        <v>225</v>
      </c>
      <c r="K51" t="s">
        <v>225</v>
      </c>
      <c r="M51" s="73">
        <v>45376.25</v>
      </c>
      <c r="N51">
        <v>42540900</v>
      </c>
      <c r="O51">
        <v>-2753</v>
      </c>
      <c r="P51" t="s">
        <v>45</v>
      </c>
      <c r="Q51">
        <v>-2753</v>
      </c>
      <c r="R51" t="s">
        <v>45</v>
      </c>
      <c r="U51" t="s">
        <v>226</v>
      </c>
      <c r="V51" t="s">
        <v>291</v>
      </c>
      <c r="W51" t="s">
        <v>228</v>
      </c>
      <c r="X51" t="s">
        <v>229</v>
      </c>
      <c r="Y51" t="s">
        <v>42</v>
      </c>
      <c r="AD51" t="s">
        <v>45</v>
      </c>
      <c r="AE51">
        <v>-2753</v>
      </c>
      <c r="AF51">
        <v>42540900</v>
      </c>
      <c r="AG51" s="73">
        <v>45376.25</v>
      </c>
      <c r="AH51" t="s">
        <v>226</v>
      </c>
      <c r="AI51" t="s">
        <v>291</v>
      </c>
      <c r="AJ51" t="s">
        <v>228</v>
      </c>
      <c r="AK51" t="s">
        <v>229</v>
      </c>
      <c r="AL51" t="s">
        <v>42</v>
      </c>
      <c r="AP51" t="s">
        <v>230</v>
      </c>
      <c r="AQ51" t="s">
        <v>231</v>
      </c>
      <c r="AT51" t="s">
        <v>232</v>
      </c>
      <c r="AU51">
        <v>-99</v>
      </c>
      <c r="AV51" t="s">
        <v>45</v>
      </c>
      <c r="AW51">
        <v>-2753</v>
      </c>
      <c r="AX51">
        <v>42540900</v>
      </c>
      <c r="AY51" s="73">
        <v>45376.25</v>
      </c>
      <c r="AZ51" t="s">
        <v>226</v>
      </c>
      <c r="BA51" t="s">
        <v>291</v>
      </c>
      <c r="BB51" t="s">
        <v>228</v>
      </c>
      <c r="BC51" t="s">
        <v>229</v>
      </c>
      <c r="BD51" t="s">
        <v>42</v>
      </c>
      <c r="BI51" t="s">
        <v>233</v>
      </c>
      <c r="BJ51" t="s">
        <v>0</v>
      </c>
      <c r="BK51">
        <v>42540800</v>
      </c>
      <c r="BN51" t="s">
        <v>45</v>
      </c>
      <c r="BR51">
        <v>-2753</v>
      </c>
      <c r="BS51">
        <v>42540900</v>
      </c>
      <c r="BT51" s="73">
        <v>45376.25</v>
      </c>
      <c r="BU51" t="s">
        <v>226</v>
      </c>
      <c r="BV51" t="s">
        <v>291</v>
      </c>
      <c r="BW51" t="s">
        <v>228</v>
      </c>
      <c r="CH51" t="s">
        <v>229</v>
      </c>
      <c r="CI51" t="s">
        <v>42</v>
      </c>
      <c r="CJ51" t="s">
        <v>226</v>
      </c>
      <c r="CK51" t="s">
        <v>291</v>
      </c>
      <c r="CL51" t="s">
        <v>228</v>
      </c>
      <c r="CM51" t="s">
        <v>234</v>
      </c>
      <c r="CN51" t="s">
        <v>45</v>
      </c>
      <c r="CO51">
        <v>-2753</v>
      </c>
      <c r="CP51">
        <v>42540900</v>
      </c>
      <c r="CQ51" s="73">
        <v>45376.25</v>
      </c>
      <c r="CR51" t="s">
        <v>229</v>
      </c>
      <c r="CS51" t="s">
        <v>42</v>
      </c>
      <c r="CU51" t="s">
        <v>225</v>
      </c>
    </row>
    <row r="52" spans="1:99">
      <c r="A52" t="s">
        <v>99</v>
      </c>
      <c r="B52" t="s">
        <v>98</v>
      </c>
      <c r="J52" t="s">
        <v>225</v>
      </c>
      <c r="K52" t="s">
        <v>225</v>
      </c>
      <c r="M52" s="73">
        <v>45376.25</v>
      </c>
      <c r="N52">
        <v>42540899</v>
      </c>
      <c r="O52">
        <v>-137.5</v>
      </c>
      <c r="P52" t="s">
        <v>73</v>
      </c>
      <c r="Q52">
        <v>-137.5</v>
      </c>
      <c r="R52" t="s">
        <v>73</v>
      </c>
      <c r="U52" t="s">
        <v>226</v>
      </c>
      <c r="V52" t="s">
        <v>291</v>
      </c>
      <c r="W52" t="s">
        <v>228</v>
      </c>
      <c r="X52" t="s">
        <v>229</v>
      </c>
      <c r="Y52" t="s">
        <v>99</v>
      </c>
      <c r="AD52" t="s">
        <v>73</v>
      </c>
      <c r="AE52">
        <v>-137.5</v>
      </c>
      <c r="AF52">
        <v>42540899</v>
      </c>
      <c r="AG52" s="73">
        <v>45376.25</v>
      </c>
      <c r="AH52" t="s">
        <v>226</v>
      </c>
      <c r="AI52" t="s">
        <v>291</v>
      </c>
      <c r="AJ52" t="s">
        <v>228</v>
      </c>
      <c r="AK52" t="s">
        <v>229</v>
      </c>
      <c r="AL52" t="s">
        <v>99</v>
      </c>
      <c r="AP52" t="s">
        <v>230</v>
      </c>
      <c r="AQ52" t="s">
        <v>231</v>
      </c>
      <c r="AT52" t="s">
        <v>232</v>
      </c>
      <c r="AU52">
        <v>-99</v>
      </c>
      <c r="AV52" t="s">
        <v>73</v>
      </c>
      <c r="AW52">
        <v>-137.5</v>
      </c>
      <c r="AX52">
        <v>42540899</v>
      </c>
      <c r="AY52" s="73">
        <v>45376.25</v>
      </c>
      <c r="AZ52" t="s">
        <v>226</v>
      </c>
      <c r="BA52" t="s">
        <v>291</v>
      </c>
      <c r="BB52" t="s">
        <v>228</v>
      </c>
      <c r="BC52" t="s">
        <v>229</v>
      </c>
      <c r="BD52" t="s">
        <v>99</v>
      </c>
      <c r="BI52" t="s">
        <v>233</v>
      </c>
      <c r="BJ52" t="s">
        <v>0</v>
      </c>
      <c r="BK52">
        <v>42540800</v>
      </c>
      <c r="BN52" t="s">
        <v>73</v>
      </c>
      <c r="BR52">
        <v>-137.5</v>
      </c>
      <c r="BS52">
        <v>42540899</v>
      </c>
      <c r="BT52" s="73">
        <v>45376.25</v>
      </c>
      <c r="BU52" t="s">
        <v>226</v>
      </c>
      <c r="BV52" t="s">
        <v>291</v>
      </c>
      <c r="BW52" t="s">
        <v>228</v>
      </c>
      <c r="CH52" t="s">
        <v>229</v>
      </c>
      <c r="CI52" t="s">
        <v>99</v>
      </c>
      <c r="CJ52" t="s">
        <v>226</v>
      </c>
      <c r="CK52" t="s">
        <v>291</v>
      </c>
      <c r="CL52" t="s">
        <v>228</v>
      </c>
      <c r="CM52" t="s">
        <v>234</v>
      </c>
      <c r="CN52" t="s">
        <v>73</v>
      </c>
      <c r="CO52">
        <v>-137.5</v>
      </c>
      <c r="CP52">
        <v>42540899</v>
      </c>
      <c r="CQ52" s="73">
        <v>45376.25</v>
      </c>
      <c r="CR52" t="s">
        <v>229</v>
      </c>
      <c r="CS52" t="s">
        <v>99</v>
      </c>
      <c r="CU52" t="s">
        <v>225</v>
      </c>
    </row>
    <row r="53" spans="1:99">
      <c r="A53" t="s">
        <v>103</v>
      </c>
      <c r="B53" t="s">
        <v>98</v>
      </c>
      <c r="J53" t="s">
        <v>225</v>
      </c>
      <c r="K53" t="s">
        <v>225</v>
      </c>
      <c r="M53" s="73">
        <v>45376.25</v>
      </c>
      <c r="N53">
        <v>42540898</v>
      </c>
      <c r="O53">
        <v>2750</v>
      </c>
      <c r="P53" t="s">
        <v>104</v>
      </c>
      <c r="Q53">
        <v>2750</v>
      </c>
      <c r="R53" t="s">
        <v>104</v>
      </c>
      <c r="S53">
        <v>137.5</v>
      </c>
      <c r="T53" t="s">
        <v>73</v>
      </c>
      <c r="U53" t="s">
        <v>226</v>
      </c>
      <c r="V53" t="s">
        <v>291</v>
      </c>
      <c r="W53" t="s">
        <v>235</v>
      </c>
      <c r="X53" t="s">
        <v>229</v>
      </c>
      <c r="Y53" t="s">
        <v>103</v>
      </c>
      <c r="AD53" t="s">
        <v>104</v>
      </c>
      <c r="AE53">
        <v>2750</v>
      </c>
      <c r="AF53">
        <v>42540898</v>
      </c>
      <c r="AG53" s="73">
        <v>45376.25</v>
      </c>
      <c r="AH53" t="s">
        <v>226</v>
      </c>
      <c r="AI53" t="s">
        <v>291</v>
      </c>
      <c r="AJ53" t="s">
        <v>235</v>
      </c>
      <c r="AK53" t="s">
        <v>229</v>
      </c>
      <c r="AL53" t="s">
        <v>103</v>
      </c>
      <c r="AP53" t="s">
        <v>230</v>
      </c>
      <c r="AQ53" t="s">
        <v>231</v>
      </c>
      <c r="AT53" t="s">
        <v>232</v>
      </c>
      <c r="AU53">
        <v>-99</v>
      </c>
      <c r="AV53" t="s">
        <v>104</v>
      </c>
      <c r="AW53">
        <v>2750</v>
      </c>
      <c r="AX53">
        <v>42540898</v>
      </c>
      <c r="AY53" s="73">
        <v>45376.25</v>
      </c>
      <c r="AZ53" t="s">
        <v>226</v>
      </c>
      <c r="BA53" t="s">
        <v>291</v>
      </c>
      <c r="BB53" t="s">
        <v>235</v>
      </c>
      <c r="BC53" t="s">
        <v>229</v>
      </c>
      <c r="BD53" t="s">
        <v>103</v>
      </c>
      <c r="BI53" t="s">
        <v>233</v>
      </c>
      <c r="BJ53" t="s">
        <v>0</v>
      </c>
      <c r="BK53">
        <v>42540800</v>
      </c>
      <c r="BN53" t="s">
        <v>104</v>
      </c>
      <c r="BO53">
        <v>42540824</v>
      </c>
      <c r="BR53">
        <v>2750</v>
      </c>
      <c r="BS53">
        <v>42540898</v>
      </c>
      <c r="BT53" s="73">
        <v>45376.25</v>
      </c>
      <c r="BU53" t="s">
        <v>226</v>
      </c>
      <c r="BV53" t="s">
        <v>291</v>
      </c>
      <c r="BW53" t="s">
        <v>235</v>
      </c>
      <c r="CH53" t="s">
        <v>229</v>
      </c>
      <c r="CI53" t="s">
        <v>103</v>
      </c>
      <c r="CJ53" t="s">
        <v>226</v>
      </c>
      <c r="CK53" t="s">
        <v>291</v>
      </c>
      <c r="CL53" t="s">
        <v>235</v>
      </c>
      <c r="CM53" t="s">
        <v>236</v>
      </c>
      <c r="CN53" t="s">
        <v>104</v>
      </c>
      <c r="CO53">
        <v>2750</v>
      </c>
      <c r="CP53">
        <v>42540898</v>
      </c>
      <c r="CQ53" s="73">
        <v>45376.25</v>
      </c>
      <c r="CR53" t="s">
        <v>229</v>
      </c>
      <c r="CS53" t="s">
        <v>103</v>
      </c>
      <c r="CU53" t="s">
        <v>225</v>
      </c>
    </row>
    <row r="54" spans="1:99">
      <c r="A54" t="s">
        <v>111</v>
      </c>
      <c r="B54" t="s">
        <v>77</v>
      </c>
      <c r="J54" t="s">
        <v>225</v>
      </c>
      <c r="K54" t="s">
        <v>225</v>
      </c>
      <c r="M54" s="73">
        <v>45376.25</v>
      </c>
      <c r="N54">
        <v>42540897</v>
      </c>
      <c r="O54">
        <v>3</v>
      </c>
      <c r="P54" t="s">
        <v>45</v>
      </c>
      <c r="Q54">
        <v>3</v>
      </c>
      <c r="R54" t="s">
        <v>45</v>
      </c>
      <c r="U54" t="s">
        <v>226</v>
      </c>
      <c r="V54" t="s">
        <v>291</v>
      </c>
      <c r="W54" t="s">
        <v>237</v>
      </c>
      <c r="X54" t="s">
        <v>229</v>
      </c>
      <c r="Y54" t="s">
        <v>111</v>
      </c>
      <c r="AD54" t="s">
        <v>45</v>
      </c>
      <c r="AE54">
        <v>3</v>
      </c>
      <c r="AF54">
        <v>42540897</v>
      </c>
      <c r="AG54" s="73">
        <v>45376.25</v>
      </c>
      <c r="AH54" t="s">
        <v>226</v>
      </c>
      <c r="AI54" t="s">
        <v>291</v>
      </c>
      <c r="AJ54" t="s">
        <v>237</v>
      </c>
      <c r="AK54" t="s">
        <v>229</v>
      </c>
      <c r="AL54" t="s">
        <v>111</v>
      </c>
      <c r="AP54" t="s">
        <v>230</v>
      </c>
      <c r="AQ54" t="s">
        <v>231</v>
      </c>
      <c r="AT54" t="s">
        <v>232</v>
      </c>
      <c r="AU54">
        <v>-99</v>
      </c>
      <c r="AV54" t="s">
        <v>45</v>
      </c>
      <c r="AW54">
        <v>3</v>
      </c>
      <c r="AX54">
        <v>42540897</v>
      </c>
      <c r="AY54" s="73">
        <v>45376.25</v>
      </c>
      <c r="AZ54" t="s">
        <v>226</v>
      </c>
      <c r="BA54" t="s">
        <v>291</v>
      </c>
      <c r="BB54" t="s">
        <v>237</v>
      </c>
      <c r="BC54" t="s">
        <v>229</v>
      </c>
      <c r="BD54" t="s">
        <v>111</v>
      </c>
      <c r="BI54" t="s">
        <v>233</v>
      </c>
      <c r="BJ54" t="s">
        <v>0</v>
      </c>
      <c r="BK54">
        <v>42540800</v>
      </c>
      <c r="BN54" t="s">
        <v>45</v>
      </c>
      <c r="BO54">
        <v>42540883</v>
      </c>
      <c r="BR54">
        <v>3</v>
      </c>
      <c r="BS54">
        <v>42540897</v>
      </c>
      <c r="BT54" s="73">
        <v>45376.25</v>
      </c>
      <c r="BU54" t="s">
        <v>226</v>
      </c>
      <c r="BV54" t="s">
        <v>291</v>
      </c>
      <c r="BW54" t="s">
        <v>237</v>
      </c>
      <c r="CH54" t="s">
        <v>229</v>
      </c>
      <c r="CI54" t="s">
        <v>111</v>
      </c>
      <c r="CJ54" t="s">
        <v>226</v>
      </c>
      <c r="CK54" t="s">
        <v>291</v>
      </c>
      <c r="CL54" t="s">
        <v>237</v>
      </c>
      <c r="CM54" t="s">
        <v>236</v>
      </c>
      <c r="CN54" t="s">
        <v>45</v>
      </c>
      <c r="CO54">
        <v>3</v>
      </c>
      <c r="CP54">
        <v>42540897</v>
      </c>
      <c r="CQ54" s="73">
        <v>45376.25</v>
      </c>
      <c r="CR54" t="s">
        <v>229</v>
      </c>
      <c r="CS54" t="s">
        <v>111</v>
      </c>
      <c r="CU54" t="s">
        <v>225</v>
      </c>
    </row>
    <row r="55" spans="1:99">
      <c r="A55" t="s">
        <v>52</v>
      </c>
      <c r="B55" t="s">
        <v>92</v>
      </c>
      <c r="J55" t="s">
        <v>225</v>
      </c>
      <c r="K55" t="s">
        <v>225</v>
      </c>
      <c r="M55" s="73">
        <v>45376.25</v>
      </c>
      <c r="N55">
        <v>42540502</v>
      </c>
      <c r="O55">
        <v>-551</v>
      </c>
      <c r="P55" t="s">
        <v>45</v>
      </c>
      <c r="Q55">
        <v>-551</v>
      </c>
      <c r="R55" t="s">
        <v>45</v>
      </c>
      <c r="U55" t="s">
        <v>226</v>
      </c>
      <c r="V55" t="s">
        <v>292</v>
      </c>
      <c r="W55" t="s">
        <v>228</v>
      </c>
      <c r="X55" t="s">
        <v>229</v>
      </c>
      <c r="Y55" t="s">
        <v>52</v>
      </c>
      <c r="AD55" t="s">
        <v>45</v>
      </c>
      <c r="AE55">
        <v>-551</v>
      </c>
      <c r="AF55">
        <v>42540502</v>
      </c>
      <c r="AG55" s="73">
        <v>45376.25</v>
      </c>
      <c r="AH55" t="s">
        <v>226</v>
      </c>
      <c r="AI55" t="s">
        <v>292</v>
      </c>
      <c r="AJ55" t="s">
        <v>228</v>
      </c>
      <c r="AK55" t="s">
        <v>229</v>
      </c>
      <c r="AL55" t="s">
        <v>52</v>
      </c>
      <c r="AP55" t="s">
        <v>230</v>
      </c>
      <c r="AQ55" t="s">
        <v>231</v>
      </c>
      <c r="AT55" t="s">
        <v>232</v>
      </c>
      <c r="AU55">
        <v>-99</v>
      </c>
      <c r="AV55" t="s">
        <v>45</v>
      </c>
      <c r="AW55">
        <v>-551</v>
      </c>
      <c r="AX55">
        <v>42540502</v>
      </c>
      <c r="AY55" s="73">
        <v>45376.25</v>
      </c>
      <c r="AZ55" t="s">
        <v>226</v>
      </c>
      <c r="BA55" t="s">
        <v>292</v>
      </c>
      <c r="BB55" t="s">
        <v>228</v>
      </c>
      <c r="BC55" t="s">
        <v>229</v>
      </c>
      <c r="BD55" t="s">
        <v>52</v>
      </c>
      <c r="BI55" t="s">
        <v>233</v>
      </c>
      <c r="BJ55" t="s">
        <v>0</v>
      </c>
      <c r="BK55">
        <v>42540483</v>
      </c>
      <c r="BN55" t="s">
        <v>45</v>
      </c>
      <c r="BR55">
        <v>-551</v>
      </c>
      <c r="BS55">
        <v>42540502</v>
      </c>
      <c r="BT55" s="73">
        <v>45376.25</v>
      </c>
      <c r="BU55" t="s">
        <v>226</v>
      </c>
      <c r="BV55" t="s">
        <v>292</v>
      </c>
      <c r="BW55" t="s">
        <v>228</v>
      </c>
      <c r="CH55" t="s">
        <v>229</v>
      </c>
      <c r="CI55" t="s">
        <v>52</v>
      </c>
      <c r="CJ55" t="s">
        <v>226</v>
      </c>
      <c r="CK55" t="s">
        <v>292</v>
      </c>
      <c r="CL55" t="s">
        <v>228</v>
      </c>
      <c r="CM55" t="s">
        <v>234</v>
      </c>
      <c r="CN55" t="s">
        <v>45</v>
      </c>
      <c r="CO55">
        <v>-551</v>
      </c>
      <c r="CP55">
        <v>42540502</v>
      </c>
      <c r="CQ55" s="73">
        <v>45376.25</v>
      </c>
      <c r="CR55" t="s">
        <v>229</v>
      </c>
      <c r="CS55" t="s">
        <v>52</v>
      </c>
      <c r="CU55" t="s">
        <v>225</v>
      </c>
    </row>
    <row r="56" spans="1:99">
      <c r="A56" t="s">
        <v>101</v>
      </c>
      <c r="B56" t="s">
        <v>98</v>
      </c>
      <c r="J56" t="s">
        <v>225</v>
      </c>
      <c r="K56" t="s">
        <v>225</v>
      </c>
      <c r="M56" s="73">
        <v>45376.25</v>
      </c>
      <c r="N56">
        <v>42540501</v>
      </c>
      <c r="O56">
        <v>-27.5</v>
      </c>
      <c r="P56" t="s">
        <v>73</v>
      </c>
      <c r="Q56">
        <v>-27.5</v>
      </c>
      <c r="R56" t="s">
        <v>73</v>
      </c>
      <c r="U56" t="s">
        <v>226</v>
      </c>
      <c r="V56" t="s">
        <v>292</v>
      </c>
      <c r="W56" t="s">
        <v>228</v>
      </c>
      <c r="X56" t="s">
        <v>229</v>
      </c>
      <c r="Y56" t="s">
        <v>101</v>
      </c>
      <c r="AD56" t="s">
        <v>73</v>
      </c>
      <c r="AE56">
        <v>-27.5</v>
      </c>
      <c r="AF56">
        <v>42540501</v>
      </c>
      <c r="AG56" s="73">
        <v>45376.25</v>
      </c>
      <c r="AH56" t="s">
        <v>226</v>
      </c>
      <c r="AI56" t="s">
        <v>292</v>
      </c>
      <c r="AJ56" t="s">
        <v>228</v>
      </c>
      <c r="AK56" t="s">
        <v>229</v>
      </c>
      <c r="AL56" t="s">
        <v>101</v>
      </c>
      <c r="AP56" t="s">
        <v>230</v>
      </c>
      <c r="AQ56" t="s">
        <v>231</v>
      </c>
      <c r="AT56" t="s">
        <v>232</v>
      </c>
      <c r="AU56">
        <v>-99</v>
      </c>
      <c r="AV56" t="s">
        <v>73</v>
      </c>
      <c r="AW56">
        <v>-27.5</v>
      </c>
      <c r="AX56">
        <v>42540501</v>
      </c>
      <c r="AY56" s="73">
        <v>45376.25</v>
      </c>
      <c r="AZ56" t="s">
        <v>226</v>
      </c>
      <c r="BA56" t="s">
        <v>292</v>
      </c>
      <c r="BB56" t="s">
        <v>228</v>
      </c>
      <c r="BC56" t="s">
        <v>229</v>
      </c>
      <c r="BD56" t="s">
        <v>101</v>
      </c>
      <c r="BI56" t="s">
        <v>233</v>
      </c>
      <c r="BJ56" t="s">
        <v>0</v>
      </c>
      <c r="BK56">
        <v>42540483</v>
      </c>
      <c r="BN56" t="s">
        <v>73</v>
      </c>
      <c r="BR56">
        <v>-27.5</v>
      </c>
      <c r="BS56">
        <v>42540501</v>
      </c>
      <c r="BT56" s="73">
        <v>45376.25</v>
      </c>
      <c r="BU56" t="s">
        <v>226</v>
      </c>
      <c r="BV56" t="s">
        <v>292</v>
      </c>
      <c r="BW56" t="s">
        <v>228</v>
      </c>
      <c r="CH56" t="s">
        <v>229</v>
      </c>
      <c r="CI56" t="s">
        <v>101</v>
      </c>
      <c r="CJ56" t="s">
        <v>226</v>
      </c>
      <c r="CK56" t="s">
        <v>292</v>
      </c>
      <c r="CL56" t="s">
        <v>228</v>
      </c>
      <c r="CM56" t="s">
        <v>234</v>
      </c>
      <c r="CN56" t="s">
        <v>73</v>
      </c>
      <c r="CO56">
        <v>-27.5</v>
      </c>
      <c r="CP56">
        <v>42540501</v>
      </c>
      <c r="CQ56" s="73">
        <v>45376.25</v>
      </c>
      <c r="CR56" t="s">
        <v>229</v>
      </c>
      <c r="CS56" t="s">
        <v>101</v>
      </c>
      <c r="CU56" t="s">
        <v>225</v>
      </c>
    </row>
    <row r="57" spans="1:99">
      <c r="A57" t="s">
        <v>107</v>
      </c>
      <c r="B57" t="s">
        <v>98</v>
      </c>
      <c r="J57" t="s">
        <v>225</v>
      </c>
      <c r="K57" t="s">
        <v>225</v>
      </c>
      <c r="M57" s="73">
        <v>45376.25</v>
      </c>
      <c r="N57">
        <v>42540500</v>
      </c>
      <c r="O57">
        <v>550</v>
      </c>
      <c r="P57" t="s">
        <v>104</v>
      </c>
      <c r="Q57">
        <v>550</v>
      </c>
      <c r="R57" t="s">
        <v>104</v>
      </c>
      <c r="S57">
        <v>27.5</v>
      </c>
      <c r="T57" t="s">
        <v>73</v>
      </c>
      <c r="U57" t="s">
        <v>226</v>
      </c>
      <c r="V57" t="s">
        <v>292</v>
      </c>
      <c r="W57" t="s">
        <v>235</v>
      </c>
      <c r="X57" t="s">
        <v>229</v>
      </c>
      <c r="Y57" t="s">
        <v>107</v>
      </c>
      <c r="AD57" t="s">
        <v>104</v>
      </c>
      <c r="AE57">
        <v>550</v>
      </c>
      <c r="AF57">
        <v>42540500</v>
      </c>
      <c r="AG57" s="73">
        <v>45376.25</v>
      </c>
      <c r="AH57" t="s">
        <v>226</v>
      </c>
      <c r="AI57" t="s">
        <v>292</v>
      </c>
      <c r="AJ57" t="s">
        <v>235</v>
      </c>
      <c r="AK57" t="s">
        <v>229</v>
      </c>
      <c r="AL57" t="s">
        <v>107</v>
      </c>
      <c r="AP57" t="s">
        <v>230</v>
      </c>
      <c r="AQ57" t="s">
        <v>231</v>
      </c>
      <c r="AT57" t="s">
        <v>232</v>
      </c>
      <c r="AU57">
        <v>-99</v>
      </c>
      <c r="AV57" t="s">
        <v>104</v>
      </c>
      <c r="AW57">
        <v>550</v>
      </c>
      <c r="AX57">
        <v>42540500</v>
      </c>
      <c r="AY57" s="73">
        <v>45376.25</v>
      </c>
      <c r="AZ57" t="s">
        <v>226</v>
      </c>
      <c r="BA57" t="s">
        <v>292</v>
      </c>
      <c r="BB57" t="s">
        <v>235</v>
      </c>
      <c r="BC57" t="s">
        <v>229</v>
      </c>
      <c r="BD57" t="s">
        <v>107</v>
      </c>
      <c r="BI57" t="s">
        <v>233</v>
      </c>
      <c r="BJ57" t="s">
        <v>0</v>
      </c>
      <c r="BK57">
        <v>42540483</v>
      </c>
      <c r="BN57" t="s">
        <v>104</v>
      </c>
      <c r="BO57">
        <v>42540489</v>
      </c>
      <c r="BR57">
        <v>550</v>
      </c>
      <c r="BS57">
        <v>42540500</v>
      </c>
      <c r="BT57" s="73">
        <v>45376.25</v>
      </c>
      <c r="BU57" t="s">
        <v>226</v>
      </c>
      <c r="BV57" t="s">
        <v>292</v>
      </c>
      <c r="BW57" t="s">
        <v>235</v>
      </c>
      <c r="CH57" t="s">
        <v>229</v>
      </c>
      <c r="CI57" t="s">
        <v>107</v>
      </c>
      <c r="CJ57" t="s">
        <v>226</v>
      </c>
      <c r="CK57" t="s">
        <v>292</v>
      </c>
      <c r="CL57" t="s">
        <v>235</v>
      </c>
      <c r="CM57" t="s">
        <v>236</v>
      </c>
      <c r="CN57" t="s">
        <v>104</v>
      </c>
      <c r="CO57">
        <v>550</v>
      </c>
      <c r="CP57">
        <v>42540500</v>
      </c>
      <c r="CQ57" s="73">
        <v>45376.25</v>
      </c>
      <c r="CR57" t="s">
        <v>229</v>
      </c>
      <c r="CS57" t="s">
        <v>107</v>
      </c>
      <c r="CU57" t="s">
        <v>225</v>
      </c>
    </row>
    <row r="58" spans="1:99">
      <c r="A58" t="s">
        <v>111</v>
      </c>
      <c r="B58" t="s">
        <v>77</v>
      </c>
      <c r="J58" t="s">
        <v>225</v>
      </c>
      <c r="K58" t="s">
        <v>225</v>
      </c>
      <c r="M58" s="73">
        <v>45376.25</v>
      </c>
      <c r="N58">
        <v>42540499</v>
      </c>
      <c r="O58">
        <v>1</v>
      </c>
      <c r="P58" t="s">
        <v>45</v>
      </c>
      <c r="Q58">
        <v>1</v>
      </c>
      <c r="R58" t="s">
        <v>45</v>
      </c>
      <c r="U58" t="s">
        <v>226</v>
      </c>
      <c r="V58" t="s">
        <v>292</v>
      </c>
      <c r="W58" t="s">
        <v>237</v>
      </c>
      <c r="X58" t="s">
        <v>229</v>
      </c>
      <c r="Y58" t="s">
        <v>111</v>
      </c>
      <c r="AD58" t="s">
        <v>45</v>
      </c>
      <c r="AE58">
        <v>1</v>
      </c>
      <c r="AF58">
        <v>42540499</v>
      </c>
      <c r="AG58" s="73">
        <v>45376.25</v>
      </c>
      <c r="AH58" t="s">
        <v>226</v>
      </c>
      <c r="AI58" t="s">
        <v>292</v>
      </c>
      <c r="AJ58" t="s">
        <v>237</v>
      </c>
      <c r="AK58" t="s">
        <v>229</v>
      </c>
      <c r="AL58" t="s">
        <v>111</v>
      </c>
      <c r="AP58" t="s">
        <v>230</v>
      </c>
      <c r="AQ58" t="s">
        <v>231</v>
      </c>
      <c r="AT58" t="s">
        <v>232</v>
      </c>
      <c r="AU58">
        <v>-99</v>
      </c>
      <c r="AV58" t="s">
        <v>45</v>
      </c>
      <c r="AW58">
        <v>1</v>
      </c>
      <c r="AX58">
        <v>42540499</v>
      </c>
      <c r="AY58" s="73">
        <v>45376.25</v>
      </c>
      <c r="AZ58" t="s">
        <v>226</v>
      </c>
      <c r="BA58" t="s">
        <v>292</v>
      </c>
      <c r="BB58" t="s">
        <v>237</v>
      </c>
      <c r="BC58" t="s">
        <v>229</v>
      </c>
      <c r="BD58" t="s">
        <v>111</v>
      </c>
      <c r="BI58" t="s">
        <v>233</v>
      </c>
      <c r="BJ58" t="s">
        <v>0</v>
      </c>
      <c r="BK58">
        <v>42540483</v>
      </c>
      <c r="BN58" t="s">
        <v>45</v>
      </c>
      <c r="BO58">
        <v>42540491</v>
      </c>
      <c r="BR58">
        <v>1</v>
      </c>
      <c r="BS58">
        <v>42540499</v>
      </c>
      <c r="BT58" s="73">
        <v>45376.25</v>
      </c>
      <c r="BU58" t="s">
        <v>226</v>
      </c>
      <c r="BV58" t="s">
        <v>292</v>
      </c>
      <c r="BW58" t="s">
        <v>237</v>
      </c>
      <c r="CH58" t="s">
        <v>229</v>
      </c>
      <c r="CI58" t="s">
        <v>111</v>
      </c>
      <c r="CJ58" t="s">
        <v>226</v>
      </c>
      <c r="CK58" t="s">
        <v>292</v>
      </c>
      <c r="CL58" t="s">
        <v>237</v>
      </c>
      <c r="CM58" t="s">
        <v>236</v>
      </c>
      <c r="CN58" t="s">
        <v>45</v>
      </c>
      <c r="CO58">
        <v>1</v>
      </c>
      <c r="CP58">
        <v>42540499</v>
      </c>
      <c r="CQ58" s="73">
        <v>45376.25</v>
      </c>
      <c r="CR58" t="s">
        <v>229</v>
      </c>
      <c r="CS58" t="s">
        <v>111</v>
      </c>
      <c r="CU58" t="s">
        <v>225</v>
      </c>
    </row>
    <row r="59" spans="1:99">
      <c r="A59" t="s">
        <v>46</v>
      </c>
      <c r="B59" t="s">
        <v>92</v>
      </c>
      <c r="J59" t="s">
        <v>225</v>
      </c>
      <c r="K59" t="s">
        <v>225</v>
      </c>
      <c r="M59" s="73">
        <v>45376.25</v>
      </c>
      <c r="N59">
        <v>42540302</v>
      </c>
      <c r="O59">
        <v>-201</v>
      </c>
      <c r="P59" t="s">
        <v>45</v>
      </c>
      <c r="Q59">
        <v>-201</v>
      </c>
      <c r="R59" t="s">
        <v>45</v>
      </c>
      <c r="U59" t="s">
        <v>226</v>
      </c>
      <c r="V59" t="s">
        <v>293</v>
      </c>
      <c r="W59" t="s">
        <v>228</v>
      </c>
      <c r="X59" t="s">
        <v>229</v>
      </c>
      <c r="Y59" t="s">
        <v>46</v>
      </c>
      <c r="AD59" t="s">
        <v>45</v>
      </c>
      <c r="AE59">
        <v>-201</v>
      </c>
      <c r="AF59">
        <v>42540302</v>
      </c>
      <c r="AG59" s="73">
        <v>45376.25</v>
      </c>
      <c r="AH59" t="s">
        <v>226</v>
      </c>
      <c r="AI59" t="s">
        <v>293</v>
      </c>
      <c r="AJ59" t="s">
        <v>228</v>
      </c>
      <c r="AK59" t="s">
        <v>229</v>
      </c>
      <c r="AL59" t="s">
        <v>46</v>
      </c>
      <c r="AP59" t="s">
        <v>230</v>
      </c>
      <c r="AQ59" t="s">
        <v>231</v>
      </c>
      <c r="AT59" t="s">
        <v>232</v>
      </c>
      <c r="AU59">
        <v>-99</v>
      </c>
      <c r="AV59" t="s">
        <v>45</v>
      </c>
      <c r="AW59">
        <v>-201</v>
      </c>
      <c r="AX59">
        <v>42540302</v>
      </c>
      <c r="AY59" s="73">
        <v>45376.25</v>
      </c>
      <c r="AZ59" t="s">
        <v>226</v>
      </c>
      <c r="BA59" t="s">
        <v>293</v>
      </c>
      <c r="BB59" t="s">
        <v>228</v>
      </c>
      <c r="BC59" t="s">
        <v>229</v>
      </c>
      <c r="BD59" t="s">
        <v>46</v>
      </c>
      <c r="BI59" t="s">
        <v>233</v>
      </c>
      <c r="BJ59" t="s">
        <v>0</v>
      </c>
      <c r="BK59">
        <v>42540253</v>
      </c>
      <c r="BN59" t="s">
        <v>45</v>
      </c>
      <c r="BR59">
        <v>-201</v>
      </c>
      <c r="BS59">
        <v>42540302</v>
      </c>
      <c r="BT59" s="73">
        <v>45376.25</v>
      </c>
      <c r="BU59" t="s">
        <v>226</v>
      </c>
      <c r="BV59" t="s">
        <v>293</v>
      </c>
      <c r="BW59" t="s">
        <v>228</v>
      </c>
      <c r="CH59" t="s">
        <v>229</v>
      </c>
      <c r="CI59" t="s">
        <v>46</v>
      </c>
      <c r="CJ59" t="s">
        <v>226</v>
      </c>
      <c r="CK59" t="s">
        <v>293</v>
      </c>
      <c r="CL59" t="s">
        <v>228</v>
      </c>
      <c r="CM59" t="s">
        <v>234</v>
      </c>
      <c r="CN59" t="s">
        <v>45</v>
      </c>
      <c r="CO59">
        <v>-201</v>
      </c>
      <c r="CP59">
        <v>42540302</v>
      </c>
      <c r="CQ59" s="73">
        <v>45376.25</v>
      </c>
      <c r="CR59" t="s">
        <v>229</v>
      </c>
      <c r="CS59" t="s">
        <v>46</v>
      </c>
      <c r="CU59" t="s">
        <v>225</v>
      </c>
    </row>
    <row r="60" spans="1:99">
      <c r="A60" t="s">
        <v>93</v>
      </c>
      <c r="B60" t="s">
        <v>98</v>
      </c>
      <c r="J60" t="s">
        <v>225</v>
      </c>
      <c r="K60" t="s">
        <v>225</v>
      </c>
      <c r="M60" s="73">
        <v>45376.25</v>
      </c>
      <c r="N60">
        <v>42540301</v>
      </c>
      <c r="O60">
        <v>-10</v>
      </c>
      <c r="P60" t="s">
        <v>73</v>
      </c>
      <c r="Q60">
        <v>-10</v>
      </c>
      <c r="R60" t="s">
        <v>73</v>
      </c>
      <c r="U60" t="s">
        <v>226</v>
      </c>
      <c r="V60" t="s">
        <v>293</v>
      </c>
      <c r="W60" t="s">
        <v>228</v>
      </c>
      <c r="X60" t="s">
        <v>229</v>
      </c>
      <c r="Y60" t="s">
        <v>93</v>
      </c>
      <c r="AD60" t="s">
        <v>73</v>
      </c>
      <c r="AE60">
        <v>-10</v>
      </c>
      <c r="AF60">
        <v>42540301</v>
      </c>
      <c r="AG60" s="73">
        <v>45376.25</v>
      </c>
      <c r="AH60" t="s">
        <v>226</v>
      </c>
      <c r="AI60" t="s">
        <v>293</v>
      </c>
      <c r="AJ60" t="s">
        <v>228</v>
      </c>
      <c r="AK60" t="s">
        <v>229</v>
      </c>
      <c r="AL60" t="s">
        <v>93</v>
      </c>
      <c r="AP60" t="s">
        <v>230</v>
      </c>
      <c r="AQ60" t="s">
        <v>231</v>
      </c>
      <c r="AT60" t="s">
        <v>232</v>
      </c>
      <c r="AU60">
        <v>-99</v>
      </c>
      <c r="AV60" t="s">
        <v>73</v>
      </c>
      <c r="AW60">
        <v>-10</v>
      </c>
      <c r="AX60">
        <v>42540301</v>
      </c>
      <c r="AY60" s="73">
        <v>45376.25</v>
      </c>
      <c r="AZ60" t="s">
        <v>226</v>
      </c>
      <c r="BA60" t="s">
        <v>293</v>
      </c>
      <c r="BB60" t="s">
        <v>228</v>
      </c>
      <c r="BC60" t="s">
        <v>229</v>
      </c>
      <c r="BD60" t="s">
        <v>93</v>
      </c>
      <c r="BI60" t="s">
        <v>233</v>
      </c>
      <c r="BJ60" t="s">
        <v>0</v>
      </c>
      <c r="BK60">
        <v>42540253</v>
      </c>
      <c r="BN60" t="s">
        <v>73</v>
      </c>
      <c r="BR60">
        <v>-10</v>
      </c>
      <c r="BS60">
        <v>42540301</v>
      </c>
      <c r="BT60" s="73">
        <v>45376.25</v>
      </c>
      <c r="BU60" t="s">
        <v>226</v>
      </c>
      <c r="BV60" t="s">
        <v>293</v>
      </c>
      <c r="BW60" t="s">
        <v>228</v>
      </c>
      <c r="CH60" t="s">
        <v>229</v>
      </c>
      <c r="CI60" t="s">
        <v>93</v>
      </c>
      <c r="CJ60" t="s">
        <v>226</v>
      </c>
      <c r="CK60" t="s">
        <v>293</v>
      </c>
      <c r="CL60" t="s">
        <v>228</v>
      </c>
      <c r="CM60" t="s">
        <v>234</v>
      </c>
      <c r="CN60" t="s">
        <v>73</v>
      </c>
      <c r="CO60">
        <v>-10</v>
      </c>
      <c r="CP60">
        <v>42540301</v>
      </c>
      <c r="CQ60" s="73">
        <v>45376.25</v>
      </c>
      <c r="CR60" t="s">
        <v>229</v>
      </c>
      <c r="CS60" t="s">
        <v>93</v>
      </c>
      <c r="CU60" t="s">
        <v>225</v>
      </c>
    </row>
    <row r="61" spans="1:99">
      <c r="A61" t="s">
        <v>108</v>
      </c>
      <c r="B61" t="s">
        <v>98</v>
      </c>
      <c r="J61" t="s">
        <v>225</v>
      </c>
      <c r="K61" t="s">
        <v>225</v>
      </c>
      <c r="M61" s="73">
        <v>45376.25</v>
      </c>
      <c r="N61">
        <v>42540300</v>
      </c>
      <c r="O61">
        <v>200</v>
      </c>
      <c r="P61" t="s">
        <v>104</v>
      </c>
      <c r="Q61">
        <v>200</v>
      </c>
      <c r="R61" t="s">
        <v>104</v>
      </c>
      <c r="S61">
        <v>10</v>
      </c>
      <c r="T61" t="s">
        <v>73</v>
      </c>
      <c r="U61" t="s">
        <v>226</v>
      </c>
      <c r="V61" t="s">
        <v>293</v>
      </c>
      <c r="W61" t="s">
        <v>235</v>
      </c>
      <c r="X61" t="s">
        <v>229</v>
      </c>
      <c r="Y61" t="s">
        <v>108</v>
      </c>
      <c r="AD61" t="s">
        <v>104</v>
      </c>
      <c r="AE61">
        <v>200</v>
      </c>
      <c r="AF61">
        <v>42540300</v>
      </c>
      <c r="AG61" s="73">
        <v>45376.25</v>
      </c>
      <c r="AH61" t="s">
        <v>226</v>
      </c>
      <c r="AI61" t="s">
        <v>293</v>
      </c>
      <c r="AJ61" t="s">
        <v>235</v>
      </c>
      <c r="AK61" t="s">
        <v>229</v>
      </c>
      <c r="AL61" t="s">
        <v>108</v>
      </c>
      <c r="AP61" t="s">
        <v>230</v>
      </c>
      <c r="AQ61" t="s">
        <v>231</v>
      </c>
      <c r="AT61" t="s">
        <v>232</v>
      </c>
      <c r="AU61">
        <v>-99</v>
      </c>
      <c r="AV61" t="s">
        <v>104</v>
      </c>
      <c r="AW61">
        <v>200</v>
      </c>
      <c r="AX61">
        <v>42540300</v>
      </c>
      <c r="AY61" s="73">
        <v>45376.25</v>
      </c>
      <c r="AZ61" t="s">
        <v>226</v>
      </c>
      <c r="BA61" t="s">
        <v>293</v>
      </c>
      <c r="BB61" t="s">
        <v>235</v>
      </c>
      <c r="BC61" t="s">
        <v>229</v>
      </c>
      <c r="BD61" t="s">
        <v>108</v>
      </c>
      <c r="BI61" t="s">
        <v>233</v>
      </c>
      <c r="BJ61" t="s">
        <v>0</v>
      </c>
      <c r="BK61">
        <v>42540253</v>
      </c>
      <c r="BN61" t="s">
        <v>104</v>
      </c>
      <c r="BO61">
        <v>42540287</v>
      </c>
      <c r="BR61">
        <v>200</v>
      </c>
      <c r="BS61">
        <v>42540300</v>
      </c>
      <c r="BT61" s="73">
        <v>45376.25</v>
      </c>
      <c r="BU61" t="s">
        <v>226</v>
      </c>
      <c r="BV61" t="s">
        <v>293</v>
      </c>
      <c r="BW61" t="s">
        <v>235</v>
      </c>
      <c r="CH61" t="s">
        <v>229</v>
      </c>
      <c r="CI61" t="s">
        <v>108</v>
      </c>
      <c r="CJ61" t="s">
        <v>226</v>
      </c>
      <c r="CK61" t="s">
        <v>293</v>
      </c>
      <c r="CL61" t="s">
        <v>235</v>
      </c>
      <c r="CM61" t="s">
        <v>236</v>
      </c>
      <c r="CN61" t="s">
        <v>104</v>
      </c>
      <c r="CO61">
        <v>200</v>
      </c>
      <c r="CP61">
        <v>42540300</v>
      </c>
      <c r="CQ61" s="73">
        <v>45376.25</v>
      </c>
      <c r="CR61" t="s">
        <v>229</v>
      </c>
      <c r="CS61" t="s">
        <v>108</v>
      </c>
      <c r="CU61" t="s">
        <v>225</v>
      </c>
    </row>
    <row r="62" spans="1:99">
      <c r="A62" t="s">
        <v>111</v>
      </c>
      <c r="B62" t="s">
        <v>77</v>
      </c>
      <c r="J62" t="s">
        <v>225</v>
      </c>
      <c r="K62" t="s">
        <v>225</v>
      </c>
      <c r="M62" s="73">
        <v>45376.25</v>
      </c>
      <c r="N62">
        <v>42540299</v>
      </c>
      <c r="O62">
        <v>1</v>
      </c>
      <c r="P62" t="s">
        <v>45</v>
      </c>
      <c r="Q62">
        <v>1</v>
      </c>
      <c r="R62" t="s">
        <v>45</v>
      </c>
      <c r="U62" t="s">
        <v>226</v>
      </c>
      <c r="V62" t="s">
        <v>293</v>
      </c>
      <c r="W62" t="s">
        <v>237</v>
      </c>
      <c r="X62" t="s">
        <v>229</v>
      </c>
      <c r="Y62" t="s">
        <v>111</v>
      </c>
      <c r="AD62" t="s">
        <v>45</v>
      </c>
      <c r="AE62">
        <v>1</v>
      </c>
      <c r="AF62">
        <v>42540299</v>
      </c>
      <c r="AG62" s="73">
        <v>45376.25</v>
      </c>
      <c r="AH62" t="s">
        <v>226</v>
      </c>
      <c r="AI62" t="s">
        <v>293</v>
      </c>
      <c r="AJ62" t="s">
        <v>237</v>
      </c>
      <c r="AK62" t="s">
        <v>229</v>
      </c>
      <c r="AL62" t="s">
        <v>111</v>
      </c>
      <c r="AP62" t="s">
        <v>230</v>
      </c>
      <c r="AQ62" t="s">
        <v>231</v>
      </c>
      <c r="AT62" t="s">
        <v>232</v>
      </c>
      <c r="AU62">
        <v>-99</v>
      </c>
      <c r="AV62" t="s">
        <v>45</v>
      </c>
      <c r="AW62">
        <v>1</v>
      </c>
      <c r="AX62">
        <v>42540299</v>
      </c>
      <c r="AY62" s="73">
        <v>45376.25</v>
      </c>
      <c r="AZ62" t="s">
        <v>226</v>
      </c>
      <c r="BA62" t="s">
        <v>293</v>
      </c>
      <c r="BB62" t="s">
        <v>237</v>
      </c>
      <c r="BC62" t="s">
        <v>229</v>
      </c>
      <c r="BD62" t="s">
        <v>111</v>
      </c>
      <c r="BI62" t="s">
        <v>233</v>
      </c>
      <c r="BJ62" t="s">
        <v>0</v>
      </c>
      <c r="BK62">
        <v>42540253</v>
      </c>
      <c r="BN62" t="s">
        <v>45</v>
      </c>
      <c r="BO62">
        <v>42540294</v>
      </c>
      <c r="BR62">
        <v>1</v>
      </c>
      <c r="BS62">
        <v>42540299</v>
      </c>
      <c r="BT62" s="73">
        <v>45376.25</v>
      </c>
      <c r="BU62" t="s">
        <v>226</v>
      </c>
      <c r="BV62" t="s">
        <v>293</v>
      </c>
      <c r="BW62" t="s">
        <v>237</v>
      </c>
      <c r="CH62" t="s">
        <v>229</v>
      </c>
      <c r="CI62" t="s">
        <v>111</v>
      </c>
      <c r="CJ62" t="s">
        <v>226</v>
      </c>
      <c r="CK62" t="s">
        <v>293</v>
      </c>
      <c r="CL62" t="s">
        <v>237</v>
      </c>
      <c r="CM62" t="s">
        <v>236</v>
      </c>
      <c r="CN62" t="s">
        <v>45</v>
      </c>
      <c r="CO62">
        <v>1</v>
      </c>
      <c r="CP62">
        <v>42540299</v>
      </c>
      <c r="CQ62" s="73">
        <v>45376.25</v>
      </c>
      <c r="CR62" t="s">
        <v>229</v>
      </c>
      <c r="CS62" t="s">
        <v>111</v>
      </c>
      <c r="CU62" t="s">
        <v>225</v>
      </c>
    </row>
    <row r="63" spans="1:99">
      <c r="A63" t="s">
        <v>52</v>
      </c>
      <c r="B63" t="s">
        <v>92</v>
      </c>
      <c r="J63" t="s">
        <v>225</v>
      </c>
      <c r="K63" t="s">
        <v>225</v>
      </c>
      <c r="M63" s="73">
        <v>45375.956944444442</v>
      </c>
      <c r="N63">
        <v>42531598</v>
      </c>
      <c r="O63">
        <v>-2796</v>
      </c>
      <c r="P63" t="s">
        <v>45</v>
      </c>
      <c r="Q63">
        <v>-2796</v>
      </c>
      <c r="R63" t="s">
        <v>45</v>
      </c>
      <c r="U63" t="s">
        <v>226</v>
      </c>
      <c r="V63" t="s">
        <v>294</v>
      </c>
      <c r="W63" t="s">
        <v>228</v>
      </c>
      <c r="X63" t="s">
        <v>229</v>
      </c>
      <c r="Y63" t="s">
        <v>52</v>
      </c>
      <c r="AD63" t="s">
        <v>45</v>
      </c>
      <c r="AE63">
        <v>-2796</v>
      </c>
      <c r="AF63">
        <v>42531598</v>
      </c>
      <c r="AG63" s="73">
        <v>45375.956944444442</v>
      </c>
      <c r="AH63" t="s">
        <v>226</v>
      </c>
      <c r="AI63" t="s">
        <v>294</v>
      </c>
      <c r="AJ63" t="s">
        <v>228</v>
      </c>
      <c r="AK63" t="s">
        <v>229</v>
      </c>
      <c r="AL63" t="s">
        <v>52</v>
      </c>
      <c r="AP63" t="s">
        <v>230</v>
      </c>
      <c r="AQ63" t="s">
        <v>231</v>
      </c>
      <c r="AT63" t="s">
        <v>232</v>
      </c>
      <c r="AU63">
        <v>-99</v>
      </c>
      <c r="AV63" t="s">
        <v>45</v>
      </c>
      <c r="AW63">
        <v>-2796</v>
      </c>
      <c r="AX63">
        <v>42531598</v>
      </c>
      <c r="AY63" s="73">
        <v>45375.956944444442</v>
      </c>
      <c r="AZ63" t="s">
        <v>226</v>
      </c>
      <c r="BA63" t="s">
        <v>294</v>
      </c>
      <c r="BB63" t="s">
        <v>228</v>
      </c>
      <c r="BC63" t="s">
        <v>229</v>
      </c>
      <c r="BD63" t="s">
        <v>52</v>
      </c>
      <c r="BI63" t="s">
        <v>233</v>
      </c>
      <c r="BJ63" t="s">
        <v>0</v>
      </c>
      <c r="BK63">
        <v>42531582</v>
      </c>
      <c r="BN63" t="s">
        <v>45</v>
      </c>
      <c r="BR63">
        <v>-2796</v>
      </c>
      <c r="BS63">
        <v>42531598</v>
      </c>
      <c r="BT63" s="73">
        <v>45375.956944444442</v>
      </c>
      <c r="BU63" t="s">
        <v>226</v>
      </c>
      <c r="BV63" t="s">
        <v>294</v>
      </c>
      <c r="BW63" t="s">
        <v>228</v>
      </c>
      <c r="CH63" t="s">
        <v>229</v>
      </c>
      <c r="CI63" t="s">
        <v>52</v>
      </c>
      <c r="CJ63" t="s">
        <v>226</v>
      </c>
      <c r="CK63" t="s">
        <v>294</v>
      </c>
      <c r="CL63" t="s">
        <v>228</v>
      </c>
      <c r="CM63" t="s">
        <v>234</v>
      </c>
      <c r="CN63" t="s">
        <v>45</v>
      </c>
      <c r="CO63">
        <v>-2796</v>
      </c>
      <c r="CP63">
        <v>42531598</v>
      </c>
      <c r="CQ63" s="73">
        <v>45375.956944444442</v>
      </c>
      <c r="CR63" t="s">
        <v>229</v>
      </c>
      <c r="CS63" t="s">
        <v>52</v>
      </c>
      <c r="CU63" t="s">
        <v>225</v>
      </c>
    </row>
    <row r="64" spans="1:99">
      <c r="A64" t="s">
        <v>101</v>
      </c>
      <c r="B64" t="s">
        <v>98</v>
      </c>
      <c r="J64" t="s">
        <v>225</v>
      </c>
      <c r="K64" t="s">
        <v>225</v>
      </c>
      <c r="M64" s="73">
        <v>45375.956944444442</v>
      </c>
      <c r="N64">
        <v>42531597</v>
      </c>
      <c r="O64">
        <v>-139</v>
      </c>
      <c r="P64" t="s">
        <v>73</v>
      </c>
      <c r="Q64">
        <v>-139</v>
      </c>
      <c r="R64" t="s">
        <v>73</v>
      </c>
      <c r="U64" t="s">
        <v>226</v>
      </c>
      <c r="V64" t="s">
        <v>294</v>
      </c>
      <c r="W64" t="s">
        <v>228</v>
      </c>
      <c r="X64" t="s">
        <v>229</v>
      </c>
      <c r="Y64" t="s">
        <v>101</v>
      </c>
      <c r="AD64" t="s">
        <v>73</v>
      </c>
      <c r="AE64">
        <v>-139</v>
      </c>
      <c r="AF64">
        <v>42531597</v>
      </c>
      <c r="AG64" s="73">
        <v>45375.956944444442</v>
      </c>
      <c r="AH64" t="s">
        <v>226</v>
      </c>
      <c r="AI64" t="s">
        <v>294</v>
      </c>
      <c r="AJ64" t="s">
        <v>228</v>
      </c>
      <c r="AK64" t="s">
        <v>229</v>
      </c>
      <c r="AL64" t="s">
        <v>101</v>
      </c>
      <c r="AP64" t="s">
        <v>230</v>
      </c>
      <c r="AQ64" t="s">
        <v>231</v>
      </c>
      <c r="AT64" t="s">
        <v>232</v>
      </c>
      <c r="AU64">
        <v>-99</v>
      </c>
      <c r="AV64" t="s">
        <v>73</v>
      </c>
      <c r="AW64">
        <v>-139</v>
      </c>
      <c r="AX64">
        <v>42531597</v>
      </c>
      <c r="AY64" s="73">
        <v>45375.956944444442</v>
      </c>
      <c r="AZ64" t="s">
        <v>226</v>
      </c>
      <c r="BA64" t="s">
        <v>294</v>
      </c>
      <c r="BB64" t="s">
        <v>228</v>
      </c>
      <c r="BC64" t="s">
        <v>229</v>
      </c>
      <c r="BD64" t="s">
        <v>101</v>
      </c>
      <c r="BI64" t="s">
        <v>233</v>
      </c>
      <c r="BJ64" t="s">
        <v>0</v>
      </c>
      <c r="BK64">
        <v>42531582</v>
      </c>
      <c r="BN64" t="s">
        <v>73</v>
      </c>
      <c r="BR64">
        <v>-139</v>
      </c>
      <c r="BS64">
        <v>42531597</v>
      </c>
      <c r="BT64" s="73">
        <v>45375.956944444442</v>
      </c>
      <c r="BU64" t="s">
        <v>226</v>
      </c>
      <c r="BV64" t="s">
        <v>294</v>
      </c>
      <c r="BW64" t="s">
        <v>228</v>
      </c>
      <c r="CH64" t="s">
        <v>229</v>
      </c>
      <c r="CI64" t="s">
        <v>101</v>
      </c>
      <c r="CJ64" t="s">
        <v>226</v>
      </c>
      <c r="CK64" t="s">
        <v>294</v>
      </c>
      <c r="CL64" t="s">
        <v>228</v>
      </c>
      <c r="CM64" t="s">
        <v>234</v>
      </c>
      <c r="CN64" t="s">
        <v>73</v>
      </c>
      <c r="CO64">
        <v>-139</v>
      </c>
      <c r="CP64">
        <v>42531597</v>
      </c>
      <c r="CQ64" s="73">
        <v>45375.956944444442</v>
      </c>
      <c r="CR64" t="s">
        <v>229</v>
      </c>
      <c r="CS64" t="s">
        <v>101</v>
      </c>
      <c r="CU64" t="s">
        <v>225</v>
      </c>
    </row>
    <row r="65" spans="1:99">
      <c r="A65" t="s">
        <v>107</v>
      </c>
      <c r="B65" t="s">
        <v>98</v>
      </c>
      <c r="J65" t="s">
        <v>225</v>
      </c>
      <c r="K65" t="s">
        <v>225</v>
      </c>
      <c r="M65" s="73">
        <v>45375.956944444442</v>
      </c>
      <c r="N65">
        <v>42531596</v>
      </c>
      <c r="O65">
        <v>2780</v>
      </c>
      <c r="P65" t="s">
        <v>104</v>
      </c>
      <c r="Q65">
        <v>2780</v>
      </c>
      <c r="R65" t="s">
        <v>104</v>
      </c>
      <c r="S65">
        <v>139</v>
      </c>
      <c r="T65" t="s">
        <v>73</v>
      </c>
      <c r="U65" t="s">
        <v>226</v>
      </c>
      <c r="V65" t="s">
        <v>294</v>
      </c>
      <c r="W65" t="s">
        <v>235</v>
      </c>
      <c r="X65" t="s">
        <v>229</v>
      </c>
      <c r="Y65" t="s">
        <v>107</v>
      </c>
      <c r="AD65" t="s">
        <v>104</v>
      </c>
      <c r="AE65">
        <v>2780</v>
      </c>
      <c r="AF65">
        <v>42531596</v>
      </c>
      <c r="AG65" s="73">
        <v>45375.956944444442</v>
      </c>
      <c r="AH65" t="s">
        <v>226</v>
      </c>
      <c r="AI65" t="s">
        <v>294</v>
      </c>
      <c r="AJ65" t="s">
        <v>235</v>
      </c>
      <c r="AK65" t="s">
        <v>229</v>
      </c>
      <c r="AL65" t="s">
        <v>107</v>
      </c>
      <c r="AP65" t="s">
        <v>230</v>
      </c>
      <c r="AQ65" t="s">
        <v>231</v>
      </c>
      <c r="AT65" t="s">
        <v>232</v>
      </c>
      <c r="AU65">
        <v>-99</v>
      </c>
      <c r="AV65" t="s">
        <v>104</v>
      </c>
      <c r="AW65">
        <v>2780</v>
      </c>
      <c r="AX65">
        <v>42531596</v>
      </c>
      <c r="AY65" s="73">
        <v>45375.956944444442</v>
      </c>
      <c r="AZ65" t="s">
        <v>226</v>
      </c>
      <c r="BA65" t="s">
        <v>294</v>
      </c>
      <c r="BB65" t="s">
        <v>235</v>
      </c>
      <c r="BC65" t="s">
        <v>229</v>
      </c>
      <c r="BD65" t="s">
        <v>107</v>
      </c>
      <c r="BI65" t="s">
        <v>233</v>
      </c>
      <c r="BJ65" t="s">
        <v>0</v>
      </c>
      <c r="BK65">
        <v>42531582</v>
      </c>
      <c r="BN65" t="s">
        <v>104</v>
      </c>
      <c r="BO65">
        <v>42531588</v>
      </c>
      <c r="BR65">
        <v>2780</v>
      </c>
      <c r="BS65">
        <v>42531596</v>
      </c>
      <c r="BT65" s="73">
        <v>45375.956944444442</v>
      </c>
      <c r="BU65" t="s">
        <v>226</v>
      </c>
      <c r="BV65" t="s">
        <v>294</v>
      </c>
      <c r="BW65" t="s">
        <v>235</v>
      </c>
      <c r="CH65" t="s">
        <v>229</v>
      </c>
      <c r="CI65" t="s">
        <v>107</v>
      </c>
      <c r="CJ65" t="s">
        <v>226</v>
      </c>
      <c r="CK65" t="s">
        <v>294</v>
      </c>
      <c r="CL65" t="s">
        <v>235</v>
      </c>
      <c r="CM65" t="s">
        <v>236</v>
      </c>
      <c r="CN65" t="s">
        <v>104</v>
      </c>
      <c r="CO65">
        <v>2780</v>
      </c>
      <c r="CP65">
        <v>42531596</v>
      </c>
      <c r="CQ65" s="73">
        <v>45375.956944444442</v>
      </c>
      <c r="CR65" t="s">
        <v>229</v>
      </c>
      <c r="CS65" t="s">
        <v>107</v>
      </c>
      <c r="CU65" t="s">
        <v>225</v>
      </c>
    </row>
    <row r="66" spans="1:99">
      <c r="A66" t="s">
        <v>111</v>
      </c>
      <c r="B66" t="s">
        <v>77</v>
      </c>
      <c r="J66" t="s">
        <v>225</v>
      </c>
      <c r="K66" t="s">
        <v>225</v>
      </c>
      <c r="M66" s="73">
        <v>45375.956944444442</v>
      </c>
      <c r="N66">
        <v>42531595</v>
      </c>
      <c r="O66">
        <v>16</v>
      </c>
      <c r="P66" t="s">
        <v>45</v>
      </c>
      <c r="Q66">
        <v>16</v>
      </c>
      <c r="R66" t="s">
        <v>45</v>
      </c>
      <c r="U66" t="s">
        <v>226</v>
      </c>
      <c r="V66" t="s">
        <v>294</v>
      </c>
      <c r="W66" t="s">
        <v>237</v>
      </c>
      <c r="X66" t="s">
        <v>229</v>
      </c>
      <c r="Y66" t="s">
        <v>111</v>
      </c>
      <c r="AD66" t="s">
        <v>45</v>
      </c>
      <c r="AE66">
        <v>16</v>
      </c>
      <c r="AF66">
        <v>42531595</v>
      </c>
      <c r="AG66" s="73">
        <v>45375.956944444442</v>
      </c>
      <c r="AH66" t="s">
        <v>226</v>
      </c>
      <c r="AI66" t="s">
        <v>294</v>
      </c>
      <c r="AJ66" t="s">
        <v>237</v>
      </c>
      <c r="AK66" t="s">
        <v>229</v>
      </c>
      <c r="AL66" t="s">
        <v>111</v>
      </c>
      <c r="AP66" t="s">
        <v>230</v>
      </c>
      <c r="AQ66" t="s">
        <v>231</v>
      </c>
      <c r="AT66" t="s">
        <v>232</v>
      </c>
      <c r="AU66">
        <v>-99</v>
      </c>
      <c r="AV66" t="s">
        <v>45</v>
      </c>
      <c r="AW66">
        <v>16</v>
      </c>
      <c r="AX66">
        <v>42531595</v>
      </c>
      <c r="AY66" s="73">
        <v>45375.956944444442</v>
      </c>
      <c r="AZ66" t="s">
        <v>226</v>
      </c>
      <c r="BA66" t="s">
        <v>294</v>
      </c>
      <c r="BB66" t="s">
        <v>237</v>
      </c>
      <c r="BC66" t="s">
        <v>229</v>
      </c>
      <c r="BD66" t="s">
        <v>111</v>
      </c>
      <c r="BI66" t="s">
        <v>233</v>
      </c>
      <c r="BJ66" t="s">
        <v>0</v>
      </c>
      <c r="BK66">
        <v>42531582</v>
      </c>
      <c r="BN66" t="s">
        <v>45</v>
      </c>
      <c r="BO66">
        <v>42531590</v>
      </c>
      <c r="BR66">
        <v>16</v>
      </c>
      <c r="BS66">
        <v>42531595</v>
      </c>
      <c r="BT66" s="73">
        <v>45375.956944444442</v>
      </c>
      <c r="BU66" t="s">
        <v>226</v>
      </c>
      <c r="BV66" t="s">
        <v>294</v>
      </c>
      <c r="BW66" t="s">
        <v>237</v>
      </c>
      <c r="CH66" t="s">
        <v>229</v>
      </c>
      <c r="CI66" t="s">
        <v>111</v>
      </c>
      <c r="CJ66" t="s">
        <v>226</v>
      </c>
      <c r="CK66" t="s">
        <v>294</v>
      </c>
      <c r="CL66" t="s">
        <v>237</v>
      </c>
      <c r="CM66" t="s">
        <v>236</v>
      </c>
      <c r="CN66" t="s">
        <v>45</v>
      </c>
      <c r="CO66">
        <v>16</v>
      </c>
      <c r="CP66">
        <v>42531595</v>
      </c>
      <c r="CQ66" s="73">
        <v>45375.956944444442</v>
      </c>
      <c r="CR66" t="s">
        <v>229</v>
      </c>
      <c r="CS66" t="s">
        <v>111</v>
      </c>
      <c r="CU66" t="s">
        <v>225</v>
      </c>
    </row>
    <row r="67" spans="1:99">
      <c r="A67" t="s">
        <v>42</v>
      </c>
      <c r="B67" t="s">
        <v>92</v>
      </c>
      <c r="J67" t="s">
        <v>225</v>
      </c>
      <c r="K67" t="s">
        <v>225</v>
      </c>
      <c r="M67" s="73">
        <v>45375.947222222225</v>
      </c>
      <c r="N67">
        <v>42532336</v>
      </c>
      <c r="O67">
        <v>-9855</v>
      </c>
      <c r="P67" t="s">
        <v>45</v>
      </c>
      <c r="Q67">
        <v>-9855</v>
      </c>
      <c r="R67" t="s">
        <v>45</v>
      </c>
      <c r="U67" t="s">
        <v>226</v>
      </c>
      <c r="V67" t="s">
        <v>295</v>
      </c>
      <c r="W67" t="s">
        <v>228</v>
      </c>
      <c r="X67" t="s">
        <v>229</v>
      </c>
      <c r="Y67" t="s">
        <v>42</v>
      </c>
      <c r="AD67" t="s">
        <v>45</v>
      </c>
      <c r="AE67">
        <v>-9855</v>
      </c>
      <c r="AF67">
        <v>42532336</v>
      </c>
      <c r="AG67" s="73">
        <v>45375.947222222225</v>
      </c>
      <c r="AH67" t="s">
        <v>226</v>
      </c>
      <c r="AI67" t="s">
        <v>295</v>
      </c>
      <c r="AJ67" t="s">
        <v>228</v>
      </c>
      <c r="AK67" t="s">
        <v>229</v>
      </c>
      <c r="AL67" t="s">
        <v>42</v>
      </c>
      <c r="AP67" t="s">
        <v>230</v>
      </c>
      <c r="AQ67" t="s">
        <v>231</v>
      </c>
      <c r="AT67" t="s">
        <v>232</v>
      </c>
      <c r="AU67">
        <v>-99</v>
      </c>
      <c r="AV67" t="s">
        <v>45</v>
      </c>
      <c r="AW67">
        <v>-9855</v>
      </c>
      <c r="AX67">
        <v>42532336</v>
      </c>
      <c r="AY67" s="73">
        <v>45375.947222222225</v>
      </c>
      <c r="AZ67" t="s">
        <v>226</v>
      </c>
      <c r="BA67" t="s">
        <v>295</v>
      </c>
      <c r="BB67" t="s">
        <v>228</v>
      </c>
      <c r="BC67" t="s">
        <v>229</v>
      </c>
      <c r="BD67" t="s">
        <v>42</v>
      </c>
      <c r="BI67" t="s">
        <v>233</v>
      </c>
      <c r="BJ67" t="s">
        <v>0</v>
      </c>
      <c r="BK67">
        <v>42532320</v>
      </c>
      <c r="BN67" t="s">
        <v>45</v>
      </c>
      <c r="BR67">
        <v>-9855</v>
      </c>
      <c r="BS67">
        <v>42532336</v>
      </c>
      <c r="BT67" s="73">
        <v>45375.947222222225</v>
      </c>
      <c r="BU67" t="s">
        <v>226</v>
      </c>
      <c r="BV67" t="s">
        <v>295</v>
      </c>
      <c r="BW67" t="s">
        <v>228</v>
      </c>
      <c r="CH67" t="s">
        <v>229</v>
      </c>
      <c r="CI67" t="s">
        <v>42</v>
      </c>
      <c r="CJ67" t="s">
        <v>226</v>
      </c>
      <c r="CK67" t="s">
        <v>295</v>
      </c>
      <c r="CL67" t="s">
        <v>228</v>
      </c>
      <c r="CM67" t="s">
        <v>234</v>
      </c>
      <c r="CN67" t="s">
        <v>45</v>
      </c>
      <c r="CO67">
        <v>-9855</v>
      </c>
      <c r="CP67">
        <v>42532336</v>
      </c>
      <c r="CQ67" s="73">
        <v>45375.947222222225</v>
      </c>
      <c r="CR67" t="s">
        <v>229</v>
      </c>
      <c r="CS67" t="s">
        <v>42</v>
      </c>
      <c r="CU67" t="s">
        <v>225</v>
      </c>
    </row>
    <row r="68" spans="1:99">
      <c r="A68" t="s">
        <v>99</v>
      </c>
      <c r="B68" t="s">
        <v>98</v>
      </c>
      <c r="J68" t="s">
        <v>225</v>
      </c>
      <c r="K68" t="s">
        <v>225</v>
      </c>
      <c r="M68" s="73">
        <v>45375.947222222225</v>
      </c>
      <c r="N68">
        <v>42532335</v>
      </c>
      <c r="O68">
        <v>-492.5</v>
      </c>
      <c r="P68" t="s">
        <v>73</v>
      </c>
      <c r="Q68">
        <v>-492.5</v>
      </c>
      <c r="R68" t="s">
        <v>73</v>
      </c>
      <c r="U68" t="s">
        <v>226</v>
      </c>
      <c r="V68" t="s">
        <v>295</v>
      </c>
      <c r="W68" t="s">
        <v>228</v>
      </c>
      <c r="X68" t="s">
        <v>229</v>
      </c>
      <c r="Y68" t="s">
        <v>99</v>
      </c>
      <c r="AD68" t="s">
        <v>73</v>
      </c>
      <c r="AE68">
        <v>-492.5</v>
      </c>
      <c r="AF68">
        <v>42532335</v>
      </c>
      <c r="AG68" s="73">
        <v>45375.947222222225</v>
      </c>
      <c r="AH68" t="s">
        <v>226</v>
      </c>
      <c r="AI68" t="s">
        <v>295</v>
      </c>
      <c r="AJ68" t="s">
        <v>228</v>
      </c>
      <c r="AK68" t="s">
        <v>229</v>
      </c>
      <c r="AL68" t="s">
        <v>99</v>
      </c>
      <c r="AP68" t="s">
        <v>230</v>
      </c>
      <c r="AQ68" t="s">
        <v>231</v>
      </c>
      <c r="AT68" t="s">
        <v>232</v>
      </c>
      <c r="AU68">
        <v>-99</v>
      </c>
      <c r="AV68" t="s">
        <v>73</v>
      </c>
      <c r="AW68">
        <v>-492.5</v>
      </c>
      <c r="AX68">
        <v>42532335</v>
      </c>
      <c r="AY68" s="73">
        <v>45375.947222222225</v>
      </c>
      <c r="AZ68" t="s">
        <v>226</v>
      </c>
      <c r="BA68" t="s">
        <v>295</v>
      </c>
      <c r="BB68" t="s">
        <v>228</v>
      </c>
      <c r="BC68" t="s">
        <v>229</v>
      </c>
      <c r="BD68" t="s">
        <v>99</v>
      </c>
      <c r="BI68" t="s">
        <v>233</v>
      </c>
      <c r="BJ68" t="s">
        <v>0</v>
      </c>
      <c r="BK68">
        <v>42532320</v>
      </c>
      <c r="BN68" t="s">
        <v>73</v>
      </c>
      <c r="BR68">
        <v>-492.5</v>
      </c>
      <c r="BS68">
        <v>42532335</v>
      </c>
      <c r="BT68" s="73">
        <v>45375.947222222225</v>
      </c>
      <c r="BU68" t="s">
        <v>226</v>
      </c>
      <c r="BV68" t="s">
        <v>295</v>
      </c>
      <c r="BW68" t="s">
        <v>228</v>
      </c>
      <c r="CH68" t="s">
        <v>229</v>
      </c>
      <c r="CI68" t="s">
        <v>99</v>
      </c>
      <c r="CJ68" t="s">
        <v>226</v>
      </c>
      <c r="CK68" t="s">
        <v>295</v>
      </c>
      <c r="CL68" t="s">
        <v>228</v>
      </c>
      <c r="CM68" t="s">
        <v>234</v>
      </c>
      <c r="CN68" t="s">
        <v>73</v>
      </c>
      <c r="CO68">
        <v>-492.5</v>
      </c>
      <c r="CP68">
        <v>42532335</v>
      </c>
      <c r="CQ68" s="73">
        <v>45375.947222222225</v>
      </c>
      <c r="CR68" t="s">
        <v>229</v>
      </c>
      <c r="CS68" t="s">
        <v>99</v>
      </c>
      <c r="CU68" t="s">
        <v>225</v>
      </c>
    </row>
    <row r="69" spans="1:99">
      <c r="A69" t="s">
        <v>103</v>
      </c>
      <c r="B69" t="s">
        <v>98</v>
      </c>
      <c r="J69" t="s">
        <v>225</v>
      </c>
      <c r="K69" t="s">
        <v>225</v>
      </c>
      <c r="M69" s="73">
        <v>45375.947222222225</v>
      </c>
      <c r="N69">
        <v>42532334</v>
      </c>
      <c r="O69">
        <v>9850</v>
      </c>
      <c r="P69" t="s">
        <v>104</v>
      </c>
      <c r="Q69">
        <v>9850</v>
      </c>
      <c r="R69" t="s">
        <v>104</v>
      </c>
      <c r="S69">
        <v>492.5</v>
      </c>
      <c r="T69" t="s">
        <v>73</v>
      </c>
      <c r="U69" t="s">
        <v>226</v>
      </c>
      <c r="V69" t="s">
        <v>295</v>
      </c>
      <c r="W69" t="s">
        <v>235</v>
      </c>
      <c r="X69" t="s">
        <v>229</v>
      </c>
      <c r="Y69" t="s">
        <v>103</v>
      </c>
      <c r="AD69" t="s">
        <v>104</v>
      </c>
      <c r="AE69">
        <v>9850</v>
      </c>
      <c r="AF69">
        <v>42532334</v>
      </c>
      <c r="AG69" s="73">
        <v>45375.947222222225</v>
      </c>
      <c r="AH69" t="s">
        <v>226</v>
      </c>
      <c r="AI69" t="s">
        <v>295</v>
      </c>
      <c r="AJ69" t="s">
        <v>235</v>
      </c>
      <c r="AK69" t="s">
        <v>229</v>
      </c>
      <c r="AL69" t="s">
        <v>103</v>
      </c>
      <c r="AP69" t="s">
        <v>230</v>
      </c>
      <c r="AQ69" t="s">
        <v>231</v>
      </c>
      <c r="AT69" t="s">
        <v>232</v>
      </c>
      <c r="AU69">
        <v>-99</v>
      </c>
      <c r="AV69" t="s">
        <v>104</v>
      </c>
      <c r="AW69">
        <v>9850</v>
      </c>
      <c r="AX69">
        <v>42532334</v>
      </c>
      <c r="AY69" s="73">
        <v>45375.947222222225</v>
      </c>
      <c r="AZ69" t="s">
        <v>226</v>
      </c>
      <c r="BA69" t="s">
        <v>295</v>
      </c>
      <c r="BB69" t="s">
        <v>235</v>
      </c>
      <c r="BC69" t="s">
        <v>229</v>
      </c>
      <c r="BD69" t="s">
        <v>103</v>
      </c>
      <c r="BI69" t="s">
        <v>233</v>
      </c>
      <c r="BJ69" t="s">
        <v>0</v>
      </c>
      <c r="BK69">
        <v>42532320</v>
      </c>
      <c r="BN69" t="s">
        <v>104</v>
      </c>
      <c r="BO69">
        <v>42532326</v>
      </c>
      <c r="BR69">
        <v>9850</v>
      </c>
      <c r="BS69">
        <v>42532334</v>
      </c>
      <c r="BT69" s="73">
        <v>45375.947222222225</v>
      </c>
      <c r="BU69" t="s">
        <v>226</v>
      </c>
      <c r="BV69" t="s">
        <v>295</v>
      </c>
      <c r="BW69" t="s">
        <v>235</v>
      </c>
      <c r="CH69" t="s">
        <v>229</v>
      </c>
      <c r="CI69" t="s">
        <v>103</v>
      </c>
      <c r="CJ69" t="s">
        <v>226</v>
      </c>
      <c r="CK69" t="s">
        <v>295</v>
      </c>
      <c r="CL69" t="s">
        <v>235</v>
      </c>
      <c r="CM69" t="s">
        <v>236</v>
      </c>
      <c r="CN69" t="s">
        <v>104</v>
      </c>
      <c r="CO69">
        <v>9850</v>
      </c>
      <c r="CP69">
        <v>42532334</v>
      </c>
      <c r="CQ69" s="73">
        <v>45375.947222222225</v>
      </c>
      <c r="CR69" t="s">
        <v>229</v>
      </c>
      <c r="CS69" t="s">
        <v>103</v>
      </c>
      <c r="CU69" t="s">
        <v>225</v>
      </c>
    </row>
    <row r="70" spans="1:99">
      <c r="A70" t="s">
        <v>111</v>
      </c>
      <c r="B70" t="s">
        <v>77</v>
      </c>
      <c r="J70" t="s">
        <v>225</v>
      </c>
      <c r="K70" t="s">
        <v>225</v>
      </c>
      <c r="M70" s="73">
        <v>45375.947222222225</v>
      </c>
      <c r="N70">
        <v>42532333</v>
      </c>
      <c r="O70">
        <v>5</v>
      </c>
      <c r="P70" t="s">
        <v>45</v>
      </c>
      <c r="Q70">
        <v>5</v>
      </c>
      <c r="R70" t="s">
        <v>45</v>
      </c>
      <c r="U70" t="s">
        <v>226</v>
      </c>
      <c r="V70" t="s">
        <v>295</v>
      </c>
      <c r="W70" t="s">
        <v>237</v>
      </c>
      <c r="X70" t="s">
        <v>229</v>
      </c>
      <c r="Y70" t="s">
        <v>111</v>
      </c>
      <c r="AD70" t="s">
        <v>45</v>
      </c>
      <c r="AE70">
        <v>5</v>
      </c>
      <c r="AF70">
        <v>42532333</v>
      </c>
      <c r="AG70" s="73">
        <v>45375.947222222225</v>
      </c>
      <c r="AH70" t="s">
        <v>226</v>
      </c>
      <c r="AI70" t="s">
        <v>295</v>
      </c>
      <c r="AJ70" t="s">
        <v>237</v>
      </c>
      <c r="AK70" t="s">
        <v>229</v>
      </c>
      <c r="AL70" t="s">
        <v>111</v>
      </c>
      <c r="AP70" t="s">
        <v>230</v>
      </c>
      <c r="AQ70" t="s">
        <v>231</v>
      </c>
      <c r="AT70" t="s">
        <v>232</v>
      </c>
      <c r="AU70">
        <v>-99</v>
      </c>
      <c r="AV70" t="s">
        <v>45</v>
      </c>
      <c r="AW70">
        <v>5</v>
      </c>
      <c r="AX70">
        <v>42532333</v>
      </c>
      <c r="AY70" s="73">
        <v>45375.947222222225</v>
      </c>
      <c r="AZ70" t="s">
        <v>226</v>
      </c>
      <c r="BA70" t="s">
        <v>295</v>
      </c>
      <c r="BB70" t="s">
        <v>237</v>
      </c>
      <c r="BC70" t="s">
        <v>229</v>
      </c>
      <c r="BD70" t="s">
        <v>111</v>
      </c>
      <c r="BI70" t="s">
        <v>233</v>
      </c>
      <c r="BJ70" t="s">
        <v>0</v>
      </c>
      <c r="BK70">
        <v>42532320</v>
      </c>
      <c r="BN70" t="s">
        <v>45</v>
      </c>
      <c r="BO70">
        <v>42532328</v>
      </c>
      <c r="BR70">
        <v>5</v>
      </c>
      <c r="BS70">
        <v>42532333</v>
      </c>
      <c r="BT70" s="73">
        <v>45375.947222222225</v>
      </c>
      <c r="BU70" t="s">
        <v>226</v>
      </c>
      <c r="BV70" t="s">
        <v>295</v>
      </c>
      <c r="BW70" t="s">
        <v>237</v>
      </c>
      <c r="CH70" t="s">
        <v>229</v>
      </c>
      <c r="CI70" t="s">
        <v>111</v>
      </c>
      <c r="CJ70" t="s">
        <v>226</v>
      </c>
      <c r="CK70" t="s">
        <v>295</v>
      </c>
      <c r="CL70" t="s">
        <v>237</v>
      </c>
      <c r="CM70" t="s">
        <v>236</v>
      </c>
      <c r="CN70" t="s">
        <v>45</v>
      </c>
      <c r="CO70">
        <v>5</v>
      </c>
      <c r="CP70">
        <v>42532333</v>
      </c>
      <c r="CQ70" s="73">
        <v>45375.947222222225</v>
      </c>
      <c r="CR70" t="s">
        <v>229</v>
      </c>
      <c r="CS70" t="s">
        <v>111</v>
      </c>
      <c r="CU70" t="s">
        <v>225</v>
      </c>
    </row>
    <row r="71" spans="1:99">
      <c r="A71" t="s">
        <v>52</v>
      </c>
      <c r="B71" t="s">
        <v>92</v>
      </c>
      <c r="J71" t="s">
        <v>225</v>
      </c>
      <c r="K71" t="s">
        <v>225</v>
      </c>
      <c r="M71" s="73">
        <v>45375.941666666666</v>
      </c>
      <c r="N71">
        <v>42531367</v>
      </c>
      <c r="O71">
        <v>-1732</v>
      </c>
      <c r="P71" t="s">
        <v>45</v>
      </c>
      <c r="Q71">
        <v>-1732</v>
      </c>
      <c r="R71" t="s">
        <v>45</v>
      </c>
      <c r="U71" t="s">
        <v>226</v>
      </c>
      <c r="V71" t="s">
        <v>296</v>
      </c>
      <c r="W71" t="s">
        <v>228</v>
      </c>
      <c r="X71" t="s">
        <v>229</v>
      </c>
      <c r="Y71" t="s">
        <v>52</v>
      </c>
      <c r="AD71" t="s">
        <v>45</v>
      </c>
      <c r="AE71">
        <v>-1732</v>
      </c>
      <c r="AF71">
        <v>42531367</v>
      </c>
      <c r="AG71" s="73">
        <v>45375.941666666666</v>
      </c>
      <c r="AH71" t="s">
        <v>226</v>
      </c>
      <c r="AI71" t="s">
        <v>296</v>
      </c>
      <c r="AJ71" t="s">
        <v>228</v>
      </c>
      <c r="AK71" t="s">
        <v>229</v>
      </c>
      <c r="AL71" t="s">
        <v>52</v>
      </c>
      <c r="AP71" t="s">
        <v>230</v>
      </c>
      <c r="AQ71" t="s">
        <v>231</v>
      </c>
      <c r="AT71" t="s">
        <v>232</v>
      </c>
      <c r="AU71">
        <v>-99</v>
      </c>
      <c r="AV71" t="s">
        <v>45</v>
      </c>
      <c r="AW71">
        <v>-1732</v>
      </c>
      <c r="AX71">
        <v>42531367</v>
      </c>
      <c r="AY71" s="73">
        <v>45375.941666666666</v>
      </c>
      <c r="AZ71" t="s">
        <v>226</v>
      </c>
      <c r="BA71" t="s">
        <v>296</v>
      </c>
      <c r="BB71" t="s">
        <v>228</v>
      </c>
      <c r="BC71" t="s">
        <v>229</v>
      </c>
      <c r="BD71" t="s">
        <v>52</v>
      </c>
      <c r="BI71" t="s">
        <v>233</v>
      </c>
      <c r="BJ71" t="s">
        <v>0</v>
      </c>
      <c r="BK71">
        <v>42531351</v>
      </c>
      <c r="BN71" t="s">
        <v>45</v>
      </c>
      <c r="BR71">
        <v>-1732</v>
      </c>
      <c r="BS71">
        <v>42531367</v>
      </c>
      <c r="BT71" s="73">
        <v>45375.941666666666</v>
      </c>
      <c r="BU71" t="s">
        <v>226</v>
      </c>
      <c r="BV71" t="s">
        <v>296</v>
      </c>
      <c r="BW71" t="s">
        <v>228</v>
      </c>
      <c r="CH71" t="s">
        <v>229</v>
      </c>
      <c r="CI71" t="s">
        <v>52</v>
      </c>
      <c r="CJ71" t="s">
        <v>226</v>
      </c>
      <c r="CK71" t="s">
        <v>296</v>
      </c>
      <c r="CL71" t="s">
        <v>228</v>
      </c>
      <c r="CM71" t="s">
        <v>234</v>
      </c>
      <c r="CN71" t="s">
        <v>45</v>
      </c>
      <c r="CO71">
        <v>-1732</v>
      </c>
      <c r="CP71">
        <v>42531367</v>
      </c>
      <c r="CQ71" s="73">
        <v>45375.941666666666</v>
      </c>
      <c r="CR71" t="s">
        <v>229</v>
      </c>
      <c r="CS71" t="s">
        <v>52</v>
      </c>
      <c r="CU71" t="s">
        <v>225</v>
      </c>
    </row>
    <row r="72" spans="1:99">
      <c r="A72" t="s">
        <v>101</v>
      </c>
      <c r="B72" t="s">
        <v>98</v>
      </c>
      <c r="J72" t="s">
        <v>225</v>
      </c>
      <c r="K72" t="s">
        <v>225</v>
      </c>
      <c r="M72" s="73">
        <v>45375.941666666666</v>
      </c>
      <c r="N72">
        <v>42531366</v>
      </c>
      <c r="O72">
        <v>-86.5</v>
      </c>
      <c r="P72" t="s">
        <v>73</v>
      </c>
      <c r="Q72">
        <v>-86.5</v>
      </c>
      <c r="R72" t="s">
        <v>73</v>
      </c>
      <c r="U72" t="s">
        <v>226</v>
      </c>
      <c r="V72" t="s">
        <v>296</v>
      </c>
      <c r="W72" t="s">
        <v>228</v>
      </c>
      <c r="X72" t="s">
        <v>229</v>
      </c>
      <c r="Y72" t="s">
        <v>101</v>
      </c>
      <c r="AD72" t="s">
        <v>73</v>
      </c>
      <c r="AE72">
        <v>-86.5</v>
      </c>
      <c r="AF72">
        <v>42531366</v>
      </c>
      <c r="AG72" s="73">
        <v>45375.941666666666</v>
      </c>
      <c r="AH72" t="s">
        <v>226</v>
      </c>
      <c r="AI72" t="s">
        <v>296</v>
      </c>
      <c r="AJ72" t="s">
        <v>228</v>
      </c>
      <c r="AK72" t="s">
        <v>229</v>
      </c>
      <c r="AL72" t="s">
        <v>101</v>
      </c>
      <c r="AP72" t="s">
        <v>230</v>
      </c>
      <c r="AQ72" t="s">
        <v>231</v>
      </c>
      <c r="AT72" t="s">
        <v>232</v>
      </c>
      <c r="AU72">
        <v>-99</v>
      </c>
      <c r="AV72" t="s">
        <v>73</v>
      </c>
      <c r="AW72">
        <v>-86.5</v>
      </c>
      <c r="AX72">
        <v>42531366</v>
      </c>
      <c r="AY72" s="73">
        <v>45375.941666666666</v>
      </c>
      <c r="AZ72" t="s">
        <v>226</v>
      </c>
      <c r="BA72" t="s">
        <v>296</v>
      </c>
      <c r="BB72" t="s">
        <v>228</v>
      </c>
      <c r="BC72" t="s">
        <v>229</v>
      </c>
      <c r="BD72" t="s">
        <v>101</v>
      </c>
      <c r="BI72" t="s">
        <v>233</v>
      </c>
      <c r="BJ72" t="s">
        <v>0</v>
      </c>
      <c r="BK72">
        <v>42531351</v>
      </c>
      <c r="BN72" t="s">
        <v>73</v>
      </c>
      <c r="BR72">
        <v>-86.5</v>
      </c>
      <c r="BS72">
        <v>42531366</v>
      </c>
      <c r="BT72" s="73">
        <v>45375.941666666666</v>
      </c>
      <c r="BU72" t="s">
        <v>226</v>
      </c>
      <c r="BV72" t="s">
        <v>296</v>
      </c>
      <c r="BW72" t="s">
        <v>228</v>
      </c>
      <c r="CH72" t="s">
        <v>229</v>
      </c>
      <c r="CI72" t="s">
        <v>101</v>
      </c>
      <c r="CJ72" t="s">
        <v>226</v>
      </c>
      <c r="CK72" t="s">
        <v>296</v>
      </c>
      <c r="CL72" t="s">
        <v>228</v>
      </c>
      <c r="CM72" t="s">
        <v>234</v>
      </c>
      <c r="CN72" t="s">
        <v>73</v>
      </c>
      <c r="CO72">
        <v>-86.5</v>
      </c>
      <c r="CP72">
        <v>42531366</v>
      </c>
      <c r="CQ72" s="73">
        <v>45375.941666666666</v>
      </c>
      <c r="CR72" t="s">
        <v>229</v>
      </c>
      <c r="CS72" t="s">
        <v>101</v>
      </c>
      <c r="CU72" t="s">
        <v>225</v>
      </c>
    </row>
    <row r="73" spans="1:99">
      <c r="A73" t="s">
        <v>107</v>
      </c>
      <c r="B73" t="s">
        <v>98</v>
      </c>
      <c r="J73" t="s">
        <v>225</v>
      </c>
      <c r="K73" t="s">
        <v>225</v>
      </c>
      <c r="M73" s="73">
        <v>45375.941666666666</v>
      </c>
      <c r="N73">
        <v>42531365</v>
      </c>
      <c r="O73">
        <v>1730</v>
      </c>
      <c r="P73" t="s">
        <v>104</v>
      </c>
      <c r="Q73">
        <v>1730</v>
      </c>
      <c r="R73" t="s">
        <v>104</v>
      </c>
      <c r="S73">
        <v>86.5</v>
      </c>
      <c r="T73" t="s">
        <v>73</v>
      </c>
      <c r="U73" t="s">
        <v>226</v>
      </c>
      <c r="V73" t="s">
        <v>296</v>
      </c>
      <c r="W73" t="s">
        <v>235</v>
      </c>
      <c r="X73" t="s">
        <v>229</v>
      </c>
      <c r="Y73" t="s">
        <v>107</v>
      </c>
      <c r="AD73" t="s">
        <v>104</v>
      </c>
      <c r="AE73">
        <v>1730</v>
      </c>
      <c r="AF73">
        <v>42531365</v>
      </c>
      <c r="AG73" s="73">
        <v>45375.941666666666</v>
      </c>
      <c r="AH73" t="s">
        <v>226</v>
      </c>
      <c r="AI73" t="s">
        <v>296</v>
      </c>
      <c r="AJ73" t="s">
        <v>235</v>
      </c>
      <c r="AK73" t="s">
        <v>229</v>
      </c>
      <c r="AL73" t="s">
        <v>107</v>
      </c>
      <c r="AP73" t="s">
        <v>230</v>
      </c>
      <c r="AQ73" t="s">
        <v>231</v>
      </c>
      <c r="AT73" t="s">
        <v>232</v>
      </c>
      <c r="AU73">
        <v>-99</v>
      </c>
      <c r="AV73" t="s">
        <v>104</v>
      </c>
      <c r="AW73">
        <v>1730</v>
      </c>
      <c r="AX73">
        <v>42531365</v>
      </c>
      <c r="AY73" s="73">
        <v>45375.941666666666</v>
      </c>
      <c r="AZ73" t="s">
        <v>226</v>
      </c>
      <c r="BA73" t="s">
        <v>296</v>
      </c>
      <c r="BB73" t="s">
        <v>235</v>
      </c>
      <c r="BC73" t="s">
        <v>229</v>
      </c>
      <c r="BD73" t="s">
        <v>107</v>
      </c>
      <c r="BI73" t="s">
        <v>233</v>
      </c>
      <c r="BJ73" t="s">
        <v>0</v>
      </c>
      <c r="BK73">
        <v>42531351</v>
      </c>
      <c r="BN73" t="s">
        <v>104</v>
      </c>
      <c r="BO73">
        <v>42531357</v>
      </c>
      <c r="BR73">
        <v>1730</v>
      </c>
      <c r="BS73">
        <v>42531365</v>
      </c>
      <c r="BT73" s="73">
        <v>45375.941666666666</v>
      </c>
      <c r="BU73" t="s">
        <v>226</v>
      </c>
      <c r="BV73" t="s">
        <v>296</v>
      </c>
      <c r="BW73" t="s">
        <v>235</v>
      </c>
      <c r="CH73" t="s">
        <v>229</v>
      </c>
      <c r="CI73" t="s">
        <v>107</v>
      </c>
      <c r="CJ73" t="s">
        <v>226</v>
      </c>
      <c r="CK73" t="s">
        <v>296</v>
      </c>
      <c r="CL73" t="s">
        <v>235</v>
      </c>
      <c r="CM73" t="s">
        <v>236</v>
      </c>
      <c r="CN73" t="s">
        <v>104</v>
      </c>
      <c r="CO73">
        <v>1730</v>
      </c>
      <c r="CP73">
        <v>42531365</v>
      </c>
      <c r="CQ73" s="73">
        <v>45375.941666666666</v>
      </c>
      <c r="CR73" t="s">
        <v>229</v>
      </c>
      <c r="CS73" t="s">
        <v>107</v>
      </c>
      <c r="CU73" t="s">
        <v>225</v>
      </c>
    </row>
    <row r="74" spans="1:99">
      <c r="A74" t="s">
        <v>111</v>
      </c>
      <c r="B74" t="s">
        <v>77</v>
      </c>
      <c r="J74" t="s">
        <v>225</v>
      </c>
      <c r="K74" t="s">
        <v>225</v>
      </c>
      <c r="M74" s="73">
        <v>45375.941666666666</v>
      </c>
      <c r="N74">
        <v>42531364</v>
      </c>
      <c r="O74">
        <v>2</v>
      </c>
      <c r="P74" t="s">
        <v>45</v>
      </c>
      <c r="Q74">
        <v>2</v>
      </c>
      <c r="R74" t="s">
        <v>45</v>
      </c>
      <c r="U74" t="s">
        <v>226</v>
      </c>
      <c r="V74" t="s">
        <v>296</v>
      </c>
      <c r="W74" t="s">
        <v>237</v>
      </c>
      <c r="X74" t="s">
        <v>229</v>
      </c>
      <c r="Y74" t="s">
        <v>111</v>
      </c>
      <c r="AD74" t="s">
        <v>45</v>
      </c>
      <c r="AE74">
        <v>2</v>
      </c>
      <c r="AF74">
        <v>42531364</v>
      </c>
      <c r="AG74" s="73">
        <v>45375.941666666666</v>
      </c>
      <c r="AH74" t="s">
        <v>226</v>
      </c>
      <c r="AI74" t="s">
        <v>296</v>
      </c>
      <c r="AJ74" t="s">
        <v>237</v>
      </c>
      <c r="AK74" t="s">
        <v>229</v>
      </c>
      <c r="AL74" t="s">
        <v>111</v>
      </c>
      <c r="AP74" t="s">
        <v>230</v>
      </c>
      <c r="AQ74" t="s">
        <v>231</v>
      </c>
      <c r="AT74" t="s">
        <v>232</v>
      </c>
      <c r="AU74">
        <v>-99</v>
      </c>
      <c r="AV74" t="s">
        <v>45</v>
      </c>
      <c r="AW74">
        <v>2</v>
      </c>
      <c r="AX74">
        <v>42531364</v>
      </c>
      <c r="AY74" s="73">
        <v>45375.941666666666</v>
      </c>
      <c r="AZ74" t="s">
        <v>226</v>
      </c>
      <c r="BA74" t="s">
        <v>296</v>
      </c>
      <c r="BB74" t="s">
        <v>237</v>
      </c>
      <c r="BC74" t="s">
        <v>229</v>
      </c>
      <c r="BD74" t="s">
        <v>111</v>
      </c>
      <c r="BI74" t="s">
        <v>233</v>
      </c>
      <c r="BJ74" t="s">
        <v>0</v>
      </c>
      <c r="BK74">
        <v>42531351</v>
      </c>
      <c r="BN74" t="s">
        <v>45</v>
      </c>
      <c r="BO74">
        <v>42531359</v>
      </c>
      <c r="BR74">
        <v>2</v>
      </c>
      <c r="BS74">
        <v>42531364</v>
      </c>
      <c r="BT74" s="73">
        <v>45375.941666666666</v>
      </c>
      <c r="BU74" t="s">
        <v>226</v>
      </c>
      <c r="BV74" t="s">
        <v>296</v>
      </c>
      <c r="BW74" t="s">
        <v>237</v>
      </c>
      <c r="CH74" t="s">
        <v>229</v>
      </c>
      <c r="CI74" t="s">
        <v>111</v>
      </c>
      <c r="CJ74" t="s">
        <v>226</v>
      </c>
      <c r="CK74" t="s">
        <v>296</v>
      </c>
      <c r="CL74" t="s">
        <v>237</v>
      </c>
      <c r="CM74" t="s">
        <v>236</v>
      </c>
      <c r="CN74" t="s">
        <v>45</v>
      </c>
      <c r="CO74">
        <v>2</v>
      </c>
      <c r="CP74">
        <v>42531364</v>
      </c>
      <c r="CQ74" s="73">
        <v>45375.941666666666</v>
      </c>
      <c r="CR74" t="s">
        <v>229</v>
      </c>
      <c r="CS74" t="s">
        <v>111</v>
      </c>
      <c r="CU74" t="s">
        <v>225</v>
      </c>
    </row>
    <row r="75" spans="1:99">
      <c r="A75" t="s">
        <v>46</v>
      </c>
      <c r="B75" t="s">
        <v>92</v>
      </c>
      <c r="J75" t="s">
        <v>225</v>
      </c>
      <c r="K75" t="s">
        <v>225</v>
      </c>
      <c r="M75" s="73">
        <v>45375.9375</v>
      </c>
      <c r="N75">
        <v>42531275</v>
      </c>
      <c r="O75">
        <v>-602</v>
      </c>
      <c r="P75" t="s">
        <v>45</v>
      </c>
      <c r="Q75">
        <v>-602</v>
      </c>
      <c r="R75" t="s">
        <v>45</v>
      </c>
      <c r="U75" t="s">
        <v>226</v>
      </c>
      <c r="V75" t="s">
        <v>297</v>
      </c>
      <c r="W75" t="s">
        <v>228</v>
      </c>
      <c r="X75" t="s">
        <v>229</v>
      </c>
      <c r="Y75" t="s">
        <v>46</v>
      </c>
      <c r="AD75" t="s">
        <v>45</v>
      </c>
      <c r="AE75">
        <v>-602</v>
      </c>
      <c r="AF75">
        <v>42531275</v>
      </c>
      <c r="AG75" s="73">
        <v>45375.9375</v>
      </c>
      <c r="AH75" t="s">
        <v>226</v>
      </c>
      <c r="AI75" t="s">
        <v>297</v>
      </c>
      <c r="AJ75" t="s">
        <v>228</v>
      </c>
      <c r="AK75" t="s">
        <v>229</v>
      </c>
      <c r="AL75" t="s">
        <v>46</v>
      </c>
      <c r="AP75" t="s">
        <v>230</v>
      </c>
      <c r="AQ75" t="s">
        <v>231</v>
      </c>
      <c r="AT75" t="s">
        <v>232</v>
      </c>
      <c r="AU75">
        <v>-99</v>
      </c>
      <c r="AV75" t="s">
        <v>45</v>
      </c>
      <c r="AW75">
        <v>-602</v>
      </c>
      <c r="AX75">
        <v>42531275</v>
      </c>
      <c r="AY75" s="73">
        <v>45375.9375</v>
      </c>
      <c r="AZ75" t="s">
        <v>226</v>
      </c>
      <c r="BA75" t="s">
        <v>297</v>
      </c>
      <c r="BB75" t="s">
        <v>228</v>
      </c>
      <c r="BC75" t="s">
        <v>229</v>
      </c>
      <c r="BD75" t="s">
        <v>46</v>
      </c>
      <c r="BI75" t="s">
        <v>233</v>
      </c>
      <c r="BJ75" t="s">
        <v>0</v>
      </c>
      <c r="BK75">
        <v>42531249</v>
      </c>
      <c r="BN75" t="s">
        <v>45</v>
      </c>
      <c r="BR75">
        <v>-602</v>
      </c>
      <c r="BS75">
        <v>42531275</v>
      </c>
      <c r="BT75" s="73">
        <v>45375.9375</v>
      </c>
      <c r="BU75" t="s">
        <v>226</v>
      </c>
      <c r="BV75" t="s">
        <v>297</v>
      </c>
      <c r="BW75" t="s">
        <v>228</v>
      </c>
      <c r="CH75" t="s">
        <v>229</v>
      </c>
      <c r="CI75" t="s">
        <v>46</v>
      </c>
      <c r="CJ75" t="s">
        <v>226</v>
      </c>
      <c r="CK75" t="s">
        <v>297</v>
      </c>
      <c r="CL75" t="s">
        <v>228</v>
      </c>
      <c r="CM75" t="s">
        <v>234</v>
      </c>
      <c r="CN75" t="s">
        <v>45</v>
      </c>
      <c r="CO75">
        <v>-602</v>
      </c>
      <c r="CP75">
        <v>42531275</v>
      </c>
      <c r="CQ75" s="73">
        <v>45375.9375</v>
      </c>
      <c r="CR75" t="s">
        <v>229</v>
      </c>
      <c r="CS75" t="s">
        <v>46</v>
      </c>
      <c r="CU75" t="s">
        <v>225</v>
      </c>
    </row>
    <row r="76" spans="1:99">
      <c r="A76" t="s">
        <v>93</v>
      </c>
      <c r="B76" t="s">
        <v>98</v>
      </c>
      <c r="J76" t="s">
        <v>225</v>
      </c>
      <c r="K76" t="s">
        <v>225</v>
      </c>
      <c r="M76" s="73">
        <v>45375.9375</v>
      </c>
      <c r="N76">
        <v>42531274</v>
      </c>
      <c r="O76">
        <v>-30</v>
      </c>
      <c r="P76" t="s">
        <v>73</v>
      </c>
      <c r="Q76">
        <v>-30</v>
      </c>
      <c r="R76" t="s">
        <v>73</v>
      </c>
      <c r="U76" t="s">
        <v>226</v>
      </c>
      <c r="V76" t="s">
        <v>297</v>
      </c>
      <c r="W76" t="s">
        <v>228</v>
      </c>
      <c r="X76" t="s">
        <v>229</v>
      </c>
      <c r="Y76" t="s">
        <v>93</v>
      </c>
      <c r="AD76" t="s">
        <v>73</v>
      </c>
      <c r="AE76">
        <v>-30</v>
      </c>
      <c r="AF76">
        <v>42531274</v>
      </c>
      <c r="AG76" s="73">
        <v>45375.9375</v>
      </c>
      <c r="AH76" t="s">
        <v>226</v>
      </c>
      <c r="AI76" t="s">
        <v>297</v>
      </c>
      <c r="AJ76" t="s">
        <v>228</v>
      </c>
      <c r="AK76" t="s">
        <v>229</v>
      </c>
      <c r="AL76" t="s">
        <v>93</v>
      </c>
      <c r="AP76" t="s">
        <v>230</v>
      </c>
      <c r="AQ76" t="s">
        <v>231</v>
      </c>
      <c r="AT76" t="s">
        <v>232</v>
      </c>
      <c r="AU76">
        <v>-99</v>
      </c>
      <c r="AV76" t="s">
        <v>73</v>
      </c>
      <c r="AW76">
        <v>-30</v>
      </c>
      <c r="AX76">
        <v>42531274</v>
      </c>
      <c r="AY76" s="73">
        <v>45375.9375</v>
      </c>
      <c r="AZ76" t="s">
        <v>226</v>
      </c>
      <c r="BA76" t="s">
        <v>297</v>
      </c>
      <c r="BB76" t="s">
        <v>228</v>
      </c>
      <c r="BC76" t="s">
        <v>229</v>
      </c>
      <c r="BD76" t="s">
        <v>93</v>
      </c>
      <c r="BI76" t="s">
        <v>233</v>
      </c>
      <c r="BJ76" t="s">
        <v>0</v>
      </c>
      <c r="BK76">
        <v>42531249</v>
      </c>
      <c r="BN76" t="s">
        <v>73</v>
      </c>
      <c r="BR76">
        <v>-30</v>
      </c>
      <c r="BS76">
        <v>42531274</v>
      </c>
      <c r="BT76" s="73">
        <v>45375.9375</v>
      </c>
      <c r="BU76" t="s">
        <v>226</v>
      </c>
      <c r="BV76" t="s">
        <v>297</v>
      </c>
      <c r="BW76" t="s">
        <v>228</v>
      </c>
      <c r="CH76" t="s">
        <v>229</v>
      </c>
      <c r="CI76" t="s">
        <v>93</v>
      </c>
      <c r="CJ76" t="s">
        <v>226</v>
      </c>
      <c r="CK76" t="s">
        <v>297</v>
      </c>
      <c r="CL76" t="s">
        <v>228</v>
      </c>
      <c r="CM76" t="s">
        <v>234</v>
      </c>
      <c r="CN76" t="s">
        <v>73</v>
      </c>
      <c r="CO76">
        <v>-30</v>
      </c>
      <c r="CP76">
        <v>42531274</v>
      </c>
      <c r="CQ76" s="73">
        <v>45375.9375</v>
      </c>
      <c r="CR76" t="s">
        <v>229</v>
      </c>
      <c r="CS76" t="s">
        <v>93</v>
      </c>
      <c r="CU76" t="s">
        <v>225</v>
      </c>
    </row>
    <row r="77" spans="1:99">
      <c r="A77" t="s">
        <v>108</v>
      </c>
      <c r="B77" t="s">
        <v>98</v>
      </c>
      <c r="J77" t="s">
        <v>225</v>
      </c>
      <c r="K77" t="s">
        <v>225</v>
      </c>
      <c r="M77" s="73">
        <v>45375.9375</v>
      </c>
      <c r="N77">
        <v>42531273</v>
      </c>
      <c r="O77">
        <v>600</v>
      </c>
      <c r="P77" t="s">
        <v>104</v>
      </c>
      <c r="Q77">
        <v>600</v>
      </c>
      <c r="R77" t="s">
        <v>104</v>
      </c>
      <c r="S77">
        <v>30</v>
      </c>
      <c r="T77" t="s">
        <v>73</v>
      </c>
      <c r="U77" t="s">
        <v>226</v>
      </c>
      <c r="V77" t="s">
        <v>297</v>
      </c>
      <c r="W77" t="s">
        <v>235</v>
      </c>
      <c r="X77" t="s">
        <v>229</v>
      </c>
      <c r="Y77" t="s">
        <v>108</v>
      </c>
      <c r="AD77" t="s">
        <v>104</v>
      </c>
      <c r="AE77">
        <v>600</v>
      </c>
      <c r="AF77">
        <v>42531273</v>
      </c>
      <c r="AG77" s="73">
        <v>45375.9375</v>
      </c>
      <c r="AH77" t="s">
        <v>226</v>
      </c>
      <c r="AI77" t="s">
        <v>297</v>
      </c>
      <c r="AJ77" t="s">
        <v>235</v>
      </c>
      <c r="AK77" t="s">
        <v>229</v>
      </c>
      <c r="AL77" t="s">
        <v>108</v>
      </c>
      <c r="AP77" t="s">
        <v>230</v>
      </c>
      <c r="AQ77" t="s">
        <v>231</v>
      </c>
      <c r="AT77" t="s">
        <v>232</v>
      </c>
      <c r="AU77">
        <v>-99</v>
      </c>
      <c r="AV77" t="s">
        <v>104</v>
      </c>
      <c r="AW77">
        <v>600</v>
      </c>
      <c r="AX77">
        <v>42531273</v>
      </c>
      <c r="AY77" s="73">
        <v>45375.9375</v>
      </c>
      <c r="AZ77" t="s">
        <v>226</v>
      </c>
      <c r="BA77" t="s">
        <v>297</v>
      </c>
      <c r="BB77" t="s">
        <v>235</v>
      </c>
      <c r="BC77" t="s">
        <v>229</v>
      </c>
      <c r="BD77" t="s">
        <v>108</v>
      </c>
      <c r="BI77" t="s">
        <v>233</v>
      </c>
      <c r="BJ77" t="s">
        <v>0</v>
      </c>
      <c r="BK77">
        <v>42531249</v>
      </c>
      <c r="BN77" t="s">
        <v>104</v>
      </c>
      <c r="BO77">
        <v>42531255</v>
      </c>
      <c r="BR77">
        <v>600</v>
      </c>
      <c r="BS77">
        <v>42531273</v>
      </c>
      <c r="BT77" s="73">
        <v>45375.9375</v>
      </c>
      <c r="BU77" t="s">
        <v>226</v>
      </c>
      <c r="BV77" t="s">
        <v>297</v>
      </c>
      <c r="BW77" t="s">
        <v>235</v>
      </c>
      <c r="CH77" t="s">
        <v>229</v>
      </c>
      <c r="CI77" t="s">
        <v>108</v>
      </c>
      <c r="CJ77" t="s">
        <v>226</v>
      </c>
      <c r="CK77" t="s">
        <v>297</v>
      </c>
      <c r="CL77" t="s">
        <v>235</v>
      </c>
      <c r="CM77" t="s">
        <v>236</v>
      </c>
      <c r="CN77" t="s">
        <v>104</v>
      </c>
      <c r="CO77">
        <v>600</v>
      </c>
      <c r="CP77">
        <v>42531273</v>
      </c>
      <c r="CQ77" s="73">
        <v>45375.9375</v>
      </c>
      <c r="CR77" t="s">
        <v>229</v>
      </c>
      <c r="CS77" t="s">
        <v>108</v>
      </c>
      <c r="CU77" t="s">
        <v>225</v>
      </c>
    </row>
    <row r="78" spans="1:99">
      <c r="A78" t="s">
        <v>111</v>
      </c>
      <c r="B78" t="s">
        <v>77</v>
      </c>
      <c r="J78" t="s">
        <v>225</v>
      </c>
      <c r="K78" t="s">
        <v>225</v>
      </c>
      <c r="M78" s="73">
        <v>45375.9375</v>
      </c>
      <c r="N78">
        <v>42531272</v>
      </c>
      <c r="O78">
        <v>2</v>
      </c>
      <c r="P78" t="s">
        <v>45</v>
      </c>
      <c r="Q78">
        <v>2</v>
      </c>
      <c r="R78" t="s">
        <v>45</v>
      </c>
      <c r="U78" t="s">
        <v>226</v>
      </c>
      <c r="V78" t="s">
        <v>297</v>
      </c>
      <c r="W78" t="s">
        <v>237</v>
      </c>
      <c r="X78" t="s">
        <v>229</v>
      </c>
      <c r="Y78" t="s">
        <v>111</v>
      </c>
      <c r="AD78" t="s">
        <v>45</v>
      </c>
      <c r="AE78">
        <v>2</v>
      </c>
      <c r="AF78">
        <v>42531272</v>
      </c>
      <c r="AG78" s="73">
        <v>45375.9375</v>
      </c>
      <c r="AH78" t="s">
        <v>226</v>
      </c>
      <c r="AI78" t="s">
        <v>297</v>
      </c>
      <c r="AJ78" t="s">
        <v>237</v>
      </c>
      <c r="AK78" t="s">
        <v>229</v>
      </c>
      <c r="AL78" t="s">
        <v>111</v>
      </c>
      <c r="AP78" t="s">
        <v>230</v>
      </c>
      <c r="AQ78" t="s">
        <v>231</v>
      </c>
      <c r="AT78" t="s">
        <v>232</v>
      </c>
      <c r="AU78">
        <v>-99</v>
      </c>
      <c r="AV78" t="s">
        <v>45</v>
      </c>
      <c r="AW78">
        <v>2</v>
      </c>
      <c r="AX78">
        <v>42531272</v>
      </c>
      <c r="AY78" s="73">
        <v>45375.9375</v>
      </c>
      <c r="AZ78" t="s">
        <v>226</v>
      </c>
      <c r="BA78" t="s">
        <v>297</v>
      </c>
      <c r="BB78" t="s">
        <v>237</v>
      </c>
      <c r="BC78" t="s">
        <v>229</v>
      </c>
      <c r="BD78" t="s">
        <v>111</v>
      </c>
      <c r="BI78" t="s">
        <v>233</v>
      </c>
      <c r="BJ78" t="s">
        <v>0</v>
      </c>
      <c r="BK78">
        <v>42531249</v>
      </c>
      <c r="BN78" t="s">
        <v>45</v>
      </c>
      <c r="BO78">
        <v>42531267</v>
      </c>
      <c r="BR78">
        <v>2</v>
      </c>
      <c r="BS78">
        <v>42531272</v>
      </c>
      <c r="BT78" s="73">
        <v>45375.9375</v>
      </c>
      <c r="BU78" t="s">
        <v>226</v>
      </c>
      <c r="BV78" t="s">
        <v>297</v>
      </c>
      <c r="BW78" t="s">
        <v>237</v>
      </c>
      <c r="CH78" t="s">
        <v>229</v>
      </c>
      <c r="CI78" t="s">
        <v>111</v>
      </c>
      <c r="CJ78" t="s">
        <v>226</v>
      </c>
      <c r="CK78" t="s">
        <v>297</v>
      </c>
      <c r="CL78" t="s">
        <v>237</v>
      </c>
      <c r="CM78" t="s">
        <v>236</v>
      </c>
      <c r="CN78" t="s">
        <v>45</v>
      </c>
      <c r="CO78">
        <v>2</v>
      </c>
      <c r="CP78">
        <v>42531272</v>
      </c>
      <c r="CQ78" s="73">
        <v>45375.9375</v>
      </c>
      <c r="CR78" t="s">
        <v>229</v>
      </c>
      <c r="CS78" t="s">
        <v>111</v>
      </c>
      <c r="CU78" t="s">
        <v>225</v>
      </c>
    </row>
    <row r="79" spans="1:99">
      <c r="A79" t="s">
        <v>111</v>
      </c>
      <c r="B79" t="s">
        <v>77</v>
      </c>
      <c r="J79" t="s">
        <v>225</v>
      </c>
      <c r="K79" t="s">
        <v>225</v>
      </c>
      <c r="M79" s="73">
        <v>45375.935416666667</v>
      </c>
      <c r="N79">
        <v>42532363</v>
      </c>
      <c r="O79">
        <v>-1.08</v>
      </c>
      <c r="P79" t="s">
        <v>45</v>
      </c>
      <c r="Q79">
        <v>-1.08</v>
      </c>
      <c r="R79" t="s">
        <v>45</v>
      </c>
      <c r="U79" t="s">
        <v>226</v>
      </c>
      <c r="V79" t="s">
        <v>298</v>
      </c>
      <c r="W79" t="s">
        <v>299</v>
      </c>
      <c r="X79" t="s">
        <v>229</v>
      </c>
      <c r="Y79" t="s">
        <v>111</v>
      </c>
      <c r="AD79" t="s">
        <v>45</v>
      </c>
      <c r="AE79">
        <v>-1.08</v>
      </c>
      <c r="AF79">
        <v>42532363</v>
      </c>
      <c r="AG79" s="73">
        <v>45375.935416666667</v>
      </c>
      <c r="AH79" t="s">
        <v>226</v>
      </c>
      <c r="AI79" t="s">
        <v>298</v>
      </c>
      <c r="AJ79" t="s">
        <v>299</v>
      </c>
      <c r="AK79" t="s">
        <v>229</v>
      </c>
      <c r="AL79" t="s">
        <v>111</v>
      </c>
      <c r="AP79" t="s">
        <v>230</v>
      </c>
      <c r="AQ79" t="s">
        <v>231</v>
      </c>
      <c r="AT79" t="s">
        <v>232</v>
      </c>
      <c r="AU79">
        <v>42531228</v>
      </c>
      <c r="AV79" t="s">
        <v>45</v>
      </c>
      <c r="AW79">
        <v>-1.08</v>
      </c>
      <c r="AX79">
        <v>42532363</v>
      </c>
      <c r="AY79" s="73">
        <v>45375.935416666667</v>
      </c>
      <c r="AZ79" t="s">
        <v>226</v>
      </c>
      <c r="BA79" t="s">
        <v>298</v>
      </c>
      <c r="BB79" t="s">
        <v>299</v>
      </c>
      <c r="BC79" t="s">
        <v>229</v>
      </c>
      <c r="BD79" t="s">
        <v>111</v>
      </c>
      <c r="BI79" t="s">
        <v>233</v>
      </c>
      <c r="BJ79" t="s">
        <v>0</v>
      </c>
      <c r="BK79">
        <v>42532359</v>
      </c>
      <c r="BN79" t="s">
        <v>45</v>
      </c>
      <c r="BO79">
        <v>42532361</v>
      </c>
      <c r="BR79">
        <v>-1.08</v>
      </c>
      <c r="BS79">
        <v>42532363</v>
      </c>
      <c r="BT79" s="73">
        <v>45375.935416666667</v>
      </c>
      <c r="BU79" t="s">
        <v>226</v>
      </c>
      <c r="BV79" t="s">
        <v>298</v>
      </c>
      <c r="BW79" t="s">
        <v>299</v>
      </c>
      <c r="CH79" t="s">
        <v>229</v>
      </c>
      <c r="CI79" t="s">
        <v>111</v>
      </c>
      <c r="CJ79" t="s">
        <v>226</v>
      </c>
      <c r="CK79" t="s">
        <v>298</v>
      </c>
      <c r="CL79" t="s">
        <v>299</v>
      </c>
      <c r="CM79" t="s">
        <v>300</v>
      </c>
      <c r="CN79" t="s">
        <v>45</v>
      </c>
      <c r="CO79">
        <v>-1.08</v>
      </c>
      <c r="CP79">
        <v>42532363</v>
      </c>
      <c r="CQ79" s="73">
        <v>45375.935416666667</v>
      </c>
      <c r="CR79" t="s">
        <v>229</v>
      </c>
      <c r="CS79" t="s">
        <v>111</v>
      </c>
      <c r="CU79" t="s">
        <v>225</v>
      </c>
    </row>
    <row r="80" spans="1:99">
      <c r="A80" t="s">
        <v>42</v>
      </c>
      <c r="B80" t="s">
        <v>92</v>
      </c>
      <c r="J80" t="s">
        <v>225</v>
      </c>
      <c r="K80" t="s">
        <v>225</v>
      </c>
      <c r="M80" s="73">
        <v>45375.935416666667</v>
      </c>
      <c r="N80">
        <v>42531231</v>
      </c>
      <c r="O80">
        <v>-2020</v>
      </c>
      <c r="P80" t="s">
        <v>45</v>
      </c>
      <c r="Q80">
        <v>-2020</v>
      </c>
      <c r="R80" t="s">
        <v>45</v>
      </c>
      <c r="U80" t="s">
        <v>226</v>
      </c>
      <c r="V80" t="s">
        <v>298</v>
      </c>
      <c r="W80" t="s">
        <v>228</v>
      </c>
      <c r="X80" t="s">
        <v>229</v>
      </c>
      <c r="Y80" t="s">
        <v>42</v>
      </c>
      <c r="AD80" t="s">
        <v>45</v>
      </c>
      <c r="AE80">
        <v>-2020</v>
      </c>
      <c r="AF80">
        <v>42531231</v>
      </c>
      <c r="AG80" s="73">
        <v>45375.935416666667</v>
      </c>
      <c r="AH80" t="s">
        <v>226</v>
      </c>
      <c r="AI80" t="s">
        <v>298</v>
      </c>
      <c r="AJ80" t="s">
        <v>228</v>
      </c>
      <c r="AK80" t="s">
        <v>229</v>
      </c>
      <c r="AL80" t="s">
        <v>42</v>
      </c>
      <c r="AP80" t="s">
        <v>230</v>
      </c>
      <c r="AQ80" t="s">
        <v>231</v>
      </c>
      <c r="AT80" t="s">
        <v>232</v>
      </c>
      <c r="AU80">
        <v>-99</v>
      </c>
      <c r="AV80" t="s">
        <v>45</v>
      </c>
      <c r="AW80">
        <v>-2020</v>
      </c>
      <c r="AX80">
        <v>42531231</v>
      </c>
      <c r="AY80" s="73">
        <v>45375.935416666667</v>
      </c>
      <c r="AZ80" t="s">
        <v>226</v>
      </c>
      <c r="BA80" t="s">
        <v>298</v>
      </c>
      <c r="BB80" t="s">
        <v>228</v>
      </c>
      <c r="BC80" t="s">
        <v>229</v>
      </c>
      <c r="BD80" t="s">
        <v>42</v>
      </c>
      <c r="BI80" t="s">
        <v>233</v>
      </c>
      <c r="BJ80" t="s">
        <v>0</v>
      </c>
      <c r="BK80">
        <v>42531196</v>
      </c>
      <c r="BN80" t="s">
        <v>45</v>
      </c>
      <c r="BR80">
        <v>-2020</v>
      </c>
      <c r="BS80">
        <v>42531231</v>
      </c>
      <c r="BT80" s="73">
        <v>45375.935416666667</v>
      </c>
      <c r="BU80" t="s">
        <v>226</v>
      </c>
      <c r="BV80" t="s">
        <v>298</v>
      </c>
      <c r="BW80" t="s">
        <v>228</v>
      </c>
      <c r="CH80" t="s">
        <v>229</v>
      </c>
      <c r="CI80" t="s">
        <v>42</v>
      </c>
      <c r="CJ80" t="s">
        <v>226</v>
      </c>
      <c r="CK80" t="s">
        <v>298</v>
      </c>
      <c r="CL80" t="s">
        <v>228</v>
      </c>
      <c r="CM80" t="s">
        <v>234</v>
      </c>
      <c r="CN80" t="s">
        <v>45</v>
      </c>
      <c r="CO80">
        <v>-2020</v>
      </c>
      <c r="CP80">
        <v>42531231</v>
      </c>
      <c r="CQ80" s="73">
        <v>45375.935416666667</v>
      </c>
      <c r="CR80" t="s">
        <v>229</v>
      </c>
      <c r="CS80" t="s">
        <v>42</v>
      </c>
      <c r="CU80" t="s">
        <v>225</v>
      </c>
    </row>
    <row r="81" spans="1:99">
      <c r="A81" t="s">
        <v>99</v>
      </c>
      <c r="B81" t="s">
        <v>98</v>
      </c>
      <c r="J81" t="s">
        <v>225</v>
      </c>
      <c r="K81" t="s">
        <v>225</v>
      </c>
      <c r="M81" s="73">
        <v>45375.935416666667</v>
      </c>
      <c r="N81">
        <v>42531230</v>
      </c>
      <c r="O81">
        <v>-101</v>
      </c>
      <c r="P81" t="s">
        <v>73</v>
      </c>
      <c r="Q81">
        <v>-101</v>
      </c>
      <c r="R81" t="s">
        <v>73</v>
      </c>
      <c r="U81" t="s">
        <v>226</v>
      </c>
      <c r="V81" t="s">
        <v>298</v>
      </c>
      <c r="W81" t="s">
        <v>228</v>
      </c>
      <c r="X81" t="s">
        <v>229</v>
      </c>
      <c r="Y81" t="s">
        <v>99</v>
      </c>
      <c r="AD81" t="s">
        <v>73</v>
      </c>
      <c r="AE81">
        <v>-101</v>
      </c>
      <c r="AF81">
        <v>42531230</v>
      </c>
      <c r="AG81" s="73">
        <v>45375.935416666667</v>
      </c>
      <c r="AH81" t="s">
        <v>226</v>
      </c>
      <c r="AI81" t="s">
        <v>298</v>
      </c>
      <c r="AJ81" t="s">
        <v>228</v>
      </c>
      <c r="AK81" t="s">
        <v>229</v>
      </c>
      <c r="AL81" t="s">
        <v>99</v>
      </c>
      <c r="AP81" t="s">
        <v>230</v>
      </c>
      <c r="AQ81" t="s">
        <v>231</v>
      </c>
      <c r="AT81" t="s">
        <v>232</v>
      </c>
      <c r="AU81">
        <v>-99</v>
      </c>
      <c r="AV81" t="s">
        <v>73</v>
      </c>
      <c r="AW81">
        <v>-101</v>
      </c>
      <c r="AX81">
        <v>42531230</v>
      </c>
      <c r="AY81" s="73">
        <v>45375.935416666667</v>
      </c>
      <c r="AZ81" t="s">
        <v>226</v>
      </c>
      <c r="BA81" t="s">
        <v>298</v>
      </c>
      <c r="BB81" t="s">
        <v>228</v>
      </c>
      <c r="BC81" t="s">
        <v>229</v>
      </c>
      <c r="BD81" t="s">
        <v>99</v>
      </c>
      <c r="BI81" t="s">
        <v>233</v>
      </c>
      <c r="BJ81" t="s">
        <v>0</v>
      </c>
      <c r="BK81">
        <v>42531196</v>
      </c>
      <c r="BN81" t="s">
        <v>73</v>
      </c>
      <c r="BR81">
        <v>-101</v>
      </c>
      <c r="BS81">
        <v>42531230</v>
      </c>
      <c r="BT81" s="73">
        <v>45375.935416666667</v>
      </c>
      <c r="BU81" t="s">
        <v>226</v>
      </c>
      <c r="BV81" t="s">
        <v>298</v>
      </c>
      <c r="BW81" t="s">
        <v>228</v>
      </c>
      <c r="CH81" t="s">
        <v>229</v>
      </c>
      <c r="CI81" t="s">
        <v>99</v>
      </c>
      <c r="CJ81" t="s">
        <v>226</v>
      </c>
      <c r="CK81" t="s">
        <v>298</v>
      </c>
      <c r="CL81" t="s">
        <v>228</v>
      </c>
      <c r="CM81" t="s">
        <v>234</v>
      </c>
      <c r="CN81" t="s">
        <v>73</v>
      </c>
      <c r="CO81">
        <v>-101</v>
      </c>
      <c r="CP81">
        <v>42531230</v>
      </c>
      <c r="CQ81" s="73">
        <v>45375.935416666667</v>
      </c>
      <c r="CR81" t="s">
        <v>229</v>
      </c>
      <c r="CS81" t="s">
        <v>99</v>
      </c>
      <c r="CU81" t="s">
        <v>225</v>
      </c>
    </row>
    <row r="82" spans="1:99">
      <c r="A82" t="s">
        <v>103</v>
      </c>
      <c r="B82" t="s">
        <v>98</v>
      </c>
      <c r="J82" t="s">
        <v>225</v>
      </c>
      <c r="K82" t="s">
        <v>225</v>
      </c>
      <c r="M82" s="73">
        <v>45375.935416666667</v>
      </c>
      <c r="N82">
        <v>42531229</v>
      </c>
      <c r="O82">
        <v>2020</v>
      </c>
      <c r="P82" t="s">
        <v>104</v>
      </c>
      <c r="Q82">
        <v>2020</v>
      </c>
      <c r="R82" t="s">
        <v>104</v>
      </c>
      <c r="S82">
        <v>101</v>
      </c>
      <c r="T82" t="s">
        <v>73</v>
      </c>
      <c r="U82" t="s">
        <v>226</v>
      </c>
      <c r="V82" t="s">
        <v>298</v>
      </c>
      <c r="W82" t="s">
        <v>235</v>
      </c>
      <c r="X82" t="s">
        <v>229</v>
      </c>
      <c r="Y82" t="s">
        <v>103</v>
      </c>
      <c r="AD82" t="s">
        <v>104</v>
      </c>
      <c r="AE82">
        <v>2020</v>
      </c>
      <c r="AF82">
        <v>42531229</v>
      </c>
      <c r="AG82" s="73">
        <v>45375.935416666667</v>
      </c>
      <c r="AH82" t="s">
        <v>226</v>
      </c>
      <c r="AI82" t="s">
        <v>298</v>
      </c>
      <c r="AJ82" t="s">
        <v>235</v>
      </c>
      <c r="AK82" t="s">
        <v>229</v>
      </c>
      <c r="AL82" t="s">
        <v>103</v>
      </c>
      <c r="AP82" t="s">
        <v>230</v>
      </c>
      <c r="AQ82" t="s">
        <v>231</v>
      </c>
      <c r="AT82" t="s">
        <v>232</v>
      </c>
      <c r="AU82">
        <v>-99</v>
      </c>
      <c r="AV82" t="s">
        <v>104</v>
      </c>
      <c r="AW82">
        <v>2020</v>
      </c>
      <c r="AX82">
        <v>42531229</v>
      </c>
      <c r="AY82" s="73">
        <v>45375.935416666667</v>
      </c>
      <c r="AZ82" t="s">
        <v>226</v>
      </c>
      <c r="BA82" t="s">
        <v>298</v>
      </c>
      <c r="BB82" t="s">
        <v>235</v>
      </c>
      <c r="BC82" t="s">
        <v>229</v>
      </c>
      <c r="BD82" t="s">
        <v>103</v>
      </c>
      <c r="BI82" t="s">
        <v>233</v>
      </c>
      <c r="BJ82" t="s">
        <v>0</v>
      </c>
      <c r="BK82">
        <v>42531196</v>
      </c>
      <c r="BN82" t="s">
        <v>104</v>
      </c>
      <c r="BO82">
        <v>42531218</v>
      </c>
      <c r="BR82">
        <v>2020</v>
      </c>
      <c r="BS82">
        <v>42531229</v>
      </c>
      <c r="BT82" s="73">
        <v>45375.935416666667</v>
      </c>
      <c r="BU82" t="s">
        <v>226</v>
      </c>
      <c r="BV82" t="s">
        <v>298</v>
      </c>
      <c r="BW82" t="s">
        <v>235</v>
      </c>
      <c r="CH82" t="s">
        <v>229</v>
      </c>
      <c r="CI82" t="s">
        <v>103</v>
      </c>
      <c r="CJ82" t="s">
        <v>226</v>
      </c>
      <c r="CK82" t="s">
        <v>298</v>
      </c>
      <c r="CL82" t="s">
        <v>235</v>
      </c>
      <c r="CM82" t="s">
        <v>236</v>
      </c>
      <c r="CN82" t="s">
        <v>104</v>
      </c>
      <c r="CO82">
        <v>2020</v>
      </c>
      <c r="CP82">
        <v>42531229</v>
      </c>
      <c r="CQ82" s="73">
        <v>45375.935416666667</v>
      </c>
      <c r="CR82" t="s">
        <v>229</v>
      </c>
      <c r="CS82" t="s">
        <v>103</v>
      </c>
      <c r="CU82" t="s">
        <v>225</v>
      </c>
    </row>
    <row r="83" spans="1:99">
      <c r="A83" t="s">
        <v>111</v>
      </c>
      <c r="B83" t="s">
        <v>77</v>
      </c>
      <c r="J83" t="s">
        <v>225</v>
      </c>
      <c r="K83" t="s">
        <v>225</v>
      </c>
      <c r="M83" s="73">
        <v>45375.935416666667</v>
      </c>
      <c r="N83">
        <v>42531228</v>
      </c>
      <c r="O83">
        <v>1.08</v>
      </c>
      <c r="P83" t="s">
        <v>45</v>
      </c>
      <c r="Q83">
        <v>1.08</v>
      </c>
      <c r="R83" t="s">
        <v>45</v>
      </c>
      <c r="U83" t="s">
        <v>226</v>
      </c>
      <c r="V83" t="s">
        <v>298</v>
      </c>
      <c r="W83" t="s">
        <v>237</v>
      </c>
      <c r="X83" t="s">
        <v>229</v>
      </c>
      <c r="Y83" t="s">
        <v>111</v>
      </c>
      <c r="AD83" t="s">
        <v>45</v>
      </c>
      <c r="AE83">
        <v>1.08</v>
      </c>
      <c r="AF83">
        <v>42531228</v>
      </c>
      <c r="AG83" s="73">
        <v>45375.935416666667</v>
      </c>
      <c r="AH83" t="s">
        <v>226</v>
      </c>
      <c r="AI83" t="s">
        <v>298</v>
      </c>
      <c r="AJ83" t="s">
        <v>237</v>
      </c>
      <c r="AK83" t="s">
        <v>229</v>
      </c>
      <c r="AL83" t="s">
        <v>111</v>
      </c>
      <c r="AP83" t="s">
        <v>230</v>
      </c>
      <c r="AQ83" t="s">
        <v>231</v>
      </c>
      <c r="AT83" t="s">
        <v>232</v>
      </c>
      <c r="AU83">
        <v>-99</v>
      </c>
      <c r="AV83" t="s">
        <v>45</v>
      </c>
      <c r="AW83">
        <v>1.08</v>
      </c>
      <c r="AX83">
        <v>42531228</v>
      </c>
      <c r="AY83" s="73">
        <v>45375.935416666667</v>
      </c>
      <c r="AZ83" t="s">
        <v>226</v>
      </c>
      <c r="BA83" t="s">
        <v>298</v>
      </c>
      <c r="BB83" t="s">
        <v>237</v>
      </c>
      <c r="BC83" t="s">
        <v>229</v>
      </c>
      <c r="BD83" t="s">
        <v>111</v>
      </c>
      <c r="BI83" t="s">
        <v>233</v>
      </c>
      <c r="BJ83" t="s">
        <v>0</v>
      </c>
      <c r="BK83">
        <v>42531196</v>
      </c>
      <c r="BN83" t="s">
        <v>45</v>
      </c>
      <c r="BO83">
        <v>42531223</v>
      </c>
      <c r="BR83">
        <v>1.08</v>
      </c>
      <c r="BS83">
        <v>42531228</v>
      </c>
      <c r="BT83" s="73">
        <v>45375.935416666667</v>
      </c>
      <c r="BU83" t="s">
        <v>226</v>
      </c>
      <c r="BV83" t="s">
        <v>298</v>
      </c>
      <c r="BW83" t="s">
        <v>237</v>
      </c>
      <c r="CH83" t="s">
        <v>229</v>
      </c>
      <c r="CI83" t="s">
        <v>111</v>
      </c>
      <c r="CJ83" t="s">
        <v>226</v>
      </c>
      <c r="CK83" t="s">
        <v>298</v>
      </c>
      <c r="CL83" t="s">
        <v>237</v>
      </c>
      <c r="CM83" t="s">
        <v>236</v>
      </c>
      <c r="CN83" t="s">
        <v>45</v>
      </c>
      <c r="CO83">
        <v>1.08</v>
      </c>
      <c r="CP83">
        <v>42531228</v>
      </c>
      <c r="CQ83" s="73">
        <v>45375.935416666667</v>
      </c>
      <c r="CR83" t="s">
        <v>229</v>
      </c>
      <c r="CS83" t="s">
        <v>111</v>
      </c>
      <c r="CU83" t="s">
        <v>225</v>
      </c>
    </row>
    <row r="84" spans="1:99">
      <c r="A84" t="s">
        <v>113</v>
      </c>
      <c r="B84" t="s">
        <v>90</v>
      </c>
      <c r="J84" t="s">
        <v>225</v>
      </c>
      <c r="K84" t="s">
        <v>225</v>
      </c>
      <c r="M84" s="73">
        <v>45375.923622685186</v>
      </c>
      <c r="N84">
        <v>42533153</v>
      </c>
      <c r="O84">
        <v>-450</v>
      </c>
      <c r="P84" t="s">
        <v>115</v>
      </c>
      <c r="Q84">
        <v>-450</v>
      </c>
      <c r="R84" t="s">
        <v>115</v>
      </c>
      <c r="U84" t="s">
        <v>226</v>
      </c>
      <c r="V84" t="s">
        <v>301</v>
      </c>
      <c r="W84" t="s">
        <v>228</v>
      </c>
      <c r="X84" t="s">
        <v>229</v>
      </c>
      <c r="Y84" t="s">
        <v>113</v>
      </c>
      <c r="AD84" t="s">
        <v>115</v>
      </c>
      <c r="AE84">
        <v>-450</v>
      </c>
      <c r="AF84">
        <v>42533153</v>
      </c>
      <c r="AG84" s="73">
        <v>45375.923622685186</v>
      </c>
      <c r="AH84" t="s">
        <v>226</v>
      </c>
      <c r="AI84" t="s">
        <v>301</v>
      </c>
      <c r="AJ84" t="s">
        <v>228</v>
      </c>
      <c r="AK84" t="s">
        <v>229</v>
      </c>
      <c r="AL84" t="s">
        <v>113</v>
      </c>
      <c r="AP84" t="s">
        <v>230</v>
      </c>
      <c r="AQ84" t="s">
        <v>231</v>
      </c>
      <c r="AT84" t="s">
        <v>232</v>
      </c>
      <c r="AU84">
        <v>-99</v>
      </c>
      <c r="AV84" t="s">
        <v>115</v>
      </c>
      <c r="AW84">
        <v>-450</v>
      </c>
      <c r="AX84">
        <v>42533153</v>
      </c>
      <c r="AY84" s="73">
        <v>45375.923622685186</v>
      </c>
      <c r="AZ84" t="s">
        <v>226</v>
      </c>
      <c r="BA84" t="s">
        <v>301</v>
      </c>
      <c r="BB84" t="s">
        <v>228</v>
      </c>
      <c r="BC84" t="s">
        <v>229</v>
      </c>
      <c r="BD84" t="s">
        <v>113</v>
      </c>
      <c r="BI84" t="s">
        <v>233</v>
      </c>
      <c r="BJ84" t="s">
        <v>0</v>
      </c>
      <c r="BK84">
        <v>42533145</v>
      </c>
      <c r="BN84" t="s">
        <v>115</v>
      </c>
      <c r="BR84">
        <v>-450</v>
      </c>
      <c r="BS84">
        <v>42533153</v>
      </c>
      <c r="BT84" s="73">
        <v>45375.923622685186</v>
      </c>
      <c r="BU84" t="s">
        <v>226</v>
      </c>
      <c r="BV84" t="s">
        <v>301</v>
      </c>
      <c r="BW84" t="s">
        <v>228</v>
      </c>
      <c r="CH84" t="s">
        <v>229</v>
      </c>
      <c r="CI84" t="s">
        <v>113</v>
      </c>
      <c r="CJ84" t="s">
        <v>226</v>
      </c>
      <c r="CK84" t="s">
        <v>301</v>
      </c>
      <c r="CL84" t="s">
        <v>228</v>
      </c>
      <c r="CM84" t="s">
        <v>234</v>
      </c>
      <c r="CN84" t="s">
        <v>115</v>
      </c>
      <c r="CO84">
        <v>-450</v>
      </c>
      <c r="CP84">
        <v>42533153</v>
      </c>
      <c r="CQ84" s="73">
        <v>45375.923622685186</v>
      </c>
      <c r="CR84" t="s">
        <v>229</v>
      </c>
      <c r="CS84" t="s">
        <v>113</v>
      </c>
      <c r="CU84" t="s">
        <v>225</v>
      </c>
    </row>
    <row r="85" spans="1:99">
      <c r="A85" t="s">
        <v>129</v>
      </c>
      <c r="B85" t="s">
        <v>90</v>
      </c>
      <c r="J85" t="s">
        <v>225</v>
      </c>
      <c r="K85" t="s">
        <v>225</v>
      </c>
      <c r="M85" s="73">
        <v>45375.923622685186</v>
      </c>
      <c r="N85">
        <v>42533152</v>
      </c>
      <c r="O85">
        <v>-5.8</v>
      </c>
      <c r="P85" t="s">
        <v>73</v>
      </c>
      <c r="Q85">
        <v>-5.8</v>
      </c>
      <c r="R85" t="s">
        <v>73</v>
      </c>
      <c r="U85" t="s">
        <v>226</v>
      </c>
      <c r="V85" t="s">
        <v>301</v>
      </c>
      <c r="W85" t="s">
        <v>228</v>
      </c>
      <c r="X85" t="s">
        <v>229</v>
      </c>
      <c r="Y85" t="s">
        <v>129</v>
      </c>
      <c r="AD85" t="s">
        <v>73</v>
      </c>
      <c r="AE85">
        <v>-5.8</v>
      </c>
      <c r="AF85">
        <v>42533152</v>
      </c>
      <c r="AG85" s="73">
        <v>45375.923622685186</v>
      </c>
      <c r="AH85" t="s">
        <v>226</v>
      </c>
      <c r="AI85" t="s">
        <v>301</v>
      </c>
      <c r="AJ85" t="s">
        <v>228</v>
      </c>
      <c r="AK85" t="s">
        <v>229</v>
      </c>
      <c r="AL85" t="s">
        <v>129</v>
      </c>
      <c r="AP85" t="s">
        <v>230</v>
      </c>
      <c r="AQ85" t="s">
        <v>231</v>
      </c>
      <c r="AT85" t="s">
        <v>232</v>
      </c>
      <c r="AU85">
        <v>-99</v>
      </c>
      <c r="AV85" t="s">
        <v>73</v>
      </c>
      <c r="AW85">
        <v>-5.8</v>
      </c>
      <c r="AX85">
        <v>42533152</v>
      </c>
      <c r="AY85" s="73">
        <v>45375.923622685186</v>
      </c>
      <c r="AZ85" t="s">
        <v>226</v>
      </c>
      <c r="BA85" t="s">
        <v>301</v>
      </c>
      <c r="BB85" t="s">
        <v>228</v>
      </c>
      <c r="BC85" t="s">
        <v>229</v>
      </c>
      <c r="BD85" t="s">
        <v>129</v>
      </c>
      <c r="BI85" t="s">
        <v>233</v>
      </c>
      <c r="BJ85" t="s">
        <v>0</v>
      </c>
      <c r="BK85">
        <v>42533145</v>
      </c>
      <c r="BN85" t="s">
        <v>73</v>
      </c>
      <c r="BR85">
        <v>-5.8</v>
      </c>
      <c r="BS85">
        <v>42533152</v>
      </c>
      <c r="BT85" s="73">
        <v>45375.923622685186</v>
      </c>
      <c r="BU85" t="s">
        <v>226</v>
      </c>
      <c r="BV85" t="s">
        <v>301</v>
      </c>
      <c r="BW85" t="s">
        <v>228</v>
      </c>
      <c r="CH85" t="s">
        <v>229</v>
      </c>
      <c r="CI85" t="s">
        <v>129</v>
      </c>
      <c r="CJ85" t="s">
        <v>226</v>
      </c>
      <c r="CK85" t="s">
        <v>301</v>
      </c>
      <c r="CL85" t="s">
        <v>228</v>
      </c>
      <c r="CM85" t="s">
        <v>234</v>
      </c>
      <c r="CN85" t="s">
        <v>73</v>
      </c>
      <c r="CO85">
        <v>-5.8</v>
      </c>
      <c r="CP85">
        <v>42533152</v>
      </c>
      <c r="CQ85" s="73">
        <v>45375.923622685186</v>
      </c>
      <c r="CR85" t="s">
        <v>229</v>
      </c>
      <c r="CS85" t="s">
        <v>129</v>
      </c>
      <c r="CU85" t="s">
        <v>225</v>
      </c>
    </row>
    <row r="86" spans="1:99">
      <c r="A86" t="s">
        <v>99</v>
      </c>
      <c r="B86" t="s">
        <v>98</v>
      </c>
      <c r="J86" t="s">
        <v>225</v>
      </c>
      <c r="K86" t="s">
        <v>225</v>
      </c>
      <c r="M86" s="73">
        <v>45375.923622685186</v>
      </c>
      <c r="N86">
        <v>42533136</v>
      </c>
      <c r="O86">
        <v>1441.34</v>
      </c>
      <c r="P86" t="s">
        <v>73</v>
      </c>
      <c r="Q86">
        <v>1441.34</v>
      </c>
      <c r="R86" t="s">
        <v>73</v>
      </c>
      <c r="U86" t="s">
        <v>226</v>
      </c>
      <c r="V86" t="s">
        <v>301</v>
      </c>
      <c r="W86" t="s">
        <v>235</v>
      </c>
      <c r="X86" t="s">
        <v>229</v>
      </c>
      <c r="Y86" t="s">
        <v>99</v>
      </c>
      <c r="AD86" t="s">
        <v>73</v>
      </c>
      <c r="AE86">
        <v>1441.34</v>
      </c>
      <c r="AF86">
        <v>42533136</v>
      </c>
      <c r="AG86" s="73">
        <v>45375.923622685186</v>
      </c>
      <c r="AH86" t="s">
        <v>226</v>
      </c>
      <c r="AI86" t="s">
        <v>301</v>
      </c>
      <c r="AJ86" t="s">
        <v>235</v>
      </c>
      <c r="AK86" t="s">
        <v>229</v>
      </c>
      <c r="AL86" t="s">
        <v>99</v>
      </c>
      <c r="AP86" t="s">
        <v>230</v>
      </c>
      <c r="AQ86" t="s">
        <v>231</v>
      </c>
      <c r="AT86" t="s">
        <v>232</v>
      </c>
      <c r="AU86">
        <v>-99</v>
      </c>
      <c r="AV86" t="s">
        <v>73</v>
      </c>
      <c r="AW86">
        <v>1441.34</v>
      </c>
      <c r="AX86">
        <v>42533136</v>
      </c>
      <c r="AY86" s="73">
        <v>45375.923622685186</v>
      </c>
      <c r="AZ86" t="s">
        <v>226</v>
      </c>
      <c r="BA86" t="s">
        <v>301</v>
      </c>
      <c r="BB86" t="s">
        <v>235</v>
      </c>
      <c r="BC86" t="s">
        <v>229</v>
      </c>
      <c r="BD86" t="s">
        <v>99</v>
      </c>
      <c r="BI86" t="s">
        <v>233</v>
      </c>
      <c r="BJ86" t="s">
        <v>0</v>
      </c>
      <c r="BK86">
        <v>42533132</v>
      </c>
      <c r="BN86" t="s">
        <v>73</v>
      </c>
      <c r="BO86">
        <v>42533134</v>
      </c>
      <c r="BR86">
        <v>1441.34</v>
      </c>
      <c r="BS86">
        <v>42533136</v>
      </c>
      <c r="BT86" s="73">
        <v>45375.923622685186</v>
      </c>
      <c r="BU86" t="s">
        <v>226</v>
      </c>
      <c r="BV86" t="s">
        <v>301</v>
      </c>
      <c r="BW86" t="s">
        <v>235</v>
      </c>
      <c r="CH86" t="s">
        <v>229</v>
      </c>
      <c r="CI86" t="s">
        <v>99</v>
      </c>
      <c r="CJ86" t="s">
        <v>226</v>
      </c>
      <c r="CK86" t="s">
        <v>301</v>
      </c>
      <c r="CL86" t="s">
        <v>235</v>
      </c>
      <c r="CM86" t="s">
        <v>236</v>
      </c>
      <c r="CN86" t="s">
        <v>73</v>
      </c>
      <c r="CO86">
        <v>1441.34</v>
      </c>
      <c r="CP86">
        <v>42533136</v>
      </c>
      <c r="CQ86" s="73">
        <v>45375.923622685186</v>
      </c>
      <c r="CR86" t="s">
        <v>229</v>
      </c>
      <c r="CS86" t="s">
        <v>99</v>
      </c>
      <c r="CU86" t="s">
        <v>225</v>
      </c>
    </row>
    <row r="87" spans="1:99">
      <c r="A87" t="s">
        <v>71</v>
      </c>
      <c r="B87" t="s">
        <v>77</v>
      </c>
      <c r="J87" t="s">
        <v>225</v>
      </c>
      <c r="K87" t="s">
        <v>225</v>
      </c>
      <c r="M87" s="73">
        <v>45375.923622685186</v>
      </c>
      <c r="N87">
        <v>42533129</v>
      </c>
      <c r="O87">
        <v>0.87</v>
      </c>
      <c r="P87" t="s">
        <v>73</v>
      </c>
      <c r="Q87">
        <v>0.87</v>
      </c>
      <c r="R87" t="s">
        <v>73</v>
      </c>
      <c r="U87" t="s">
        <v>226</v>
      </c>
      <c r="V87" t="s">
        <v>301</v>
      </c>
      <c r="W87" t="s">
        <v>237</v>
      </c>
      <c r="X87" t="s">
        <v>229</v>
      </c>
      <c r="Y87" t="s">
        <v>71</v>
      </c>
      <c r="AD87" t="s">
        <v>73</v>
      </c>
      <c r="AE87">
        <v>0.87</v>
      </c>
      <c r="AF87">
        <v>42533129</v>
      </c>
      <c r="AG87" s="73">
        <v>45375.923622685186</v>
      </c>
      <c r="AH87" t="s">
        <v>226</v>
      </c>
      <c r="AI87" t="s">
        <v>301</v>
      </c>
      <c r="AJ87" t="s">
        <v>237</v>
      </c>
      <c r="AK87" t="s">
        <v>229</v>
      </c>
      <c r="AL87" t="s">
        <v>71</v>
      </c>
      <c r="AP87" t="s">
        <v>230</v>
      </c>
      <c r="AQ87" t="s">
        <v>231</v>
      </c>
      <c r="AT87" t="s">
        <v>232</v>
      </c>
      <c r="AU87">
        <v>-99</v>
      </c>
      <c r="AV87" t="s">
        <v>73</v>
      </c>
      <c r="AW87">
        <v>0.87</v>
      </c>
      <c r="AX87">
        <v>42533129</v>
      </c>
      <c r="AY87" s="73">
        <v>45375.923622685186</v>
      </c>
      <c r="AZ87" t="s">
        <v>226</v>
      </c>
      <c r="BA87" t="s">
        <v>301</v>
      </c>
      <c r="BB87" t="s">
        <v>237</v>
      </c>
      <c r="BC87" t="s">
        <v>229</v>
      </c>
      <c r="BD87" t="s">
        <v>71</v>
      </c>
      <c r="BI87" t="s">
        <v>233</v>
      </c>
      <c r="BJ87" t="s">
        <v>0</v>
      </c>
      <c r="BK87">
        <v>42533125</v>
      </c>
      <c r="BN87" t="s">
        <v>73</v>
      </c>
      <c r="BO87">
        <v>42533127</v>
      </c>
      <c r="BR87">
        <v>0.87</v>
      </c>
      <c r="BS87">
        <v>42533129</v>
      </c>
      <c r="BT87" s="73">
        <v>45375.923622685186</v>
      </c>
      <c r="BU87" t="s">
        <v>226</v>
      </c>
      <c r="BV87" t="s">
        <v>301</v>
      </c>
      <c r="BW87" t="s">
        <v>237</v>
      </c>
      <c r="CH87" t="s">
        <v>229</v>
      </c>
      <c r="CI87" t="s">
        <v>71</v>
      </c>
      <c r="CJ87" t="s">
        <v>226</v>
      </c>
      <c r="CK87" t="s">
        <v>301</v>
      </c>
      <c r="CL87" t="s">
        <v>237</v>
      </c>
      <c r="CM87" t="s">
        <v>236</v>
      </c>
      <c r="CN87" t="s">
        <v>73</v>
      </c>
      <c r="CO87">
        <v>0.87</v>
      </c>
      <c r="CP87">
        <v>42533129</v>
      </c>
      <c r="CQ87" s="73">
        <v>45375.923622685186</v>
      </c>
      <c r="CR87" t="s">
        <v>229</v>
      </c>
      <c r="CS87" t="s">
        <v>71</v>
      </c>
      <c r="CU87" t="s">
        <v>225</v>
      </c>
    </row>
    <row r="88" spans="1:99">
      <c r="A88" t="s">
        <v>133</v>
      </c>
      <c r="B88" t="s">
        <v>90</v>
      </c>
      <c r="J88" t="s">
        <v>225</v>
      </c>
      <c r="K88" t="s">
        <v>225</v>
      </c>
      <c r="M88" s="73">
        <v>45375.923622685186</v>
      </c>
      <c r="N88">
        <v>42533122</v>
      </c>
      <c r="O88">
        <v>-587.79999999999995</v>
      </c>
      <c r="P88" t="s">
        <v>73</v>
      </c>
      <c r="Q88">
        <v>-587.79999999999995</v>
      </c>
      <c r="R88" t="s">
        <v>73</v>
      </c>
      <c r="U88" t="s">
        <v>226</v>
      </c>
      <c r="V88" t="s">
        <v>301</v>
      </c>
      <c r="W88" t="s">
        <v>228</v>
      </c>
      <c r="X88" t="s">
        <v>229</v>
      </c>
      <c r="Y88" t="s">
        <v>133</v>
      </c>
      <c r="AD88" t="s">
        <v>73</v>
      </c>
      <c r="AE88">
        <v>-587.79999999999995</v>
      </c>
      <c r="AF88">
        <v>42533122</v>
      </c>
      <c r="AG88" s="73">
        <v>45375.923622685186</v>
      </c>
      <c r="AH88" t="s">
        <v>226</v>
      </c>
      <c r="AI88" t="s">
        <v>301</v>
      </c>
      <c r="AJ88" t="s">
        <v>228</v>
      </c>
      <c r="AK88" t="s">
        <v>229</v>
      </c>
      <c r="AL88" t="s">
        <v>133</v>
      </c>
      <c r="AP88" t="s">
        <v>230</v>
      </c>
      <c r="AQ88" t="s">
        <v>231</v>
      </c>
      <c r="AT88" t="s">
        <v>232</v>
      </c>
      <c r="AU88">
        <v>-99</v>
      </c>
      <c r="AV88" t="s">
        <v>73</v>
      </c>
      <c r="AW88">
        <v>-587.79999999999995</v>
      </c>
      <c r="AX88">
        <v>42533122</v>
      </c>
      <c r="AY88" s="73">
        <v>45375.923622685186</v>
      </c>
      <c r="AZ88" t="s">
        <v>226</v>
      </c>
      <c r="BA88" t="s">
        <v>301</v>
      </c>
      <c r="BB88" t="s">
        <v>228</v>
      </c>
      <c r="BC88" t="s">
        <v>229</v>
      </c>
      <c r="BD88" t="s">
        <v>133</v>
      </c>
      <c r="BI88" t="s">
        <v>233</v>
      </c>
      <c r="BJ88" t="s">
        <v>0</v>
      </c>
      <c r="BK88">
        <v>42533118</v>
      </c>
      <c r="BN88" t="s">
        <v>73</v>
      </c>
      <c r="BR88">
        <v>-587.79999999999995</v>
      </c>
      <c r="BS88">
        <v>42533122</v>
      </c>
      <c r="BT88" s="73">
        <v>45375.923622685186</v>
      </c>
      <c r="BU88" t="s">
        <v>226</v>
      </c>
      <c r="BV88" t="s">
        <v>301</v>
      </c>
      <c r="BW88" t="s">
        <v>228</v>
      </c>
      <c r="CH88" t="s">
        <v>229</v>
      </c>
      <c r="CI88" t="s">
        <v>133</v>
      </c>
      <c r="CJ88" t="s">
        <v>226</v>
      </c>
      <c r="CK88" t="s">
        <v>301</v>
      </c>
      <c r="CL88" t="s">
        <v>228</v>
      </c>
      <c r="CM88" t="s">
        <v>234</v>
      </c>
      <c r="CN88" t="s">
        <v>73</v>
      </c>
      <c r="CO88">
        <v>-587.79999999999995</v>
      </c>
      <c r="CP88">
        <v>42533122</v>
      </c>
      <c r="CQ88" s="73">
        <v>45375.923622685186</v>
      </c>
      <c r="CR88" t="s">
        <v>229</v>
      </c>
      <c r="CS88" t="s">
        <v>133</v>
      </c>
      <c r="CU88" t="s">
        <v>225</v>
      </c>
    </row>
    <row r="89" spans="1:99">
      <c r="A89" t="s">
        <v>127</v>
      </c>
      <c r="B89" t="s">
        <v>90</v>
      </c>
      <c r="J89" t="s">
        <v>225</v>
      </c>
      <c r="K89" t="s">
        <v>225</v>
      </c>
      <c r="M89" s="73">
        <v>45375.923622685186</v>
      </c>
      <c r="N89">
        <v>42533115</v>
      </c>
      <c r="O89">
        <v>-671.1</v>
      </c>
      <c r="P89" t="s">
        <v>73</v>
      </c>
      <c r="Q89">
        <v>-671.1</v>
      </c>
      <c r="R89" t="s">
        <v>73</v>
      </c>
      <c r="U89" t="s">
        <v>226</v>
      </c>
      <c r="V89" t="s">
        <v>301</v>
      </c>
      <c r="W89" t="s">
        <v>228</v>
      </c>
      <c r="X89" t="s">
        <v>229</v>
      </c>
      <c r="Y89" t="s">
        <v>127</v>
      </c>
      <c r="AD89" t="s">
        <v>73</v>
      </c>
      <c r="AE89">
        <v>-671.1</v>
      </c>
      <c r="AF89">
        <v>42533115</v>
      </c>
      <c r="AG89" s="73">
        <v>45375.923622685186</v>
      </c>
      <c r="AH89" t="s">
        <v>226</v>
      </c>
      <c r="AI89" t="s">
        <v>301</v>
      </c>
      <c r="AJ89" t="s">
        <v>228</v>
      </c>
      <c r="AK89" t="s">
        <v>229</v>
      </c>
      <c r="AL89" t="s">
        <v>127</v>
      </c>
      <c r="AP89" t="s">
        <v>230</v>
      </c>
      <c r="AQ89" t="s">
        <v>231</v>
      </c>
      <c r="AT89" t="s">
        <v>232</v>
      </c>
      <c r="AU89">
        <v>-99</v>
      </c>
      <c r="AV89" t="s">
        <v>73</v>
      </c>
      <c r="AW89">
        <v>-671.1</v>
      </c>
      <c r="AX89">
        <v>42533115</v>
      </c>
      <c r="AY89" s="73">
        <v>45375.923622685186</v>
      </c>
      <c r="AZ89" t="s">
        <v>226</v>
      </c>
      <c r="BA89" t="s">
        <v>301</v>
      </c>
      <c r="BB89" t="s">
        <v>228</v>
      </c>
      <c r="BC89" t="s">
        <v>229</v>
      </c>
      <c r="BD89" t="s">
        <v>127</v>
      </c>
      <c r="BI89" t="s">
        <v>233</v>
      </c>
      <c r="BJ89" t="s">
        <v>0</v>
      </c>
      <c r="BK89">
        <v>42533111</v>
      </c>
      <c r="BN89" t="s">
        <v>73</v>
      </c>
      <c r="BR89">
        <v>-671.1</v>
      </c>
      <c r="BS89">
        <v>42533115</v>
      </c>
      <c r="BT89" s="73">
        <v>45375.923622685186</v>
      </c>
      <c r="BU89" t="s">
        <v>226</v>
      </c>
      <c r="BV89" t="s">
        <v>301</v>
      </c>
      <c r="BW89" t="s">
        <v>228</v>
      </c>
      <c r="CH89" t="s">
        <v>229</v>
      </c>
      <c r="CI89" t="s">
        <v>127</v>
      </c>
      <c r="CJ89" t="s">
        <v>226</v>
      </c>
      <c r="CK89" t="s">
        <v>301</v>
      </c>
      <c r="CL89" t="s">
        <v>228</v>
      </c>
      <c r="CM89" t="s">
        <v>234</v>
      </c>
      <c r="CN89" t="s">
        <v>73</v>
      </c>
      <c r="CO89">
        <v>-671.1</v>
      </c>
      <c r="CP89">
        <v>42533115</v>
      </c>
      <c r="CQ89" s="73">
        <v>45375.923622685186</v>
      </c>
      <c r="CR89" t="s">
        <v>229</v>
      </c>
      <c r="CS89" t="s">
        <v>127</v>
      </c>
      <c r="CU89" t="s">
        <v>225</v>
      </c>
    </row>
    <row r="90" spans="1:99">
      <c r="A90" t="s">
        <v>87</v>
      </c>
      <c r="B90" t="s">
        <v>90</v>
      </c>
      <c r="J90" t="s">
        <v>225</v>
      </c>
      <c r="K90" t="s">
        <v>225</v>
      </c>
      <c r="M90" s="73">
        <v>45375.923622685186</v>
      </c>
      <c r="N90">
        <v>42533108</v>
      </c>
      <c r="O90">
        <v>-67.099999999999994</v>
      </c>
      <c r="P90" t="s">
        <v>73</v>
      </c>
      <c r="Q90">
        <v>-67.099999999999994</v>
      </c>
      <c r="R90" t="s">
        <v>73</v>
      </c>
      <c r="U90" t="s">
        <v>226</v>
      </c>
      <c r="V90" t="s">
        <v>301</v>
      </c>
      <c r="W90" t="s">
        <v>228</v>
      </c>
      <c r="X90" t="s">
        <v>229</v>
      </c>
      <c r="Y90" t="s">
        <v>87</v>
      </c>
      <c r="AD90" t="s">
        <v>73</v>
      </c>
      <c r="AE90">
        <v>-67.099999999999994</v>
      </c>
      <c r="AF90">
        <v>42533108</v>
      </c>
      <c r="AG90" s="73">
        <v>45375.923622685186</v>
      </c>
      <c r="AH90" t="s">
        <v>226</v>
      </c>
      <c r="AI90" t="s">
        <v>301</v>
      </c>
      <c r="AJ90" t="s">
        <v>228</v>
      </c>
      <c r="AK90" t="s">
        <v>229</v>
      </c>
      <c r="AL90" t="s">
        <v>87</v>
      </c>
      <c r="AP90" t="s">
        <v>230</v>
      </c>
      <c r="AQ90" t="s">
        <v>231</v>
      </c>
      <c r="AT90" t="s">
        <v>232</v>
      </c>
      <c r="AU90">
        <v>-99</v>
      </c>
      <c r="AV90" t="s">
        <v>73</v>
      </c>
      <c r="AW90">
        <v>-67.099999999999994</v>
      </c>
      <c r="AX90">
        <v>42533108</v>
      </c>
      <c r="AY90" s="73">
        <v>45375.923622685186</v>
      </c>
      <c r="AZ90" t="s">
        <v>226</v>
      </c>
      <c r="BA90" t="s">
        <v>301</v>
      </c>
      <c r="BB90" t="s">
        <v>228</v>
      </c>
      <c r="BC90" t="s">
        <v>229</v>
      </c>
      <c r="BD90" t="s">
        <v>87</v>
      </c>
      <c r="BI90" t="s">
        <v>233</v>
      </c>
      <c r="BJ90" t="s">
        <v>0</v>
      </c>
      <c r="BK90">
        <v>42533104</v>
      </c>
      <c r="BN90" t="s">
        <v>73</v>
      </c>
      <c r="BR90">
        <v>-67.099999999999994</v>
      </c>
      <c r="BS90">
        <v>42533108</v>
      </c>
      <c r="BT90" s="73">
        <v>45375.923622685186</v>
      </c>
      <c r="BU90" t="s">
        <v>226</v>
      </c>
      <c r="BV90" t="s">
        <v>301</v>
      </c>
      <c r="BW90" t="s">
        <v>228</v>
      </c>
      <c r="CH90" t="s">
        <v>229</v>
      </c>
      <c r="CI90" t="s">
        <v>87</v>
      </c>
      <c r="CJ90" t="s">
        <v>226</v>
      </c>
      <c r="CK90" t="s">
        <v>301</v>
      </c>
      <c r="CL90" t="s">
        <v>228</v>
      </c>
      <c r="CM90" t="s">
        <v>234</v>
      </c>
      <c r="CN90" t="s">
        <v>73</v>
      </c>
      <c r="CO90">
        <v>-67.099999999999994</v>
      </c>
      <c r="CP90">
        <v>42533108</v>
      </c>
      <c r="CQ90" s="73">
        <v>45375.923622685186</v>
      </c>
      <c r="CR90" t="s">
        <v>229</v>
      </c>
      <c r="CS90" t="s">
        <v>87</v>
      </c>
      <c r="CU90" t="s">
        <v>225</v>
      </c>
    </row>
    <row r="91" spans="1:99">
      <c r="A91" t="s">
        <v>99</v>
      </c>
      <c r="B91" t="s">
        <v>98</v>
      </c>
      <c r="J91" t="s">
        <v>225</v>
      </c>
      <c r="K91" t="s">
        <v>225</v>
      </c>
      <c r="M91" s="73">
        <v>45375.923611111109</v>
      </c>
      <c r="N91">
        <v>42526383</v>
      </c>
      <c r="O91">
        <v>1447.14</v>
      </c>
      <c r="P91" t="s">
        <v>73</v>
      </c>
      <c r="Q91">
        <v>1447.14</v>
      </c>
      <c r="R91" t="s">
        <v>73</v>
      </c>
      <c r="U91" t="s">
        <v>226</v>
      </c>
      <c r="V91" t="s">
        <v>302</v>
      </c>
      <c r="W91" t="s">
        <v>235</v>
      </c>
      <c r="X91" t="s">
        <v>229</v>
      </c>
      <c r="Y91" t="s">
        <v>99</v>
      </c>
      <c r="AD91" t="s">
        <v>73</v>
      </c>
      <c r="AE91">
        <v>1447.14</v>
      </c>
      <c r="AF91">
        <v>42526383</v>
      </c>
      <c r="AG91" s="73">
        <v>45375.923611111109</v>
      </c>
      <c r="AH91" t="s">
        <v>226</v>
      </c>
      <c r="AI91" t="s">
        <v>302</v>
      </c>
      <c r="AJ91" t="s">
        <v>235</v>
      </c>
      <c r="AK91" t="s">
        <v>229</v>
      </c>
      <c r="AL91" t="s">
        <v>99</v>
      </c>
      <c r="AP91" t="s">
        <v>230</v>
      </c>
      <c r="AQ91" t="s">
        <v>231</v>
      </c>
      <c r="AT91" t="s">
        <v>232</v>
      </c>
      <c r="AU91">
        <v>-99</v>
      </c>
      <c r="AV91" t="s">
        <v>73</v>
      </c>
      <c r="AW91">
        <v>1447.14</v>
      </c>
      <c r="AX91">
        <v>42526383</v>
      </c>
      <c r="AY91" s="73">
        <v>45375.923611111109</v>
      </c>
      <c r="AZ91" t="s">
        <v>226</v>
      </c>
      <c r="BA91" t="s">
        <v>302</v>
      </c>
      <c r="BB91" t="s">
        <v>235</v>
      </c>
      <c r="BC91" t="s">
        <v>229</v>
      </c>
      <c r="BD91" t="s">
        <v>99</v>
      </c>
      <c r="BI91" t="s">
        <v>233</v>
      </c>
      <c r="BJ91" t="s">
        <v>0</v>
      </c>
      <c r="BK91">
        <v>42526379</v>
      </c>
      <c r="BN91" t="s">
        <v>73</v>
      </c>
      <c r="BO91">
        <v>42526381</v>
      </c>
      <c r="BR91">
        <v>1447.14</v>
      </c>
      <c r="BS91">
        <v>42526383</v>
      </c>
      <c r="BT91" s="73">
        <v>45375.923611111109</v>
      </c>
      <c r="BU91" t="s">
        <v>226</v>
      </c>
      <c r="BV91" t="s">
        <v>302</v>
      </c>
      <c r="BW91" t="s">
        <v>235</v>
      </c>
      <c r="CH91" t="s">
        <v>229</v>
      </c>
      <c r="CI91" t="s">
        <v>99</v>
      </c>
      <c r="CJ91" t="s">
        <v>226</v>
      </c>
      <c r="CK91" t="s">
        <v>302</v>
      </c>
      <c r="CL91" t="s">
        <v>235</v>
      </c>
      <c r="CM91" t="s">
        <v>236</v>
      </c>
      <c r="CN91" t="s">
        <v>73</v>
      </c>
      <c r="CO91">
        <v>1447.14</v>
      </c>
      <c r="CP91">
        <v>42526383</v>
      </c>
      <c r="CQ91" s="73">
        <v>45375.923611111109</v>
      </c>
      <c r="CR91" t="s">
        <v>229</v>
      </c>
      <c r="CS91" t="s">
        <v>99</v>
      </c>
      <c r="CU91" t="s">
        <v>225</v>
      </c>
    </row>
    <row r="92" spans="1:99">
      <c r="A92" t="s">
        <v>71</v>
      </c>
      <c r="B92" t="s">
        <v>77</v>
      </c>
      <c r="J92" t="s">
        <v>225</v>
      </c>
      <c r="K92" t="s">
        <v>225</v>
      </c>
      <c r="M92" s="73">
        <v>45375.923611111109</v>
      </c>
      <c r="N92">
        <v>42526376</v>
      </c>
      <c r="O92">
        <v>0.87</v>
      </c>
      <c r="P92" t="s">
        <v>73</v>
      </c>
      <c r="Q92">
        <v>0.87</v>
      </c>
      <c r="R92" t="s">
        <v>73</v>
      </c>
      <c r="U92" t="s">
        <v>226</v>
      </c>
      <c r="V92" t="s">
        <v>302</v>
      </c>
      <c r="W92" t="s">
        <v>237</v>
      </c>
      <c r="X92" t="s">
        <v>229</v>
      </c>
      <c r="Y92" t="s">
        <v>71</v>
      </c>
      <c r="AD92" t="s">
        <v>73</v>
      </c>
      <c r="AE92">
        <v>0.87</v>
      </c>
      <c r="AF92">
        <v>42526376</v>
      </c>
      <c r="AG92" s="73">
        <v>45375.923611111109</v>
      </c>
      <c r="AH92" t="s">
        <v>226</v>
      </c>
      <c r="AI92" t="s">
        <v>302</v>
      </c>
      <c r="AJ92" t="s">
        <v>237</v>
      </c>
      <c r="AK92" t="s">
        <v>229</v>
      </c>
      <c r="AL92" t="s">
        <v>71</v>
      </c>
      <c r="AP92" t="s">
        <v>230</v>
      </c>
      <c r="AQ92" t="s">
        <v>231</v>
      </c>
      <c r="AT92" t="s">
        <v>232</v>
      </c>
      <c r="AU92">
        <v>-99</v>
      </c>
      <c r="AV92" t="s">
        <v>73</v>
      </c>
      <c r="AW92">
        <v>0.87</v>
      </c>
      <c r="AX92">
        <v>42526376</v>
      </c>
      <c r="AY92" s="73">
        <v>45375.923611111109</v>
      </c>
      <c r="AZ92" t="s">
        <v>226</v>
      </c>
      <c r="BA92" t="s">
        <v>302</v>
      </c>
      <c r="BB92" t="s">
        <v>237</v>
      </c>
      <c r="BC92" t="s">
        <v>229</v>
      </c>
      <c r="BD92" t="s">
        <v>71</v>
      </c>
      <c r="BI92" t="s">
        <v>233</v>
      </c>
      <c r="BJ92" t="s">
        <v>0</v>
      </c>
      <c r="BK92">
        <v>42526372</v>
      </c>
      <c r="BN92" t="s">
        <v>73</v>
      </c>
      <c r="BO92">
        <v>42526374</v>
      </c>
      <c r="BR92">
        <v>0.87</v>
      </c>
      <c r="BS92">
        <v>42526376</v>
      </c>
      <c r="BT92" s="73">
        <v>45375.923611111109</v>
      </c>
      <c r="BU92" t="s">
        <v>226</v>
      </c>
      <c r="BV92" t="s">
        <v>302</v>
      </c>
      <c r="BW92" t="s">
        <v>237</v>
      </c>
      <c r="CH92" t="s">
        <v>229</v>
      </c>
      <c r="CI92" t="s">
        <v>71</v>
      </c>
      <c r="CJ92" t="s">
        <v>226</v>
      </c>
      <c r="CK92" t="s">
        <v>302</v>
      </c>
      <c r="CL92" t="s">
        <v>237</v>
      </c>
      <c r="CM92" t="s">
        <v>236</v>
      </c>
      <c r="CN92" t="s">
        <v>73</v>
      </c>
      <c r="CO92">
        <v>0.87</v>
      </c>
      <c r="CP92">
        <v>42526376</v>
      </c>
      <c r="CQ92" s="73">
        <v>45375.923611111109</v>
      </c>
      <c r="CR92" t="s">
        <v>229</v>
      </c>
      <c r="CS92" t="s">
        <v>71</v>
      </c>
      <c r="CU92" t="s">
        <v>225</v>
      </c>
    </row>
    <row r="93" spans="1:99">
      <c r="A93" t="s">
        <v>131</v>
      </c>
      <c r="B93" t="s">
        <v>90</v>
      </c>
      <c r="J93" t="s">
        <v>225</v>
      </c>
      <c r="K93" t="s">
        <v>225</v>
      </c>
      <c r="M93" s="73">
        <v>45375.923611111109</v>
      </c>
      <c r="N93">
        <v>42526369</v>
      </c>
      <c r="O93">
        <v>-164.5</v>
      </c>
      <c r="P93" t="s">
        <v>73</v>
      </c>
      <c r="Q93">
        <v>-164.5</v>
      </c>
      <c r="R93" t="s">
        <v>73</v>
      </c>
      <c r="U93" t="s">
        <v>226</v>
      </c>
      <c r="V93" t="s">
        <v>302</v>
      </c>
      <c r="W93" t="s">
        <v>228</v>
      </c>
      <c r="X93" t="s">
        <v>229</v>
      </c>
      <c r="Y93" t="s">
        <v>131</v>
      </c>
      <c r="AD93" t="s">
        <v>73</v>
      </c>
      <c r="AE93">
        <v>-164.5</v>
      </c>
      <c r="AF93">
        <v>42526369</v>
      </c>
      <c r="AG93" s="73">
        <v>45375.923611111109</v>
      </c>
      <c r="AH93" t="s">
        <v>226</v>
      </c>
      <c r="AI93" t="s">
        <v>302</v>
      </c>
      <c r="AJ93" t="s">
        <v>228</v>
      </c>
      <c r="AK93" t="s">
        <v>229</v>
      </c>
      <c r="AL93" t="s">
        <v>131</v>
      </c>
      <c r="AP93" t="s">
        <v>230</v>
      </c>
      <c r="AQ93" t="s">
        <v>231</v>
      </c>
      <c r="AT93" t="s">
        <v>232</v>
      </c>
      <c r="AU93">
        <v>-99</v>
      </c>
      <c r="AV93" t="s">
        <v>73</v>
      </c>
      <c r="AW93">
        <v>-164.5</v>
      </c>
      <c r="AX93">
        <v>42526369</v>
      </c>
      <c r="AY93" s="73">
        <v>45375.923611111109</v>
      </c>
      <c r="AZ93" t="s">
        <v>226</v>
      </c>
      <c r="BA93" t="s">
        <v>302</v>
      </c>
      <c r="BB93" t="s">
        <v>228</v>
      </c>
      <c r="BC93" t="s">
        <v>229</v>
      </c>
      <c r="BD93" t="s">
        <v>131</v>
      </c>
      <c r="BI93" t="s">
        <v>233</v>
      </c>
      <c r="BJ93" t="s">
        <v>0</v>
      </c>
      <c r="BK93">
        <v>42526365</v>
      </c>
      <c r="BN93" t="s">
        <v>73</v>
      </c>
      <c r="BR93">
        <v>-164.5</v>
      </c>
      <c r="BS93">
        <v>42526369</v>
      </c>
      <c r="BT93" s="73">
        <v>45375.923611111109</v>
      </c>
      <c r="BU93" t="s">
        <v>226</v>
      </c>
      <c r="BV93" t="s">
        <v>302</v>
      </c>
      <c r="BW93" t="s">
        <v>228</v>
      </c>
      <c r="CH93" t="s">
        <v>229</v>
      </c>
      <c r="CI93" t="s">
        <v>131</v>
      </c>
      <c r="CJ93" t="s">
        <v>226</v>
      </c>
      <c r="CK93" t="s">
        <v>302</v>
      </c>
      <c r="CL93" t="s">
        <v>228</v>
      </c>
      <c r="CM93" t="s">
        <v>234</v>
      </c>
      <c r="CN93" t="s">
        <v>73</v>
      </c>
      <c r="CO93">
        <v>-164.5</v>
      </c>
      <c r="CP93">
        <v>42526369</v>
      </c>
      <c r="CQ93" s="73">
        <v>45375.923611111109</v>
      </c>
      <c r="CR93" t="s">
        <v>229</v>
      </c>
      <c r="CS93" t="s">
        <v>131</v>
      </c>
      <c r="CU93" t="s">
        <v>225</v>
      </c>
    </row>
    <row r="94" spans="1:99">
      <c r="A94" t="s">
        <v>133</v>
      </c>
      <c r="B94" t="s">
        <v>90</v>
      </c>
      <c r="J94" t="s">
        <v>225</v>
      </c>
      <c r="K94" t="s">
        <v>225</v>
      </c>
      <c r="M94" s="73">
        <v>45375.923611111109</v>
      </c>
      <c r="N94">
        <v>42526362</v>
      </c>
      <c r="O94">
        <v>-590.6</v>
      </c>
      <c r="P94" t="s">
        <v>73</v>
      </c>
      <c r="Q94">
        <v>-590.6</v>
      </c>
      <c r="R94" t="s">
        <v>73</v>
      </c>
      <c r="U94" t="s">
        <v>226</v>
      </c>
      <c r="V94" t="s">
        <v>302</v>
      </c>
      <c r="W94" t="s">
        <v>228</v>
      </c>
      <c r="X94" t="s">
        <v>229</v>
      </c>
      <c r="Y94" t="s">
        <v>133</v>
      </c>
      <c r="AD94" t="s">
        <v>73</v>
      </c>
      <c r="AE94">
        <v>-590.6</v>
      </c>
      <c r="AF94">
        <v>42526362</v>
      </c>
      <c r="AG94" s="73">
        <v>45375.923611111109</v>
      </c>
      <c r="AH94" t="s">
        <v>226</v>
      </c>
      <c r="AI94" t="s">
        <v>302</v>
      </c>
      <c r="AJ94" t="s">
        <v>228</v>
      </c>
      <c r="AK94" t="s">
        <v>229</v>
      </c>
      <c r="AL94" t="s">
        <v>133</v>
      </c>
      <c r="AP94" t="s">
        <v>230</v>
      </c>
      <c r="AQ94" t="s">
        <v>231</v>
      </c>
      <c r="AT94" t="s">
        <v>232</v>
      </c>
      <c r="AU94">
        <v>-99</v>
      </c>
      <c r="AV94" t="s">
        <v>73</v>
      </c>
      <c r="AW94">
        <v>-590.6</v>
      </c>
      <c r="AX94">
        <v>42526362</v>
      </c>
      <c r="AY94" s="73">
        <v>45375.923611111109</v>
      </c>
      <c r="AZ94" t="s">
        <v>226</v>
      </c>
      <c r="BA94" t="s">
        <v>302</v>
      </c>
      <c r="BB94" t="s">
        <v>228</v>
      </c>
      <c r="BC94" t="s">
        <v>229</v>
      </c>
      <c r="BD94" t="s">
        <v>133</v>
      </c>
      <c r="BI94" t="s">
        <v>233</v>
      </c>
      <c r="BJ94" t="s">
        <v>0</v>
      </c>
      <c r="BK94">
        <v>42526358</v>
      </c>
      <c r="BN94" t="s">
        <v>73</v>
      </c>
      <c r="BR94">
        <v>-590.6</v>
      </c>
      <c r="BS94">
        <v>42526362</v>
      </c>
      <c r="BT94" s="73">
        <v>45375.923611111109</v>
      </c>
      <c r="BU94" t="s">
        <v>226</v>
      </c>
      <c r="BV94" t="s">
        <v>302</v>
      </c>
      <c r="BW94" t="s">
        <v>228</v>
      </c>
      <c r="CH94" t="s">
        <v>229</v>
      </c>
      <c r="CI94" t="s">
        <v>133</v>
      </c>
      <c r="CJ94" t="s">
        <v>226</v>
      </c>
      <c r="CK94" t="s">
        <v>302</v>
      </c>
      <c r="CL94" t="s">
        <v>228</v>
      </c>
      <c r="CM94" t="s">
        <v>234</v>
      </c>
      <c r="CN94" t="s">
        <v>73</v>
      </c>
      <c r="CO94">
        <v>-590.6</v>
      </c>
      <c r="CP94">
        <v>42526362</v>
      </c>
      <c r="CQ94" s="73">
        <v>45375.923611111109</v>
      </c>
      <c r="CR94" t="s">
        <v>229</v>
      </c>
      <c r="CS94" t="s">
        <v>133</v>
      </c>
      <c r="CU94" t="s">
        <v>225</v>
      </c>
    </row>
    <row r="95" spans="1:99">
      <c r="A95" t="s">
        <v>127</v>
      </c>
      <c r="B95" t="s">
        <v>90</v>
      </c>
      <c r="J95" t="s">
        <v>225</v>
      </c>
      <c r="K95" t="s">
        <v>225</v>
      </c>
      <c r="M95" s="73">
        <v>45375.923611111109</v>
      </c>
      <c r="N95">
        <v>42526355</v>
      </c>
      <c r="O95">
        <v>-673</v>
      </c>
      <c r="P95" t="s">
        <v>73</v>
      </c>
      <c r="Q95">
        <v>-673</v>
      </c>
      <c r="R95" t="s">
        <v>73</v>
      </c>
      <c r="U95" t="s">
        <v>226</v>
      </c>
      <c r="V95" t="s">
        <v>302</v>
      </c>
      <c r="W95" t="s">
        <v>228</v>
      </c>
      <c r="X95" t="s">
        <v>229</v>
      </c>
      <c r="Y95" t="s">
        <v>127</v>
      </c>
      <c r="AD95" t="s">
        <v>73</v>
      </c>
      <c r="AE95">
        <v>-673</v>
      </c>
      <c r="AF95">
        <v>42526355</v>
      </c>
      <c r="AG95" s="73">
        <v>45375.923611111109</v>
      </c>
      <c r="AH95" t="s">
        <v>226</v>
      </c>
      <c r="AI95" t="s">
        <v>302</v>
      </c>
      <c r="AJ95" t="s">
        <v>228</v>
      </c>
      <c r="AK95" t="s">
        <v>229</v>
      </c>
      <c r="AL95" t="s">
        <v>127</v>
      </c>
      <c r="AP95" t="s">
        <v>230</v>
      </c>
      <c r="AQ95" t="s">
        <v>231</v>
      </c>
      <c r="AT95" t="s">
        <v>232</v>
      </c>
      <c r="AU95">
        <v>-99</v>
      </c>
      <c r="AV95" t="s">
        <v>73</v>
      </c>
      <c r="AW95">
        <v>-673</v>
      </c>
      <c r="AX95">
        <v>42526355</v>
      </c>
      <c r="AY95" s="73">
        <v>45375.923611111109</v>
      </c>
      <c r="AZ95" t="s">
        <v>226</v>
      </c>
      <c r="BA95" t="s">
        <v>302</v>
      </c>
      <c r="BB95" t="s">
        <v>228</v>
      </c>
      <c r="BC95" t="s">
        <v>229</v>
      </c>
      <c r="BD95" t="s">
        <v>127</v>
      </c>
      <c r="BI95" t="s">
        <v>233</v>
      </c>
      <c r="BJ95" t="s">
        <v>0</v>
      </c>
      <c r="BK95">
        <v>42526351</v>
      </c>
      <c r="BN95" t="s">
        <v>73</v>
      </c>
      <c r="BR95">
        <v>-673</v>
      </c>
      <c r="BS95">
        <v>42526355</v>
      </c>
      <c r="BT95" s="73">
        <v>45375.923611111109</v>
      </c>
      <c r="BU95" t="s">
        <v>226</v>
      </c>
      <c r="BV95" t="s">
        <v>302</v>
      </c>
      <c r="BW95" t="s">
        <v>228</v>
      </c>
      <c r="CH95" t="s">
        <v>229</v>
      </c>
      <c r="CI95" t="s">
        <v>127</v>
      </c>
      <c r="CJ95" t="s">
        <v>226</v>
      </c>
      <c r="CK95" t="s">
        <v>302</v>
      </c>
      <c r="CL95" t="s">
        <v>228</v>
      </c>
      <c r="CM95" t="s">
        <v>234</v>
      </c>
      <c r="CN95" t="s">
        <v>73</v>
      </c>
      <c r="CO95">
        <v>-673</v>
      </c>
      <c r="CP95">
        <v>42526355</v>
      </c>
      <c r="CQ95" s="73">
        <v>45375.923611111109</v>
      </c>
      <c r="CR95" t="s">
        <v>229</v>
      </c>
      <c r="CS95" t="s">
        <v>127</v>
      </c>
      <c r="CU95" t="s">
        <v>225</v>
      </c>
    </row>
    <row r="96" spans="1:99">
      <c r="A96" t="s">
        <v>87</v>
      </c>
      <c r="B96" t="s">
        <v>90</v>
      </c>
      <c r="J96" t="s">
        <v>225</v>
      </c>
      <c r="K96" t="s">
        <v>225</v>
      </c>
      <c r="M96" s="73">
        <v>45375.923611111109</v>
      </c>
      <c r="N96">
        <v>42526348</v>
      </c>
      <c r="O96">
        <v>-67.3</v>
      </c>
      <c r="P96" t="s">
        <v>73</v>
      </c>
      <c r="Q96">
        <v>-67.3</v>
      </c>
      <c r="R96" t="s">
        <v>73</v>
      </c>
      <c r="U96" t="s">
        <v>226</v>
      </c>
      <c r="V96" t="s">
        <v>302</v>
      </c>
      <c r="W96" t="s">
        <v>228</v>
      </c>
      <c r="X96" t="s">
        <v>229</v>
      </c>
      <c r="Y96" t="s">
        <v>87</v>
      </c>
      <c r="AD96" t="s">
        <v>73</v>
      </c>
      <c r="AE96">
        <v>-67.3</v>
      </c>
      <c r="AF96">
        <v>42526348</v>
      </c>
      <c r="AG96" s="73">
        <v>45375.923611111109</v>
      </c>
      <c r="AH96" t="s">
        <v>226</v>
      </c>
      <c r="AI96" t="s">
        <v>302</v>
      </c>
      <c r="AJ96" t="s">
        <v>228</v>
      </c>
      <c r="AK96" t="s">
        <v>229</v>
      </c>
      <c r="AL96" t="s">
        <v>87</v>
      </c>
      <c r="AP96" t="s">
        <v>230</v>
      </c>
      <c r="AQ96" t="s">
        <v>231</v>
      </c>
      <c r="AT96" t="s">
        <v>232</v>
      </c>
      <c r="AU96">
        <v>-99</v>
      </c>
      <c r="AV96" t="s">
        <v>73</v>
      </c>
      <c r="AW96">
        <v>-67.3</v>
      </c>
      <c r="AX96">
        <v>42526348</v>
      </c>
      <c r="AY96" s="73">
        <v>45375.923611111109</v>
      </c>
      <c r="AZ96" t="s">
        <v>226</v>
      </c>
      <c r="BA96" t="s">
        <v>302</v>
      </c>
      <c r="BB96" t="s">
        <v>228</v>
      </c>
      <c r="BC96" t="s">
        <v>229</v>
      </c>
      <c r="BD96" t="s">
        <v>87</v>
      </c>
      <c r="BI96" t="s">
        <v>233</v>
      </c>
      <c r="BJ96" t="s">
        <v>0</v>
      </c>
      <c r="BK96">
        <v>42526344</v>
      </c>
      <c r="BN96" t="s">
        <v>73</v>
      </c>
      <c r="BR96">
        <v>-67.3</v>
      </c>
      <c r="BS96">
        <v>42526348</v>
      </c>
      <c r="BT96" s="73">
        <v>45375.923611111109</v>
      </c>
      <c r="BU96" t="s">
        <v>226</v>
      </c>
      <c r="BV96" t="s">
        <v>302</v>
      </c>
      <c r="BW96" t="s">
        <v>228</v>
      </c>
      <c r="CH96" t="s">
        <v>229</v>
      </c>
      <c r="CI96" t="s">
        <v>87</v>
      </c>
      <c r="CJ96" t="s">
        <v>226</v>
      </c>
      <c r="CK96" t="s">
        <v>302</v>
      </c>
      <c r="CL96" t="s">
        <v>228</v>
      </c>
      <c r="CM96" t="s">
        <v>234</v>
      </c>
      <c r="CN96" t="s">
        <v>73</v>
      </c>
      <c r="CO96">
        <v>-67.3</v>
      </c>
      <c r="CP96">
        <v>42526348</v>
      </c>
      <c r="CQ96" s="73">
        <v>45375.923611111109</v>
      </c>
      <c r="CR96" t="s">
        <v>229</v>
      </c>
      <c r="CS96" t="s">
        <v>87</v>
      </c>
      <c r="CU96" t="s">
        <v>225</v>
      </c>
    </row>
    <row r="97" spans="1:99">
      <c r="A97" t="s">
        <v>50</v>
      </c>
      <c r="B97" t="s">
        <v>92</v>
      </c>
      <c r="J97" t="s">
        <v>225</v>
      </c>
      <c r="K97" t="s">
        <v>225</v>
      </c>
      <c r="M97" s="73">
        <v>45375.918055555558</v>
      </c>
      <c r="N97">
        <v>42531709</v>
      </c>
      <c r="O97">
        <v>-288</v>
      </c>
      <c r="P97" t="s">
        <v>45</v>
      </c>
      <c r="Q97">
        <v>-288</v>
      </c>
      <c r="R97" t="s">
        <v>45</v>
      </c>
      <c r="U97" t="s">
        <v>226</v>
      </c>
      <c r="V97" t="s">
        <v>303</v>
      </c>
      <c r="W97" t="s">
        <v>228</v>
      </c>
      <c r="X97" t="s">
        <v>229</v>
      </c>
      <c r="Y97" t="s">
        <v>50</v>
      </c>
      <c r="AD97" t="s">
        <v>45</v>
      </c>
      <c r="AE97">
        <v>-288</v>
      </c>
      <c r="AF97">
        <v>42531709</v>
      </c>
      <c r="AG97" s="73">
        <v>45375.918055555558</v>
      </c>
      <c r="AH97" t="s">
        <v>226</v>
      </c>
      <c r="AI97" t="s">
        <v>303</v>
      </c>
      <c r="AJ97" t="s">
        <v>228</v>
      </c>
      <c r="AK97" t="s">
        <v>229</v>
      </c>
      <c r="AL97" t="s">
        <v>50</v>
      </c>
      <c r="AP97" t="s">
        <v>230</v>
      </c>
      <c r="AQ97" t="s">
        <v>231</v>
      </c>
      <c r="AT97" t="s">
        <v>232</v>
      </c>
      <c r="AU97">
        <v>-99</v>
      </c>
      <c r="AV97" t="s">
        <v>45</v>
      </c>
      <c r="AW97">
        <v>-288</v>
      </c>
      <c r="AX97">
        <v>42531709</v>
      </c>
      <c r="AY97" s="73">
        <v>45375.918055555558</v>
      </c>
      <c r="AZ97" t="s">
        <v>226</v>
      </c>
      <c r="BA97" t="s">
        <v>303</v>
      </c>
      <c r="BB97" t="s">
        <v>228</v>
      </c>
      <c r="BC97" t="s">
        <v>229</v>
      </c>
      <c r="BD97" t="s">
        <v>50</v>
      </c>
      <c r="BI97" t="s">
        <v>233</v>
      </c>
      <c r="BJ97" t="s">
        <v>0</v>
      </c>
      <c r="BK97">
        <v>42531687</v>
      </c>
      <c r="BN97" t="s">
        <v>45</v>
      </c>
      <c r="BR97">
        <v>-288</v>
      </c>
      <c r="BS97">
        <v>42531709</v>
      </c>
      <c r="BT97" s="73">
        <v>45375.918055555558</v>
      </c>
      <c r="BU97" t="s">
        <v>226</v>
      </c>
      <c r="BV97" t="s">
        <v>303</v>
      </c>
      <c r="BW97" t="s">
        <v>228</v>
      </c>
      <c r="CH97" t="s">
        <v>229</v>
      </c>
      <c r="CI97" t="s">
        <v>50</v>
      </c>
      <c r="CJ97" t="s">
        <v>226</v>
      </c>
      <c r="CK97" t="s">
        <v>303</v>
      </c>
      <c r="CL97" t="s">
        <v>228</v>
      </c>
      <c r="CM97" t="s">
        <v>234</v>
      </c>
      <c r="CN97" t="s">
        <v>45</v>
      </c>
      <c r="CO97">
        <v>-288</v>
      </c>
      <c r="CP97">
        <v>42531709</v>
      </c>
      <c r="CQ97" s="73">
        <v>45375.918055555558</v>
      </c>
      <c r="CR97" t="s">
        <v>229</v>
      </c>
      <c r="CS97" t="s">
        <v>50</v>
      </c>
      <c r="CU97" t="s">
        <v>225</v>
      </c>
    </row>
    <row r="98" spans="1:99">
      <c r="A98" t="s">
        <v>101</v>
      </c>
      <c r="B98" t="s">
        <v>98</v>
      </c>
      <c r="J98" t="s">
        <v>225</v>
      </c>
      <c r="K98" t="s">
        <v>225</v>
      </c>
      <c r="M98" s="73">
        <v>45375.918055555558</v>
      </c>
      <c r="N98">
        <v>42531708</v>
      </c>
      <c r="O98">
        <v>-14.4</v>
      </c>
      <c r="P98" t="s">
        <v>73</v>
      </c>
      <c r="Q98">
        <v>-14.4</v>
      </c>
      <c r="R98" t="s">
        <v>73</v>
      </c>
      <c r="U98" t="s">
        <v>226</v>
      </c>
      <c r="V98" t="s">
        <v>303</v>
      </c>
      <c r="W98" t="s">
        <v>228</v>
      </c>
      <c r="X98" t="s">
        <v>229</v>
      </c>
      <c r="Y98" t="s">
        <v>101</v>
      </c>
      <c r="AD98" t="s">
        <v>73</v>
      </c>
      <c r="AE98">
        <v>-14.4</v>
      </c>
      <c r="AF98">
        <v>42531708</v>
      </c>
      <c r="AG98" s="73">
        <v>45375.918055555558</v>
      </c>
      <c r="AH98" t="s">
        <v>226</v>
      </c>
      <c r="AI98" t="s">
        <v>303</v>
      </c>
      <c r="AJ98" t="s">
        <v>228</v>
      </c>
      <c r="AK98" t="s">
        <v>229</v>
      </c>
      <c r="AL98" t="s">
        <v>101</v>
      </c>
      <c r="AP98" t="s">
        <v>230</v>
      </c>
      <c r="AQ98" t="s">
        <v>231</v>
      </c>
      <c r="AT98" t="s">
        <v>232</v>
      </c>
      <c r="AU98">
        <v>-99</v>
      </c>
      <c r="AV98" t="s">
        <v>73</v>
      </c>
      <c r="AW98">
        <v>-14.4</v>
      </c>
      <c r="AX98">
        <v>42531708</v>
      </c>
      <c r="AY98" s="73">
        <v>45375.918055555558</v>
      </c>
      <c r="AZ98" t="s">
        <v>226</v>
      </c>
      <c r="BA98" t="s">
        <v>303</v>
      </c>
      <c r="BB98" t="s">
        <v>228</v>
      </c>
      <c r="BC98" t="s">
        <v>229</v>
      </c>
      <c r="BD98" t="s">
        <v>101</v>
      </c>
      <c r="BI98" t="s">
        <v>233</v>
      </c>
      <c r="BJ98" t="s">
        <v>0</v>
      </c>
      <c r="BK98">
        <v>42531687</v>
      </c>
      <c r="BN98" t="s">
        <v>73</v>
      </c>
      <c r="BR98">
        <v>-14.4</v>
      </c>
      <c r="BS98">
        <v>42531708</v>
      </c>
      <c r="BT98" s="73">
        <v>45375.918055555558</v>
      </c>
      <c r="BU98" t="s">
        <v>226</v>
      </c>
      <c r="BV98" t="s">
        <v>303</v>
      </c>
      <c r="BW98" t="s">
        <v>228</v>
      </c>
      <c r="CH98" t="s">
        <v>229</v>
      </c>
      <c r="CI98" t="s">
        <v>101</v>
      </c>
      <c r="CJ98" t="s">
        <v>226</v>
      </c>
      <c r="CK98" t="s">
        <v>303</v>
      </c>
      <c r="CL98" t="s">
        <v>228</v>
      </c>
      <c r="CM98" t="s">
        <v>234</v>
      </c>
      <c r="CN98" t="s">
        <v>73</v>
      </c>
      <c r="CO98">
        <v>-14.4</v>
      </c>
      <c r="CP98">
        <v>42531708</v>
      </c>
      <c r="CQ98" s="73">
        <v>45375.918055555558</v>
      </c>
      <c r="CR98" t="s">
        <v>229</v>
      </c>
      <c r="CS98" t="s">
        <v>101</v>
      </c>
      <c r="CU98" t="s">
        <v>225</v>
      </c>
    </row>
    <row r="99" spans="1:99">
      <c r="A99" t="s">
        <v>110</v>
      </c>
      <c r="B99" t="s">
        <v>98</v>
      </c>
      <c r="J99" t="s">
        <v>225</v>
      </c>
      <c r="K99" t="s">
        <v>225</v>
      </c>
      <c r="M99" s="73">
        <v>45375.918055555558</v>
      </c>
      <c r="N99">
        <v>42531707</v>
      </c>
      <c r="O99">
        <v>288</v>
      </c>
      <c r="P99" t="s">
        <v>104</v>
      </c>
      <c r="Q99">
        <v>288</v>
      </c>
      <c r="R99" t="s">
        <v>104</v>
      </c>
      <c r="S99">
        <v>14.4</v>
      </c>
      <c r="T99" t="s">
        <v>73</v>
      </c>
      <c r="U99" t="s">
        <v>226</v>
      </c>
      <c r="V99" t="s">
        <v>303</v>
      </c>
      <c r="W99" t="s">
        <v>235</v>
      </c>
      <c r="X99" t="s">
        <v>229</v>
      </c>
      <c r="Y99" t="s">
        <v>110</v>
      </c>
      <c r="AD99" t="s">
        <v>104</v>
      </c>
      <c r="AE99">
        <v>288</v>
      </c>
      <c r="AF99">
        <v>42531707</v>
      </c>
      <c r="AG99" s="73">
        <v>45375.918055555558</v>
      </c>
      <c r="AH99" t="s">
        <v>226</v>
      </c>
      <c r="AI99" t="s">
        <v>303</v>
      </c>
      <c r="AJ99" t="s">
        <v>235</v>
      </c>
      <c r="AK99" t="s">
        <v>229</v>
      </c>
      <c r="AL99" t="s">
        <v>110</v>
      </c>
      <c r="AP99" t="s">
        <v>230</v>
      </c>
      <c r="AQ99" t="s">
        <v>231</v>
      </c>
      <c r="AT99" t="s">
        <v>232</v>
      </c>
      <c r="AU99">
        <v>-99</v>
      </c>
      <c r="AV99" t="s">
        <v>104</v>
      </c>
      <c r="AW99">
        <v>288</v>
      </c>
      <c r="AX99">
        <v>42531707</v>
      </c>
      <c r="AY99" s="73">
        <v>45375.918055555558</v>
      </c>
      <c r="AZ99" t="s">
        <v>226</v>
      </c>
      <c r="BA99" t="s">
        <v>303</v>
      </c>
      <c r="BB99" t="s">
        <v>235</v>
      </c>
      <c r="BC99" t="s">
        <v>229</v>
      </c>
      <c r="BD99" t="s">
        <v>110</v>
      </c>
      <c r="BI99" t="s">
        <v>233</v>
      </c>
      <c r="BJ99" t="s">
        <v>0</v>
      </c>
      <c r="BK99">
        <v>42531687</v>
      </c>
      <c r="BN99" t="s">
        <v>104</v>
      </c>
      <c r="BO99">
        <v>42531703</v>
      </c>
      <c r="BR99">
        <v>288</v>
      </c>
      <c r="BS99">
        <v>42531707</v>
      </c>
      <c r="BT99" s="73">
        <v>45375.918055555558</v>
      </c>
      <c r="BU99" t="s">
        <v>226</v>
      </c>
      <c r="BV99" t="s">
        <v>303</v>
      </c>
      <c r="BW99" t="s">
        <v>235</v>
      </c>
      <c r="CH99" t="s">
        <v>229</v>
      </c>
      <c r="CI99" t="s">
        <v>110</v>
      </c>
      <c r="CJ99" t="s">
        <v>226</v>
      </c>
      <c r="CK99" t="s">
        <v>303</v>
      </c>
      <c r="CL99" t="s">
        <v>235</v>
      </c>
      <c r="CM99" t="s">
        <v>236</v>
      </c>
      <c r="CN99" t="s">
        <v>104</v>
      </c>
      <c r="CO99">
        <v>288</v>
      </c>
      <c r="CP99">
        <v>42531707</v>
      </c>
      <c r="CQ99" s="73">
        <v>45375.918055555558</v>
      </c>
      <c r="CR99" t="s">
        <v>229</v>
      </c>
      <c r="CS99" t="s">
        <v>110</v>
      </c>
      <c r="CU99" t="s">
        <v>225</v>
      </c>
    </row>
    <row r="100" spans="1:99">
      <c r="A100" t="s">
        <v>42</v>
      </c>
      <c r="B100" t="s">
        <v>92</v>
      </c>
      <c r="J100" t="s">
        <v>225</v>
      </c>
      <c r="K100" t="s">
        <v>225</v>
      </c>
      <c r="M100" s="73">
        <v>45375.618750000001</v>
      </c>
      <c r="N100">
        <v>42531512</v>
      </c>
      <c r="O100">
        <v>-7402</v>
      </c>
      <c r="P100" t="s">
        <v>45</v>
      </c>
      <c r="Q100">
        <v>-7402</v>
      </c>
      <c r="R100" t="s">
        <v>45</v>
      </c>
      <c r="U100" t="s">
        <v>226</v>
      </c>
      <c r="V100" t="s">
        <v>304</v>
      </c>
      <c r="W100" t="s">
        <v>228</v>
      </c>
      <c r="X100" t="s">
        <v>229</v>
      </c>
      <c r="Y100" t="s">
        <v>42</v>
      </c>
      <c r="AD100" t="s">
        <v>45</v>
      </c>
      <c r="AE100">
        <v>-7402</v>
      </c>
      <c r="AF100">
        <v>42531512</v>
      </c>
      <c r="AG100" s="73">
        <v>45375.618750000001</v>
      </c>
      <c r="AH100" t="s">
        <v>226</v>
      </c>
      <c r="AI100" t="s">
        <v>304</v>
      </c>
      <c r="AJ100" t="s">
        <v>228</v>
      </c>
      <c r="AK100" t="s">
        <v>229</v>
      </c>
      <c r="AL100" t="s">
        <v>42</v>
      </c>
      <c r="AP100" t="s">
        <v>230</v>
      </c>
      <c r="AQ100" t="s">
        <v>231</v>
      </c>
      <c r="AT100" t="s">
        <v>232</v>
      </c>
      <c r="AU100">
        <v>-99</v>
      </c>
      <c r="AV100" t="s">
        <v>45</v>
      </c>
      <c r="AW100">
        <v>-7402</v>
      </c>
      <c r="AX100">
        <v>42531512</v>
      </c>
      <c r="AY100" s="73">
        <v>45375.618750000001</v>
      </c>
      <c r="AZ100" t="s">
        <v>226</v>
      </c>
      <c r="BA100" t="s">
        <v>304</v>
      </c>
      <c r="BB100" t="s">
        <v>228</v>
      </c>
      <c r="BC100" t="s">
        <v>229</v>
      </c>
      <c r="BD100" t="s">
        <v>42</v>
      </c>
      <c r="BI100" t="s">
        <v>233</v>
      </c>
      <c r="BJ100" t="s">
        <v>0</v>
      </c>
      <c r="BK100">
        <v>42531489</v>
      </c>
      <c r="BN100" t="s">
        <v>45</v>
      </c>
      <c r="BR100">
        <v>-7402</v>
      </c>
      <c r="BS100">
        <v>42531512</v>
      </c>
      <c r="BT100" s="73">
        <v>45375.618750000001</v>
      </c>
      <c r="BU100" t="s">
        <v>226</v>
      </c>
      <c r="BV100" t="s">
        <v>304</v>
      </c>
      <c r="BW100" t="s">
        <v>228</v>
      </c>
      <c r="CH100" t="s">
        <v>229</v>
      </c>
      <c r="CI100" t="s">
        <v>42</v>
      </c>
      <c r="CJ100" t="s">
        <v>226</v>
      </c>
      <c r="CK100" t="s">
        <v>304</v>
      </c>
      <c r="CL100" t="s">
        <v>228</v>
      </c>
      <c r="CM100" t="s">
        <v>234</v>
      </c>
      <c r="CN100" t="s">
        <v>45</v>
      </c>
      <c r="CO100">
        <v>-7402</v>
      </c>
      <c r="CP100">
        <v>42531512</v>
      </c>
      <c r="CQ100" s="73">
        <v>45375.618750000001</v>
      </c>
      <c r="CR100" t="s">
        <v>229</v>
      </c>
      <c r="CS100" t="s">
        <v>42</v>
      </c>
      <c r="CU100" t="s">
        <v>225</v>
      </c>
    </row>
    <row r="101" spans="1:99">
      <c r="A101" t="s">
        <v>99</v>
      </c>
      <c r="B101" t="s">
        <v>98</v>
      </c>
      <c r="J101" t="s">
        <v>225</v>
      </c>
      <c r="K101" t="s">
        <v>225</v>
      </c>
      <c r="M101" s="73">
        <v>45375.618750000001</v>
      </c>
      <c r="N101">
        <v>42531511</v>
      </c>
      <c r="O101">
        <v>-370</v>
      </c>
      <c r="P101" t="s">
        <v>73</v>
      </c>
      <c r="Q101">
        <v>-370</v>
      </c>
      <c r="R101" t="s">
        <v>73</v>
      </c>
      <c r="U101" t="s">
        <v>226</v>
      </c>
      <c r="V101" t="s">
        <v>304</v>
      </c>
      <c r="W101" t="s">
        <v>228</v>
      </c>
      <c r="X101" t="s">
        <v>229</v>
      </c>
      <c r="Y101" t="s">
        <v>99</v>
      </c>
      <c r="AD101" t="s">
        <v>73</v>
      </c>
      <c r="AE101">
        <v>-370</v>
      </c>
      <c r="AF101">
        <v>42531511</v>
      </c>
      <c r="AG101" s="73">
        <v>45375.618750000001</v>
      </c>
      <c r="AH101" t="s">
        <v>226</v>
      </c>
      <c r="AI101" t="s">
        <v>304</v>
      </c>
      <c r="AJ101" t="s">
        <v>228</v>
      </c>
      <c r="AK101" t="s">
        <v>229</v>
      </c>
      <c r="AL101" t="s">
        <v>99</v>
      </c>
      <c r="AP101" t="s">
        <v>230</v>
      </c>
      <c r="AQ101" t="s">
        <v>231</v>
      </c>
      <c r="AT101" t="s">
        <v>232</v>
      </c>
      <c r="AU101">
        <v>-99</v>
      </c>
      <c r="AV101" t="s">
        <v>73</v>
      </c>
      <c r="AW101">
        <v>-370</v>
      </c>
      <c r="AX101">
        <v>42531511</v>
      </c>
      <c r="AY101" s="73">
        <v>45375.618750000001</v>
      </c>
      <c r="AZ101" t="s">
        <v>226</v>
      </c>
      <c r="BA101" t="s">
        <v>304</v>
      </c>
      <c r="BB101" t="s">
        <v>228</v>
      </c>
      <c r="BC101" t="s">
        <v>229</v>
      </c>
      <c r="BD101" t="s">
        <v>99</v>
      </c>
      <c r="BI101" t="s">
        <v>233</v>
      </c>
      <c r="BJ101" t="s">
        <v>0</v>
      </c>
      <c r="BK101">
        <v>42531489</v>
      </c>
      <c r="BN101" t="s">
        <v>73</v>
      </c>
      <c r="BR101">
        <v>-370</v>
      </c>
      <c r="BS101">
        <v>42531511</v>
      </c>
      <c r="BT101" s="73">
        <v>45375.618750000001</v>
      </c>
      <c r="BU101" t="s">
        <v>226</v>
      </c>
      <c r="BV101" t="s">
        <v>304</v>
      </c>
      <c r="BW101" t="s">
        <v>228</v>
      </c>
      <c r="CH101" t="s">
        <v>229</v>
      </c>
      <c r="CI101" t="s">
        <v>99</v>
      </c>
      <c r="CJ101" t="s">
        <v>226</v>
      </c>
      <c r="CK101" t="s">
        <v>304</v>
      </c>
      <c r="CL101" t="s">
        <v>228</v>
      </c>
      <c r="CM101" t="s">
        <v>234</v>
      </c>
      <c r="CN101" t="s">
        <v>73</v>
      </c>
      <c r="CO101">
        <v>-370</v>
      </c>
      <c r="CP101">
        <v>42531511</v>
      </c>
      <c r="CQ101" s="73">
        <v>45375.618750000001</v>
      </c>
      <c r="CR101" t="s">
        <v>229</v>
      </c>
      <c r="CS101" t="s">
        <v>99</v>
      </c>
      <c r="CU101" t="s">
        <v>225</v>
      </c>
    </row>
    <row r="102" spans="1:99">
      <c r="A102" t="s">
        <v>103</v>
      </c>
      <c r="B102" t="s">
        <v>98</v>
      </c>
      <c r="J102" t="s">
        <v>225</v>
      </c>
      <c r="K102" t="s">
        <v>225</v>
      </c>
      <c r="M102" s="73">
        <v>45375.618750000001</v>
      </c>
      <c r="N102">
        <v>42531510</v>
      </c>
      <c r="O102">
        <v>7400</v>
      </c>
      <c r="P102" t="s">
        <v>104</v>
      </c>
      <c r="Q102">
        <v>7400</v>
      </c>
      <c r="R102" t="s">
        <v>104</v>
      </c>
      <c r="S102">
        <v>370</v>
      </c>
      <c r="T102" t="s">
        <v>73</v>
      </c>
      <c r="U102" t="s">
        <v>226</v>
      </c>
      <c r="V102" t="s">
        <v>304</v>
      </c>
      <c r="W102" t="s">
        <v>235</v>
      </c>
      <c r="X102" t="s">
        <v>229</v>
      </c>
      <c r="Y102" t="s">
        <v>103</v>
      </c>
      <c r="AD102" t="s">
        <v>104</v>
      </c>
      <c r="AE102">
        <v>7400</v>
      </c>
      <c r="AF102">
        <v>42531510</v>
      </c>
      <c r="AG102" s="73">
        <v>45375.618750000001</v>
      </c>
      <c r="AH102" t="s">
        <v>226</v>
      </c>
      <c r="AI102" t="s">
        <v>304</v>
      </c>
      <c r="AJ102" t="s">
        <v>235</v>
      </c>
      <c r="AK102" t="s">
        <v>229</v>
      </c>
      <c r="AL102" t="s">
        <v>103</v>
      </c>
      <c r="AP102" t="s">
        <v>230</v>
      </c>
      <c r="AQ102" t="s">
        <v>231</v>
      </c>
      <c r="AT102" t="s">
        <v>232</v>
      </c>
      <c r="AU102">
        <v>-99</v>
      </c>
      <c r="AV102" t="s">
        <v>104</v>
      </c>
      <c r="AW102">
        <v>7400</v>
      </c>
      <c r="AX102">
        <v>42531510</v>
      </c>
      <c r="AY102" s="73">
        <v>45375.618750000001</v>
      </c>
      <c r="AZ102" t="s">
        <v>226</v>
      </c>
      <c r="BA102" t="s">
        <v>304</v>
      </c>
      <c r="BB102" t="s">
        <v>235</v>
      </c>
      <c r="BC102" t="s">
        <v>229</v>
      </c>
      <c r="BD102" t="s">
        <v>103</v>
      </c>
      <c r="BI102" t="s">
        <v>233</v>
      </c>
      <c r="BJ102" t="s">
        <v>0</v>
      </c>
      <c r="BK102">
        <v>42531489</v>
      </c>
      <c r="BN102" t="s">
        <v>104</v>
      </c>
      <c r="BO102">
        <v>42531502</v>
      </c>
      <c r="BR102">
        <v>7400</v>
      </c>
      <c r="BS102">
        <v>42531510</v>
      </c>
      <c r="BT102" s="73">
        <v>45375.618750000001</v>
      </c>
      <c r="BU102" t="s">
        <v>226</v>
      </c>
      <c r="BV102" t="s">
        <v>304</v>
      </c>
      <c r="BW102" t="s">
        <v>235</v>
      </c>
      <c r="CH102" t="s">
        <v>229</v>
      </c>
      <c r="CI102" t="s">
        <v>103</v>
      </c>
      <c r="CJ102" t="s">
        <v>226</v>
      </c>
      <c r="CK102" t="s">
        <v>304</v>
      </c>
      <c r="CL102" t="s">
        <v>235</v>
      </c>
      <c r="CM102" t="s">
        <v>236</v>
      </c>
      <c r="CN102" t="s">
        <v>104</v>
      </c>
      <c r="CO102">
        <v>7400</v>
      </c>
      <c r="CP102">
        <v>42531510</v>
      </c>
      <c r="CQ102" s="73">
        <v>45375.618750000001</v>
      </c>
      <c r="CR102" t="s">
        <v>229</v>
      </c>
      <c r="CS102" t="s">
        <v>103</v>
      </c>
      <c r="CU102" t="s">
        <v>225</v>
      </c>
    </row>
    <row r="103" spans="1:99">
      <c r="A103" t="s">
        <v>111</v>
      </c>
      <c r="B103" t="s">
        <v>77</v>
      </c>
      <c r="J103" t="s">
        <v>225</v>
      </c>
      <c r="K103" t="s">
        <v>225</v>
      </c>
      <c r="M103" s="73">
        <v>45375.618750000001</v>
      </c>
      <c r="N103">
        <v>42531509</v>
      </c>
      <c r="O103">
        <v>2</v>
      </c>
      <c r="P103" t="s">
        <v>45</v>
      </c>
      <c r="Q103">
        <v>2</v>
      </c>
      <c r="R103" t="s">
        <v>45</v>
      </c>
      <c r="U103" t="s">
        <v>226</v>
      </c>
      <c r="V103" t="s">
        <v>304</v>
      </c>
      <c r="W103" t="s">
        <v>237</v>
      </c>
      <c r="X103" t="s">
        <v>229</v>
      </c>
      <c r="Y103" t="s">
        <v>111</v>
      </c>
      <c r="AD103" t="s">
        <v>45</v>
      </c>
      <c r="AE103">
        <v>2</v>
      </c>
      <c r="AF103">
        <v>42531509</v>
      </c>
      <c r="AG103" s="73">
        <v>45375.618750000001</v>
      </c>
      <c r="AH103" t="s">
        <v>226</v>
      </c>
      <c r="AI103" t="s">
        <v>304</v>
      </c>
      <c r="AJ103" t="s">
        <v>237</v>
      </c>
      <c r="AK103" t="s">
        <v>229</v>
      </c>
      <c r="AL103" t="s">
        <v>111</v>
      </c>
      <c r="AP103" t="s">
        <v>230</v>
      </c>
      <c r="AQ103" t="s">
        <v>231</v>
      </c>
      <c r="AT103" t="s">
        <v>232</v>
      </c>
      <c r="AU103">
        <v>-99</v>
      </c>
      <c r="AV103" t="s">
        <v>45</v>
      </c>
      <c r="AW103">
        <v>2</v>
      </c>
      <c r="AX103">
        <v>42531509</v>
      </c>
      <c r="AY103" s="73">
        <v>45375.618750000001</v>
      </c>
      <c r="AZ103" t="s">
        <v>226</v>
      </c>
      <c r="BA103" t="s">
        <v>304</v>
      </c>
      <c r="BB103" t="s">
        <v>237</v>
      </c>
      <c r="BC103" t="s">
        <v>229</v>
      </c>
      <c r="BD103" t="s">
        <v>111</v>
      </c>
      <c r="BI103" t="s">
        <v>233</v>
      </c>
      <c r="BJ103" t="s">
        <v>0</v>
      </c>
      <c r="BK103">
        <v>42531489</v>
      </c>
      <c r="BN103" t="s">
        <v>45</v>
      </c>
      <c r="BO103">
        <v>42531504</v>
      </c>
      <c r="BR103">
        <v>2</v>
      </c>
      <c r="BS103">
        <v>42531509</v>
      </c>
      <c r="BT103" s="73">
        <v>45375.618750000001</v>
      </c>
      <c r="BU103" t="s">
        <v>226</v>
      </c>
      <c r="BV103" t="s">
        <v>304</v>
      </c>
      <c r="BW103" t="s">
        <v>237</v>
      </c>
      <c r="CH103" t="s">
        <v>229</v>
      </c>
      <c r="CI103" t="s">
        <v>111</v>
      </c>
      <c r="CJ103" t="s">
        <v>226</v>
      </c>
      <c r="CK103" t="s">
        <v>304</v>
      </c>
      <c r="CL103" t="s">
        <v>237</v>
      </c>
      <c r="CM103" t="s">
        <v>236</v>
      </c>
      <c r="CN103" t="s">
        <v>45</v>
      </c>
      <c r="CO103">
        <v>2</v>
      </c>
      <c r="CP103">
        <v>42531509</v>
      </c>
      <c r="CQ103" s="73">
        <v>45375.618750000001</v>
      </c>
      <c r="CR103" t="s">
        <v>229</v>
      </c>
      <c r="CS103" t="s">
        <v>111</v>
      </c>
      <c r="CU103" t="s">
        <v>225</v>
      </c>
    </row>
    <row r="104" spans="1:99">
      <c r="A104" t="s">
        <v>42</v>
      </c>
      <c r="B104" t="s">
        <v>92</v>
      </c>
      <c r="J104" t="s">
        <v>225</v>
      </c>
      <c r="K104" t="s">
        <v>225</v>
      </c>
      <c r="M104" s="73">
        <v>45375.609027777777</v>
      </c>
      <c r="N104">
        <v>42532276</v>
      </c>
      <c r="O104">
        <v>-3250</v>
      </c>
      <c r="P104" t="s">
        <v>45</v>
      </c>
      <c r="Q104">
        <v>-3250</v>
      </c>
      <c r="R104" t="s">
        <v>45</v>
      </c>
      <c r="U104" t="s">
        <v>226</v>
      </c>
      <c r="V104" t="s">
        <v>305</v>
      </c>
      <c r="W104" t="s">
        <v>228</v>
      </c>
      <c r="X104" t="s">
        <v>229</v>
      </c>
      <c r="Y104" t="s">
        <v>42</v>
      </c>
      <c r="AD104" t="s">
        <v>45</v>
      </c>
      <c r="AE104">
        <v>-3250</v>
      </c>
      <c r="AF104">
        <v>42532276</v>
      </c>
      <c r="AG104" s="73">
        <v>45375.609027777777</v>
      </c>
      <c r="AH104" t="s">
        <v>226</v>
      </c>
      <c r="AI104" t="s">
        <v>305</v>
      </c>
      <c r="AJ104" t="s">
        <v>228</v>
      </c>
      <c r="AK104" t="s">
        <v>229</v>
      </c>
      <c r="AL104" t="s">
        <v>42</v>
      </c>
      <c r="AP104" t="s">
        <v>230</v>
      </c>
      <c r="AQ104" t="s">
        <v>231</v>
      </c>
      <c r="AT104" t="s">
        <v>232</v>
      </c>
      <c r="AU104">
        <v>-99</v>
      </c>
      <c r="AV104" t="s">
        <v>45</v>
      </c>
      <c r="AW104">
        <v>-3250</v>
      </c>
      <c r="AX104">
        <v>42532276</v>
      </c>
      <c r="AY104" s="73">
        <v>45375.609027777777</v>
      </c>
      <c r="AZ104" t="s">
        <v>226</v>
      </c>
      <c r="BA104" t="s">
        <v>305</v>
      </c>
      <c r="BB104" t="s">
        <v>228</v>
      </c>
      <c r="BC104" t="s">
        <v>229</v>
      </c>
      <c r="BD104" t="s">
        <v>42</v>
      </c>
      <c r="BI104" t="s">
        <v>233</v>
      </c>
      <c r="BJ104" t="s">
        <v>0</v>
      </c>
      <c r="BK104">
        <v>42532198</v>
      </c>
      <c r="BN104" t="s">
        <v>45</v>
      </c>
      <c r="BR104">
        <v>-3250</v>
      </c>
      <c r="BS104">
        <v>42532276</v>
      </c>
      <c r="BT104" s="73">
        <v>45375.609027777777</v>
      </c>
      <c r="BU104" t="s">
        <v>226</v>
      </c>
      <c r="BV104" t="s">
        <v>305</v>
      </c>
      <c r="BW104" t="s">
        <v>228</v>
      </c>
      <c r="CH104" t="s">
        <v>229</v>
      </c>
      <c r="CI104" t="s">
        <v>42</v>
      </c>
      <c r="CJ104" t="s">
        <v>226</v>
      </c>
      <c r="CK104" t="s">
        <v>305</v>
      </c>
      <c r="CL104" t="s">
        <v>228</v>
      </c>
      <c r="CM104" t="s">
        <v>234</v>
      </c>
      <c r="CN104" t="s">
        <v>45</v>
      </c>
      <c r="CO104">
        <v>-3250</v>
      </c>
      <c r="CP104">
        <v>42532276</v>
      </c>
      <c r="CQ104" s="73">
        <v>45375.609027777777</v>
      </c>
      <c r="CR104" t="s">
        <v>229</v>
      </c>
      <c r="CS104" t="s">
        <v>42</v>
      </c>
      <c r="CU104" t="s">
        <v>225</v>
      </c>
    </row>
    <row r="105" spans="1:99">
      <c r="A105" t="s">
        <v>99</v>
      </c>
      <c r="B105" t="s">
        <v>98</v>
      </c>
      <c r="J105" t="s">
        <v>225</v>
      </c>
      <c r="K105" t="s">
        <v>225</v>
      </c>
      <c r="M105" s="73">
        <v>45375.609027777777</v>
      </c>
      <c r="N105">
        <v>42532275</v>
      </c>
      <c r="O105">
        <v>-162.5</v>
      </c>
      <c r="P105" t="s">
        <v>73</v>
      </c>
      <c r="Q105">
        <v>-162.5</v>
      </c>
      <c r="R105" t="s">
        <v>73</v>
      </c>
      <c r="U105" t="s">
        <v>226</v>
      </c>
      <c r="V105" t="s">
        <v>305</v>
      </c>
      <c r="W105" t="s">
        <v>228</v>
      </c>
      <c r="X105" t="s">
        <v>229</v>
      </c>
      <c r="Y105" t="s">
        <v>99</v>
      </c>
      <c r="AD105" t="s">
        <v>73</v>
      </c>
      <c r="AE105">
        <v>-162.5</v>
      </c>
      <c r="AF105">
        <v>42532275</v>
      </c>
      <c r="AG105" s="73">
        <v>45375.609027777777</v>
      </c>
      <c r="AH105" t="s">
        <v>226</v>
      </c>
      <c r="AI105" t="s">
        <v>305</v>
      </c>
      <c r="AJ105" t="s">
        <v>228</v>
      </c>
      <c r="AK105" t="s">
        <v>229</v>
      </c>
      <c r="AL105" t="s">
        <v>99</v>
      </c>
      <c r="AP105" t="s">
        <v>230</v>
      </c>
      <c r="AQ105" t="s">
        <v>231</v>
      </c>
      <c r="AT105" t="s">
        <v>232</v>
      </c>
      <c r="AU105">
        <v>-99</v>
      </c>
      <c r="AV105" t="s">
        <v>73</v>
      </c>
      <c r="AW105">
        <v>-162.5</v>
      </c>
      <c r="AX105">
        <v>42532275</v>
      </c>
      <c r="AY105" s="73">
        <v>45375.609027777777</v>
      </c>
      <c r="AZ105" t="s">
        <v>226</v>
      </c>
      <c r="BA105" t="s">
        <v>305</v>
      </c>
      <c r="BB105" t="s">
        <v>228</v>
      </c>
      <c r="BC105" t="s">
        <v>229</v>
      </c>
      <c r="BD105" t="s">
        <v>99</v>
      </c>
      <c r="BI105" t="s">
        <v>233</v>
      </c>
      <c r="BJ105" t="s">
        <v>0</v>
      </c>
      <c r="BK105">
        <v>42532198</v>
      </c>
      <c r="BN105" t="s">
        <v>73</v>
      </c>
      <c r="BR105">
        <v>-162.5</v>
      </c>
      <c r="BS105">
        <v>42532275</v>
      </c>
      <c r="BT105" s="73">
        <v>45375.609027777777</v>
      </c>
      <c r="BU105" t="s">
        <v>226</v>
      </c>
      <c r="BV105" t="s">
        <v>305</v>
      </c>
      <c r="BW105" t="s">
        <v>228</v>
      </c>
      <c r="CH105" t="s">
        <v>229</v>
      </c>
      <c r="CI105" t="s">
        <v>99</v>
      </c>
      <c r="CJ105" t="s">
        <v>226</v>
      </c>
      <c r="CK105" t="s">
        <v>305</v>
      </c>
      <c r="CL105" t="s">
        <v>228</v>
      </c>
      <c r="CM105" t="s">
        <v>234</v>
      </c>
      <c r="CN105" t="s">
        <v>73</v>
      </c>
      <c r="CO105">
        <v>-162.5</v>
      </c>
      <c r="CP105">
        <v>42532275</v>
      </c>
      <c r="CQ105" s="73">
        <v>45375.609027777777</v>
      </c>
      <c r="CR105" t="s">
        <v>229</v>
      </c>
      <c r="CS105" t="s">
        <v>99</v>
      </c>
      <c r="CU105" t="s">
        <v>225</v>
      </c>
    </row>
    <row r="106" spans="1:99">
      <c r="A106" t="s">
        <v>103</v>
      </c>
      <c r="B106" t="s">
        <v>98</v>
      </c>
      <c r="J106" t="s">
        <v>225</v>
      </c>
      <c r="K106" t="s">
        <v>225</v>
      </c>
      <c r="M106" s="73">
        <v>45375.609027777777</v>
      </c>
      <c r="N106">
        <v>42532274</v>
      </c>
      <c r="O106">
        <v>3250</v>
      </c>
      <c r="P106" t="s">
        <v>104</v>
      </c>
      <c r="Q106">
        <v>3250</v>
      </c>
      <c r="R106" t="s">
        <v>104</v>
      </c>
      <c r="S106">
        <v>162.5</v>
      </c>
      <c r="T106" t="s">
        <v>73</v>
      </c>
      <c r="U106" t="s">
        <v>226</v>
      </c>
      <c r="V106" t="s">
        <v>305</v>
      </c>
      <c r="W106" t="s">
        <v>235</v>
      </c>
      <c r="X106" t="s">
        <v>229</v>
      </c>
      <c r="Y106" t="s">
        <v>103</v>
      </c>
      <c r="AD106" t="s">
        <v>104</v>
      </c>
      <c r="AE106">
        <v>3250</v>
      </c>
      <c r="AF106">
        <v>42532274</v>
      </c>
      <c r="AG106" s="73">
        <v>45375.609027777777</v>
      </c>
      <c r="AH106" t="s">
        <v>226</v>
      </c>
      <c r="AI106" t="s">
        <v>305</v>
      </c>
      <c r="AJ106" t="s">
        <v>235</v>
      </c>
      <c r="AK106" t="s">
        <v>229</v>
      </c>
      <c r="AL106" t="s">
        <v>103</v>
      </c>
      <c r="AP106" t="s">
        <v>230</v>
      </c>
      <c r="AQ106" t="s">
        <v>231</v>
      </c>
      <c r="AT106" t="s">
        <v>232</v>
      </c>
      <c r="AU106">
        <v>-99</v>
      </c>
      <c r="AV106" t="s">
        <v>104</v>
      </c>
      <c r="AW106">
        <v>3250</v>
      </c>
      <c r="AX106">
        <v>42532274</v>
      </c>
      <c r="AY106" s="73">
        <v>45375.609027777777</v>
      </c>
      <c r="AZ106" t="s">
        <v>226</v>
      </c>
      <c r="BA106" t="s">
        <v>305</v>
      </c>
      <c r="BB106" t="s">
        <v>235</v>
      </c>
      <c r="BC106" t="s">
        <v>229</v>
      </c>
      <c r="BD106" t="s">
        <v>103</v>
      </c>
      <c r="BI106" t="s">
        <v>233</v>
      </c>
      <c r="BJ106" t="s">
        <v>0</v>
      </c>
      <c r="BK106">
        <v>42532198</v>
      </c>
      <c r="BN106" t="s">
        <v>104</v>
      </c>
      <c r="BO106">
        <v>42532270</v>
      </c>
      <c r="BR106">
        <v>3250</v>
      </c>
      <c r="BS106">
        <v>42532274</v>
      </c>
      <c r="BT106" s="73">
        <v>45375.609027777777</v>
      </c>
      <c r="BU106" t="s">
        <v>226</v>
      </c>
      <c r="BV106" t="s">
        <v>305</v>
      </c>
      <c r="BW106" t="s">
        <v>235</v>
      </c>
      <c r="CH106" t="s">
        <v>229</v>
      </c>
      <c r="CI106" t="s">
        <v>103</v>
      </c>
      <c r="CJ106" t="s">
        <v>226</v>
      </c>
      <c r="CK106" t="s">
        <v>305</v>
      </c>
      <c r="CL106" t="s">
        <v>235</v>
      </c>
      <c r="CM106" t="s">
        <v>236</v>
      </c>
      <c r="CN106" t="s">
        <v>104</v>
      </c>
      <c r="CO106">
        <v>3250</v>
      </c>
      <c r="CP106">
        <v>42532274</v>
      </c>
      <c r="CQ106" s="73">
        <v>45375.609027777777</v>
      </c>
      <c r="CR106" t="s">
        <v>229</v>
      </c>
      <c r="CS106" t="s">
        <v>103</v>
      </c>
      <c r="CU106" t="s">
        <v>225</v>
      </c>
    </row>
    <row r="107" spans="1:99">
      <c r="A107" t="s">
        <v>113</v>
      </c>
      <c r="B107" t="s">
        <v>90</v>
      </c>
      <c r="J107" t="s">
        <v>225</v>
      </c>
      <c r="K107" t="s">
        <v>225</v>
      </c>
      <c r="M107" s="73">
        <v>45375.590289351851</v>
      </c>
      <c r="N107">
        <v>42526405</v>
      </c>
      <c r="O107">
        <v>-450</v>
      </c>
      <c r="P107" t="s">
        <v>115</v>
      </c>
      <c r="Q107">
        <v>-450</v>
      </c>
      <c r="R107" t="s">
        <v>115</v>
      </c>
      <c r="U107" t="s">
        <v>226</v>
      </c>
      <c r="V107" t="s">
        <v>302</v>
      </c>
      <c r="W107" t="s">
        <v>228</v>
      </c>
      <c r="X107" t="s">
        <v>229</v>
      </c>
      <c r="Y107" t="s">
        <v>113</v>
      </c>
      <c r="AD107" t="s">
        <v>115</v>
      </c>
      <c r="AE107">
        <v>-450</v>
      </c>
      <c r="AF107">
        <v>42526405</v>
      </c>
      <c r="AG107" s="73">
        <v>45375.590289351851</v>
      </c>
      <c r="AH107" t="s">
        <v>226</v>
      </c>
      <c r="AI107" t="s">
        <v>302</v>
      </c>
      <c r="AJ107" t="s">
        <v>228</v>
      </c>
      <c r="AK107" t="s">
        <v>229</v>
      </c>
      <c r="AL107" t="s">
        <v>113</v>
      </c>
      <c r="AP107" t="s">
        <v>230</v>
      </c>
      <c r="AQ107" t="s">
        <v>231</v>
      </c>
      <c r="AT107" t="s">
        <v>232</v>
      </c>
      <c r="AU107">
        <v>-99</v>
      </c>
      <c r="AV107" t="s">
        <v>115</v>
      </c>
      <c r="AW107">
        <v>-450</v>
      </c>
      <c r="AX107">
        <v>42526405</v>
      </c>
      <c r="AY107" s="73">
        <v>45375.590289351851</v>
      </c>
      <c r="AZ107" t="s">
        <v>226</v>
      </c>
      <c r="BA107" t="s">
        <v>302</v>
      </c>
      <c r="BB107" t="s">
        <v>228</v>
      </c>
      <c r="BC107" t="s">
        <v>229</v>
      </c>
      <c r="BD107" t="s">
        <v>113</v>
      </c>
      <c r="BI107" t="s">
        <v>233</v>
      </c>
      <c r="BJ107" t="s">
        <v>0</v>
      </c>
      <c r="BK107">
        <v>42526397</v>
      </c>
      <c r="BN107" t="s">
        <v>115</v>
      </c>
      <c r="BR107">
        <v>-450</v>
      </c>
      <c r="BS107">
        <v>42526405</v>
      </c>
      <c r="BT107" s="73">
        <v>45375.590289351851</v>
      </c>
      <c r="BU107" t="s">
        <v>226</v>
      </c>
      <c r="BV107" t="s">
        <v>302</v>
      </c>
      <c r="BW107" t="s">
        <v>228</v>
      </c>
      <c r="CH107" t="s">
        <v>229</v>
      </c>
      <c r="CI107" t="s">
        <v>113</v>
      </c>
      <c r="CJ107" t="s">
        <v>226</v>
      </c>
      <c r="CK107" t="s">
        <v>302</v>
      </c>
      <c r="CL107" t="s">
        <v>228</v>
      </c>
      <c r="CM107" t="s">
        <v>234</v>
      </c>
      <c r="CN107" t="s">
        <v>115</v>
      </c>
      <c r="CO107">
        <v>-450</v>
      </c>
      <c r="CP107">
        <v>42526405</v>
      </c>
      <c r="CQ107" s="73">
        <v>45375.590289351851</v>
      </c>
      <c r="CR107" t="s">
        <v>229</v>
      </c>
      <c r="CS107" t="s">
        <v>113</v>
      </c>
      <c r="CU107" t="s">
        <v>225</v>
      </c>
    </row>
    <row r="108" spans="1:99">
      <c r="A108" t="s">
        <v>129</v>
      </c>
      <c r="B108" t="s">
        <v>90</v>
      </c>
      <c r="J108" t="s">
        <v>225</v>
      </c>
      <c r="K108" t="s">
        <v>225</v>
      </c>
      <c r="M108" s="73">
        <v>45375.590289351851</v>
      </c>
      <c r="N108">
        <v>42526404</v>
      </c>
      <c r="O108">
        <v>-5.7</v>
      </c>
      <c r="P108" t="s">
        <v>73</v>
      </c>
      <c r="Q108">
        <v>-5.7</v>
      </c>
      <c r="R108" t="s">
        <v>73</v>
      </c>
      <c r="U108" t="s">
        <v>226</v>
      </c>
      <c r="V108" t="s">
        <v>302</v>
      </c>
      <c r="W108" t="s">
        <v>228</v>
      </c>
      <c r="X108" t="s">
        <v>229</v>
      </c>
      <c r="Y108" t="s">
        <v>129</v>
      </c>
      <c r="AD108" t="s">
        <v>73</v>
      </c>
      <c r="AE108">
        <v>-5.7</v>
      </c>
      <c r="AF108">
        <v>42526404</v>
      </c>
      <c r="AG108" s="73">
        <v>45375.590289351851</v>
      </c>
      <c r="AH108" t="s">
        <v>226</v>
      </c>
      <c r="AI108" t="s">
        <v>302</v>
      </c>
      <c r="AJ108" t="s">
        <v>228</v>
      </c>
      <c r="AK108" t="s">
        <v>229</v>
      </c>
      <c r="AL108" t="s">
        <v>129</v>
      </c>
      <c r="AP108" t="s">
        <v>230</v>
      </c>
      <c r="AQ108" t="s">
        <v>231</v>
      </c>
      <c r="AT108" t="s">
        <v>232</v>
      </c>
      <c r="AU108">
        <v>-99</v>
      </c>
      <c r="AV108" t="s">
        <v>73</v>
      </c>
      <c r="AW108">
        <v>-5.7</v>
      </c>
      <c r="AX108">
        <v>42526404</v>
      </c>
      <c r="AY108" s="73">
        <v>45375.590289351851</v>
      </c>
      <c r="AZ108" t="s">
        <v>226</v>
      </c>
      <c r="BA108" t="s">
        <v>302</v>
      </c>
      <c r="BB108" t="s">
        <v>228</v>
      </c>
      <c r="BC108" t="s">
        <v>229</v>
      </c>
      <c r="BD108" t="s">
        <v>129</v>
      </c>
      <c r="BI108" t="s">
        <v>233</v>
      </c>
      <c r="BJ108" t="s">
        <v>0</v>
      </c>
      <c r="BK108">
        <v>42526397</v>
      </c>
      <c r="BN108" t="s">
        <v>73</v>
      </c>
      <c r="BR108">
        <v>-5.7</v>
      </c>
      <c r="BS108">
        <v>42526404</v>
      </c>
      <c r="BT108" s="73">
        <v>45375.590289351851</v>
      </c>
      <c r="BU108" t="s">
        <v>226</v>
      </c>
      <c r="BV108" t="s">
        <v>302</v>
      </c>
      <c r="BW108" t="s">
        <v>228</v>
      </c>
      <c r="CH108" t="s">
        <v>229</v>
      </c>
      <c r="CI108" t="s">
        <v>129</v>
      </c>
      <c r="CJ108" t="s">
        <v>226</v>
      </c>
      <c r="CK108" t="s">
        <v>302</v>
      </c>
      <c r="CL108" t="s">
        <v>228</v>
      </c>
      <c r="CM108" t="s">
        <v>234</v>
      </c>
      <c r="CN108" t="s">
        <v>73</v>
      </c>
      <c r="CO108">
        <v>-5.7</v>
      </c>
      <c r="CP108">
        <v>42526404</v>
      </c>
      <c r="CQ108" s="73">
        <v>45375.590289351851</v>
      </c>
      <c r="CR108" t="s">
        <v>229</v>
      </c>
      <c r="CS108" t="s">
        <v>129</v>
      </c>
      <c r="CU108" t="s">
        <v>225</v>
      </c>
    </row>
    <row r="109" spans="1:99">
      <c r="A109" t="s">
        <v>99</v>
      </c>
      <c r="B109" t="s">
        <v>98</v>
      </c>
      <c r="J109" t="s">
        <v>225</v>
      </c>
      <c r="K109" t="s">
        <v>225</v>
      </c>
      <c r="M109" s="73">
        <v>45375.590277777781</v>
      </c>
      <c r="N109">
        <v>42517000</v>
      </c>
      <c r="O109">
        <v>1097.6099999999999</v>
      </c>
      <c r="P109" t="s">
        <v>73</v>
      </c>
      <c r="Q109">
        <v>1097.6099999999999</v>
      </c>
      <c r="R109" t="s">
        <v>73</v>
      </c>
      <c r="U109" t="s">
        <v>226</v>
      </c>
      <c r="V109" t="s">
        <v>306</v>
      </c>
      <c r="W109" t="s">
        <v>235</v>
      </c>
      <c r="X109" t="s">
        <v>229</v>
      </c>
      <c r="Y109" t="s">
        <v>99</v>
      </c>
      <c r="AD109" t="s">
        <v>73</v>
      </c>
      <c r="AE109">
        <v>1097.6099999999999</v>
      </c>
      <c r="AF109">
        <v>42517000</v>
      </c>
      <c r="AG109" s="73">
        <v>45375.590277777781</v>
      </c>
      <c r="AH109" t="s">
        <v>226</v>
      </c>
      <c r="AI109" t="s">
        <v>306</v>
      </c>
      <c r="AJ109" t="s">
        <v>235</v>
      </c>
      <c r="AK109" t="s">
        <v>229</v>
      </c>
      <c r="AL109" t="s">
        <v>99</v>
      </c>
      <c r="AP109" t="s">
        <v>230</v>
      </c>
      <c r="AQ109" t="s">
        <v>231</v>
      </c>
      <c r="AT109" t="s">
        <v>232</v>
      </c>
      <c r="AU109">
        <v>-99</v>
      </c>
      <c r="AV109" t="s">
        <v>73</v>
      </c>
      <c r="AW109">
        <v>1097.6099999999999</v>
      </c>
      <c r="AX109">
        <v>42517000</v>
      </c>
      <c r="AY109" s="73">
        <v>45375.590277777781</v>
      </c>
      <c r="AZ109" t="s">
        <v>226</v>
      </c>
      <c r="BA109" t="s">
        <v>306</v>
      </c>
      <c r="BB109" t="s">
        <v>235</v>
      </c>
      <c r="BC109" t="s">
        <v>229</v>
      </c>
      <c r="BD109" t="s">
        <v>99</v>
      </c>
      <c r="BI109" t="s">
        <v>233</v>
      </c>
      <c r="BJ109" t="s">
        <v>0</v>
      </c>
      <c r="BK109">
        <v>42516996</v>
      </c>
      <c r="BN109" t="s">
        <v>73</v>
      </c>
      <c r="BO109">
        <v>42516998</v>
      </c>
      <c r="BR109">
        <v>1097.6099999999999</v>
      </c>
      <c r="BS109">
        <v>42517000</v>
      </c>
      <c r="BT109" s="73">
        <v>45375.590277777781</v>
      </c>
      <c r="BU109" t="s">
        <v>226</v>
      </c>
      <c r="BV109" t="s">
        <v>306</v>
      </c>
      <c r="BW109" t="s">
        <v>235</v>
      </c>
      <c r="CH109" t="s">
        <v>229</v>
      </c>
      <c r="CI109" t="s">
        <v>99</v>
      </c>
      <c r="CJ109" t="s">
        <v>226</v>
      </c>
      <c r="CK109" t="s">
        <v>306</v>
      </c>
      <c r="CL109" t="s">
        <v>235</v>
      </c>
      <c r="CM109" t="s">
        <v>236</v>
      </c>
      <c r="CN109" t="s">
        <v>73</v>
      </c>
      <c r="CO109">
        <v>1097.6099999999999</v>
      </c>
      <c r="CP109">
        <v>42517000</v>
      </c>
      <c r="CQ109" s="73">
        <v>45375.590277777781</v>
      </c>
      <c r="CR109" t="s">
        <v>229</v>
      </c>
      <c r="CS109" t="s">
        <v>99</v>
      </c>
      <c r="CU109" t="s">
        <v>225</v>
      </c>
    </row>
    <row r="110" spans="1:99">
      <c r="A110" t="s">
        <v>71</v>
      </c>
      <c r="B110" t="s">
        <v>77</v>
      </c>
      <c r="J110" t="s">
        <v>225</v>
      </c>
      <c r="K110" t="s">
        <v>225</v>
      </c>
      <c r="M110" s="73">
        <v>45375.590277777781</v>
      </c>
      <c r="N110">
        <v>42516993</v>
      </c>
      <c r="O110">
        <v>0.66</v>
      </c>
      <c r="P110" t="s">
        <v>73</v>
      </c>
      <c r="Q110">
        <v>0.66</v>
      </c>
      <c r="R110" t="s">
        <v>73</v>
      </c>
      <c r="U110" t="s">
        <v>226</v>
      </c>
      <c r="V110" t="s">
        <v>306</v>
      </c>
      <c r="W110" t="s">
        <v>237</v>
      </c>
      <c r="X110" t="s">
        <v>229</v>
      </c>
      <c r="Y110" t="s">
        <v>71</v>
      </c>
      <c r="AD110" t="s">
        <v>73</v>
      </c>
      <c r="AE110">
        <v>0.66</v>
      </c>
      <c r="AF110">
        <v>42516993</v>
      </c>
      <c r="AG110" s="73">
        <v>45375.590277777781</v>
      </c>
      <c r="AH110" t="s">
        <v>226</v>
      </c>
      <c r="AI110" t="s">
        <v>306</v>
      </c>
      <c r="AJ110" t="s">
        <v>237</v>
      </c>
      <c r="AK110" t="s">
        <v>229</v>
      </c>
      <c r="AL110" t="s">
        <v>71</v>
      </c>
      <c r="AP110" t="s">
        <v>230</v>
      </c>
      <c r="AQ110" t="s">
        <v>231</v>
      </c>
      <c r="AT110" t="s">
        <v>232</v>
      </c>
      <c r="AU110">
        <v>-99</v>
      </c>
      <c r="AV110" t="s">
        <v>73</v>
      </c>
      <c r="AW110">
        <v>0.66</v>
      </c>
      <c r="AX110">
        <v>42516993</v>
      </c>
      <c r="AY110" s="73">
        <v>45375.590277777781</v>
      </c>
      <c r="AZ110" t="s">
        <v>226</v>
      </c>
      <c r="BA110" t="s">
        <v>306</v>
      </c>
      <c r="BB110" t="s">
        <v>237</v>
      </c>
      <c r="BC110" t="s">
        <v>229</v>
      </c>
      <c r="BD110" t="s">
        <v>71</v>
      </c>
      <c r="BI110" t="s">
        <v>233</v>
      </c>
      <c r="BJ110" t="s">
        <v>0</v>
      </c>
      <c r="BK110">
        <v>42516989</v>
      </c>
      <c r="BN110" t="s">
        <v>73</v>
      </c>
      <c r="BO110">
        <v>42516991</v>
      </c>
      <c r="BR110">
        <v>0.66</v>
      </c>
      <c r="BS110">
        <v>42516993</v>
      </c>
      <c r="BT110" s="73">
        <v>45375.590277777781</v>
      </c>
      <c r="BU110" t="s">
        <v>226</v>
      </c>
      <c r="BV110" t="s">
        <v>306</v>
      </c>
      <c r="BW110" t="s">
        <v>237</v>
      </c>
      <c r="CH110" t="s">
        <v>229</v>
      </c>
      <c r="CI110" t="s">
        <v>71</v>
      </c>
      <c r="CJ110" t="s">
        <v>226</v>
      </c>
      <c r="CK110" t="s">
        <v>306</v>
      </c>
      <c r="CL110" t="s">
        <v>237</v>
      </c>
      <c r="CM110" t="s">
        <v>236</v>
      </c>
      <c r="CN110" t="s">
        <v>73</v>
      </c>
      <c r="CO110">
        <v>0.66</v>
      </c>
      <c r="CP110">
        <v>42516993</v>
      </c>
      <c r="CQ110" s="73">
        <v>45375.590277777781</v>
      </c>
      <c r="CR110" t="s">
        <v>229</v>
      </c>
      <c r="CS110" t="s">
        <v>71</v>
      </c>
      <c r="CU110" t="s">
        <v>225</v>
      </c>
    </row>
    <row r="111" spans="1:99">
      <c r="A111" t="s">
        <v>127</v>
      </c>
      <c r="B111" t="s">
        <v>90</v>
      </c>
      <c r="J111" t="s">
        <v>225</v>
      </c>
      <c r="K111" t="s">
        <v>225</v>
      </c>
      <c r="M111" s="73">
        <v>45375.590277777781</v>
      </c>
      <c r="N111">
        <v>42516986</v>
      </c>
      <c r="O111">
        <v>-510</v>
      </c>
      <c r="P111" t="s">
        <v>73</v>
      </c>
      <c r="Q111">
        <v>-510</v>
      </c>
      <c r="R111" t="s">
        <v>73</v>
      </c>
      <c r="U111" t="s">
        <v>226</v>
      </c>
      <c r="V111" t="s">
        <v>306</v>
      </c>
      <c r="W111" t="s">
        <v>228</v>
      </c>
      <c r="X111" t="s">
        <v>229</v>
      </c>
      <c r="Y111" t="s">
        <v>127</v>
      </c>
      <c r="AD111" t="s">
        <v>73</v>
      </c>
      <c r="AE111">
        <v>-510</v>
      </c>
      <c r="AF111">
        <v>42516986</v>
      </c>
      <c r="AG111" s="73">
        <v>45375.590277777781</v>
      </c>
      <c r="AH111" t="s">
        <v>226</v>
      </c>
      <c r="AI111" t="s">
        <v>306</v>
      </c>
      <c r="AJ111" t="s">
        <v>228</v>
      </c>
      <c r="AK111" t="s">
        <v>229</v>
      </c>
      <c r="AL111" t="s">
        <v>127</v>
      </c>
      <c r="AP111" t="s">
        <v>230</v>
      </c>
      <c r="AQ111" t="s">
        <v>231</v>
      </c>
      <c r="AT111" t="s">
        <v>232</v>
      </c>
      <c r="AU111">
        <v>-99</v>
      </c>
      <c r="AV111" t="s">
        <v>73</v>
      </c>
      <c r="AW111">
        <v>-510</v>
      </c>
      <c r="AX111">
        <v>42516986</v>
      </c>
      <c r="AY111" s="73">
        <v>45375.590277777781</v>
      </c>
      <c r="AZ111" t="s">
        <v>226</v>
      </c>
      <c r="BA111" t="s">
        <v>306</v>
      </c>
      <c r="BB111" t="s">
        <v>228</v>
      </c>
      <c r="BC111" t="s">
        <v>229</v>
      </c>
      <c r="BD111" t="s">
        <v>127</v>
      </c>
      <c r="BI111" t="s">
        <v>233</v>
      </c>
      <c r="BJ111" t="s">
        <v>0</v>
      </c>
      <c r="BK111">
        <v>42516982</v>
      </c>
      <c r="BN111" t="s">
        <v>73</v>
      </c>
      <c r="BR111">
        <v>-510</v>
      </c>
      <c r="BS111">
        <v>42516986</v>
      </c>
      <c r="BT111" s="73">
        <v>45375.590277777781</v>
      </c>
      <c r="BU111" t="s">
        <v>226</v>
      </c>
      <c r="BV111" t="s">
        <v>306</v>
      </c>
      <c r="BW111" t="s">
        <v>228</v>
      </c>
      <c r="CH111" t="s">
        <v>229</v>
      </c>
      <c r="CI111" t="s">
        <v>127</v>
      </c>
      <c r="CJ111" t="s">
        <v>226</v>
      </c>
      <c r="CK111" t="s">
        <v>306</v>
      </c>
      <c r="CL111" t="s">
        <v>228</v>
      </c>
      <c r="CM111" t="s">
        <v>234</v>
      </c>
      <c r="CN111" t="s">
        <v>73</v>
      </c>
      <c r="CO111">
        <v>-510</v>
      </c>
      <c r="CP111">
        <v>42516986</v>
      </c>
      <c r="CQ111" s="73">
        <v>45375.590277777781</v>
      </c>
      <c r="CR111" t="s">
        <v>229</v>
      </c>
      <c r="CS111" t="s">
        <v>127</v>
      </c>
      <c r="CU111" t="s">
        <v>225</v>
      </c>
    </row>
    <row r="112" spans="1:99">
      <c r="A112" t="s">
        <v>131</v>
      </c>
      <c r="B112" t="s">
        <v>90</v>
      </c>
      <c r="J112" t="s">
        <v>225</v>
      </c>
      <c r="K112" t="s">
        <v>225</v>
      </c>
      <c r="M112" s="73">
        <v>45375.590277777781</v>
      </c>
      <c r="N112">
        <v>42516979</v>
      </c>
      <c r="O112">
        <v>-124.7</v>
      </c>
      <c r="P112" t="s">
        <v>73</v>
      </c>
      <c r="Q112">
        <v>-124.7</v>
      </c>
      <c r="R112" t="s">
        <v>73</v>
      </c>
      <c r="U112" t="s">
        <v>226</v>
      </c>
      <c r="V112" t="s">
        <v>306</v>
      </c>
      <c r="W112" t="s">
        <v>228</v>
      </c>
      <c r="X112" t="s">
        <v>229</v>
      </c>
      <c r="Y112" t="s">
        <v>131</v>
      </c>
      <c r="AD112" t="s">
        <v>73</v>
      </c>
      <c r="AE112">
        <v>-124.7</v>
      </c>
      <c r="AF112">
        <v>42516979</v>
      </c>
      <c r="AG112" s="73">
        <v>45375.590277777781</v>
      </c>
      <c r="AH112" t="s">
        <v>226</v>
      </c>
      <c r="AI112" t="s">
        <v>306</v>
      </c>
      <c r="AJ112" t="s">
        <v>228</v>
      </c>
      <c r="AK112" t="s">
        <v>229</v>
      </c>
      <c r="AL112" t="s">
        <v>131</v>
      </c>
      <c r="AP112" t="s">
        <v>230</v>
      </c>
      <c r="AQ112" t="s">
        <v>231</v>
      </c>
      <c r="AT112" t="s">
        <v>232</v>
      </c>
      <c r="AU112">
        <v>-99</v>
      </c>
      <c r="AV112" t="s">
        <v>73</v>
      </c>
      <c r="AW112">
        <v>-124.7</v>
      </c>
      <c r="AX112">
        <v>42516979</v>
      </c>
      <c r="AY112" s="73">
        <v>45375.590277777781</v>
      </c>
      <c r="AZ112" t="s">
        <v>226</v>
      </c>
      <c r="BA112" t="s">
        <v>306</v>
      </c>
      <c r="BB112" t="s">
        <v>228</v>
      </c>
      <c r="BC112" t="s">
        <v>229</v>
      </c>
      <c r="BD112" t="s">
        <v>131</v>
      </c>
      <c r="BI112" t="s">
        <v>233</v>
      </c>
      <c r="BJ112" t="s">
        <v>0</v>
      </c>
      <c r="BK112">
        <v>42516975</v>
      </c>
      <c r="BN112" t="s">
        <v>73</v>
      </c>
      <c r="BR112">
        <v>-124.7</v>
      </c>
      <c r="BS112">
        <v>42516979</v>
      </c>
      <c r="BT112" s="73">
        <v>45375.590277777781</v>
      </c>
      <c r="BU112" t="s">
        <v>226</v>
      </c>
      <c r="BV112" t="s">
        <v>306</v>
      </c>
      <c r="BW112" t="s">
        <v>228</v>
      </c>
      <c r="CH112" t="s">
        <v>229</v>
      </c>
      <c r="CI112" t="s">
        <v>131</v>
      </c>
      <c r="CJ112" t="s">
        <v>226</v>
      </c>
      <c r="CK112" t="s">
        <v>306</v>
      </c>
      <c r="CL112" t="s">
        <v>228</v>
      </c>
      <c r="CM112" t="s">
        <v>234</v>
      </c>
      <c r="CN112" t="s">
        <v>73</v>
      </c>
      <c r="CO112">
        <v>-124.7</v>
      </c>
      <c r="CP112">
        <v>42516979</v>
      </c>
      <c r="CQ112" s="73">
        <v>45375.590277777781</v>
      </c>
      <c r="CR112" t="s">
        <v>229</v>
      </c>
      <c r="CS112" t="s">
        <v>131</v>
      </c>
      <c r="CU112" t="s">
        <v>225</v>
      </c>
    </row>
    <row r="113" spans="1:99">
      <c r="A113" t="s">
        <v>133</v>
      </c>
      <c r="B113" t="s">
        <v>90</v>
      </c>
      <c r="J113" t="s">
        <v>225</v>
      </c>
      <c r="K113" t="s">
        <v>225</v>
      </c>
      <c r="M113" s="73">
        <v>45375.590277777781</v>
      </c>
      <c r="N113">
        <v>42516972</v>
      </c>
      <c r="O113">
        <v>-447</v>
      </c>
      <c r="P113" t="s">
        <v>73</v>
      </c>
      <c r="Q113">
        <v>-447</v>
      </c>
      <c r="R113" t="s">
        <v>73</v>
      </c>
      <c r="U113" t="s">
        <v>226</v>
      </c>
      <c r="V113" t="s">
        <v>306</v>
      </c>
      <c r="W113" t="s">
        <v>228</v>
      </c>
      <c r="X113" t="s">
        <v>229</v>
      </c>
      <c r="Y113" t="s">
        <v>133</v>
      </c>
      <c r="AD113" t="s">
        <v>73</v>
      </c>
      <c r="AE113">
        <v>-447</v>
      </c>
      <c r="AF113">
        <v>42516972</v>
      </c>
      <c r="AG113" s="73">
        <v>45375.590277777781</v>
      </c>
      <c r="AH113" t="s">
        <v>226</v>
      </c>
      <c r="AI113" t="s">
        <v>306</v>
      </c>
      <c r="AJ113" t="s">
        <v>228</v>
      </c>
      <c r="AK113" t="s">
        <v>229</v>
      </c>
      <c r="AL113" t="s">
        <v>133</v>
      </c>
      <c r="AP113" t="s">
        <v>230</v>
      </c>
      <c r="AQ113" t="s">
        <v>231</v>
      </c>
      <c r="AT113" t="s">
        <v>232</v>
      </c>
      <c r="AU113">
        <v>-99</v>
      </c>
      <c r="AV113" t="s">
        <v>73</v>
      </c>
      <c r="AW113">
        <v>-447</v>
      </c>
      <c r="AX113">
        <v>42516972</v>
      </c>
      <c r="AY113" s="73">
        <v>45375.590277777781</v>
      </c>
      <c r="AZ113" t="s">
        <v>226</v>
      </c>
      <c r="BA113" t="s">
        <v>306</v>
      </c>
      <c r="BB113" t="s">
        <v>228</v>
      </c>
      <c r="BC113" t="s">
        <v>229</v>
      </c>
      <c r="BD113" t="s">
        <v>133</v>
      </c>
      <c r="BI113" t="s">
        <v>233</v>
      </c>
      <c r="BJ113" t="s">
        <v>0</v>
      </c>
      <c r="BK113">
        <v>42516968</v>
      </c>
      <c r="BN113" t="s">
        <v>73</v>
      </c>
      <c r="BR113">
        <v>-447</v>
      </c>
      <c r="BS113">
        <v>42516972</v>
      </c>
      <c r="BT113" s="73">
        <v>45375.590277777781</v>
      </c>
      <c r="BU113" t="s">
        <v>226</v>
      </c>
      <c r="BV113" t="s">
        <v>306</v>
      </c>
      <c r="BW113" t="s">
        <v>228</v>
      </c>
      <c r="CH113" t="s">
        <v>229</v>
      </c>
      <c r="CI113" t="s">
        <v>133</v>
      </c>
      <c r="CJ113" t="s">
        <v>226</v>
      </c>
      <c r="CK113" t="s">
        <v>306</v>
      </c>
      <c r="CL113" t="s">
        <v>228</v>
      </c>
      <c r="CM113" t="s">
        <v>234</v>
      </c>
      <c r="CN113" t="s">
        <v>73</v>
      </c>
      <c r="CO113">
        <v>-447</v>
      </c>
      <c r="CP113">
        <v>42516972</v>
      </c>
      <c r="CQ113" s="73">
        <v>45375.590277777781</v>
      </c>
      <c r="CR113" t="s">
        <v>229</v>
      </c>
      <c r="CS113" t="s">
        <v>133</v>
      </c>
      <c r="CU113" t="s">
        <v>225</v>
      </c>
    </row>
    <row r="114" spans="1:99">
      <c r="A114" t="s">
        <v>87</v>
      </c>
      <c r="B114" t="s">
        <v>90</v>
      </c>
      <c r="J114" t="s">
        <v>225</v>
      </c>
      <c r="K114" t="s">
        <v>225</v>
      </c>
      <c r="M114" s="73">
        <v>45375.590277777781</v>
      </c>
      <c r="N114">
        <v>42516965</v>
      </c>
      <c r="O114">
        <v>-51</v>
      </c>
      <c r="P114" t="s">
        <v>73</v>
      </c>
      <c r="Q114">
        <v>-51</v>
      </c>
      <c r="R114" t="s">
        <v>73</v>
      </c>
      <c r="U114" t="s">
        <v>226</v>
      </c>
      <c r="V114" t="s">
        <v>306</v>
      </c>
      <c r="W114" t="s">
        <v>228</v>
      </c>
      <c r="X114" t="s">
        <v>229</v>
      </c>
      <c r="Y114" t="s">
        <v>87</v>
      </c>
      <c r="AD114" t="s">
        <v>73</v>
      </c>
      <c r="AE114">
        <v>-51</v>
      </c>
      <c r="AF114">
        <v>42516965</v>
      </c>
      <c r="AG114" s="73">
        <v>45375.590277777781</v>
      </c>
      <c r="AH114" t="s">
        <v>226</v>
      </c>
      <c r="AI114" t="s">
        <v>306</v>
      </c>
      <c r="AJ114" t="s">
        <v>228</v>
      </c>
      <c r="AK114" t="s">
        <v>229</v>
      </c>
      <c r="AL114" t="s">
        <v>87</v>
      </c>
      <c r="AP114" t="s">
        <v>230</v>
      </c>
      <c r="AQ114" t="s">
        <v>231</v>
      </c>
      <c r="AT114" t="s">
        <v>232</v>
      </c>
      <c r="AU114">
        <v>-99</v>
      </c>
      <c r="AV114" t="s">
        <v>73</v>
      </c>
      <c r="AW114">
        <v>-51</v>
      </c>
      <c r="AX114">
        <v>42516965</v>
      </c>
      <c r="AY114" s="73">
        <v>45375.590277777781</v>
      </c>
      <c r="AZ114" t="s">
        <v>226</v>
      </c>
      <c r="BA114" t="s">
        <v>306</v>
      </c>
      <c r="BB114" t="s">
        <v>228</v>
      </c>
      <c r="BC114" t="s">
        <v>229</v>
      </c>
      <c r="BD114" t="s">
        <v>87</v>
      </c>
      <c r="BI114" t="s">
        <v>233</v>
      </c>
      <c r="BJ114" t="s">
        <v>0</v>
      </c>
      <c r="BK114">
        <v>42516961</v>
      </c>
      <c r="BN114" t="s">
        <v>73</v>
      </c>
      <c r="BR114">
        <v>-51</v>
      </c>
      <c r="BS114">
        <v>42516965</v>
      </c>
      <c r="BT114" s="73">
        <v>45375.590277777781</v>
      </c>
      <c r="BU114" t="s">
        <v>226</v>
      </c>
      <c r="BV114" t="s">
        <v>306</v>
      </c>
      <c r="BW114" t="s">
        <v>228</v>
      </c>
      <c r="CH114" t="s">
        <v>229</v>
      </c>
      <c r="CI114" t="s">
        <v>87</v>
      </c>
      <c r="CJ114" t="s">
        <v>226</v>
      </c>
      <c r="CK114" t="s">
        <v>306</v>
      </c>
      <c r="CL114" t="s">
        <v>228</v>
      </c>
      <c r="CM114" t="s">
        <v>234</v>
      </c>
      <c r="CN114" t="s">
        <v>73</v>
      </c>
      <c r="CO114">
        <v>-51</v>
      </c>
      <c r="CP114">
        <v>42516965</v>
      </c>
      <c r="CQ114" s="73">
        <v>45375.590277777781</v>
      </c>
      <c r="CR114" t="s">
        <v>229</v>
      </c>
      <c r="CS114" t="s">
        <v>87</v>
      </c>
      <c r="CU114" t="s">
        <v>225</v>
      </c>
    </row>
    <row r="115" spans="1:99">
      <c r="A115" t="s">
        <v>48</v>
      </c>
      <c r="B115" t="s">
        <v>92</v>
      </c>
      <c r="J115" t="s">
        <v>225</v>
      </c>
      <c r="K115" t="s">
        <v>225</v>
      </c>
      <c r="M115" s="73">
        <v>45375.586805555555</v>
      </c>
      <c r="N115">
        <v>42531776</v>
      </c>
      <c r="O115">
        <v>-302</v>
      </c>
      <c r="P115" t="s">
        <v>45</v>
      </c>
      <c r="Q115">
        <v>-302</v>
      </c>
      <c r="R115" t="s">
        <v>45</v>
      </c>
      <c r="U115" t="s">
        <v>226</v>
      </c>
      <c r="V115" t="s">
        <v>307</v>
      </c>
      <c r="W115" t="s">
        <v>228</v>
      </c>
      <c r="X115" t="s">
        <v>229</v>
      </c>
      <c r="Y115" t="s">
        <v>48</v>
      </c>
      <c r="AD115" t="s">
        <v>45</v>
      </c>
      <c r="AE115">
        <v>-302</v>
      </c>
      <c r="AF115">
        <v>42531776</v>
      </c>
      <c r="AG115" s="73">
        <v>45375.586805555555</v>
      </c>
      <c r="AH115" t="s">
        <v>226</v>
      </c>
      <c r="AI115" t="s">
        <v>307</v>
      </c>
      <c r="AJ115" t="s">
        <v>228</v>
      </c>
      <c r="AK115" t="s">
        <v>229</v>
      </c>
      <c r="AL115" t="s">
        <v>48</v>
      </c>
      <c r="AP115" t="s">
        <v>230</v>
      </c>
      <c r="AQ115" t="s">
        <v>231</v>
      </c>
      <c r="AT115" t="s">
        <v>232</v>
      </c>
      <c r="AU115">
        <v>-99</v>
      </c>
      <c r="AV115" t="s">
        <v>45</v>
      </c>
      <c r="AW115">
        <v>-302</v>
      </c>
      <c r="AX115">
        <v>42531776</v>
      </c>
      <c r="AY115" s="73">
        <v>45375.586805555555</v>
      </c>
      <c r="AZ115" t="s">
        <v>226</v>
      </c>
      <c r="BA115" t="s">
        <v>307</v>
      </c>
      <c r="BB115" t="s">
        <v>228</v>
      </c>
      <c r="BC115" t="s">
        <v>229</v>
      </c>
      <c r="BD115" t="s">
        <v>48</v>
      </c>
      <c r="BI115" t="s">
        <v>233</v>
      </c>
      <c r="BJ115" t="s">
        <v>0</v>
      </c>
      <c r="BK115">
        <v>42531753</v>
      </c>
      <c r="BN115" t="s">
        <v>45</v>
      </c>
      <c r="BR115">
        <v>-302</v>
      </c>
      <c r="BS115">
        <v>42531776</v>
      </c>
      <c r="BT115" s="73">
        <v>45375.586805555555</v>
      </c>
      <c r="BU115" t="s">
        <v>226</v>
      </c>
      <c r="BV115" t="s">
        <v>307</v>
      </c>
      <c r="BW115" t="s">
        <v>228</v>
      </c>
      <c r="CH115" t="s">
        <v>229</v>
      </c>
      <c r="CI115" t="s">
        <v>48</v>
      </c>
      <c r="CJ115" t="s">
        <v>226</v>
      </c>
      <c r="CK115" t="s">
        <v>307</v>
      </c>
      <c r="CL115" t="s">
        <v>228</v>
      </c>
      <c r="CM115" t="s">
        <v>234</v>
      </c>
      <c r="CN115" t="s">
        <v>45</v>
      </c>
      <c r="CO115">
        <v>-302</v>
      </c>
      <c r="CP115">
        <v>42531776</v>
      </c>
      <c r="CQ115" s="73">
        <v>45375.586805555555</v>
      </c>
      <c r="CR115" t="s">
        <v>229</v>
      </c>
      <c r="CS115" t="s">
        <v>48</v>
      </c>
      <c r="CU115" t="s">
        <v>225</v>
      </c>
    </row>
    <row r="116" spans="1:99">
      <c r="A116" t="s">
        <v>93</v>
      </c>
      <c r="B116" t="s">
        <v>98</v>
      </c>
      <c r="J116" t="s">
        <v>225</v>
      </c>
      <c r="K116" t="s">
        <v>225</v>
      </c>
      <c r="M116" s="73">
        <v>45375.586805555555</v>
      </c>
      <c r="N116">
        <v>42531775</v>
      </c>
      <c r="O116">
        <v>-15</v>
      </c>
      <c r="P116" t="s">
        <v>73</v>
      </c>
      <c r="Q116">
        <v>-15</v>
      </c>
      <c r="R116" t="s">
        <v>73</v>
      </c>
      <c r="U116" t="s">
        <v>226</v>
      </c>
      <c r="V116" t="s">
        <v>307</v>
      </c>
      <c r="W116" t="s">
        <v>228</v>
      </c>
      <c r="X116" t="s">
        <v>229</v>
      </c>
      <c r="Y116" t="s">
        <v>93</v>
      </c>
      <c r="AD116" t="s">
        <v>73</v>
      </c>
      <c r="AE116">
        <v>-15</v>
      </c>
      <c r="AF116">
        <v>42531775</v>
      </c>
      <c r="AG116" s="73">
        <v>45375.586805555555</v>
      </c>
      <c r="AH116" t="s">
        <v>226</v>
      </c>
      <c r="AI116" t="s">
        <v>307</v>
      </c>
      <c r="AJ116" t="s">
        <v>228</v>
      </c>
      <c r="AK116" t="s">
        <v>229</v>
      </c>
      <c r="AL116" t="s">
        <v>93</v>
      </c>
      <c r="AP116" t="s">
        <v>230</v>
      </c>
      <c r="AQ116" t="s">
        <v>231</v>
      </c>
      <c r="AT116" t="s">
        <v>232</v>
      </c>
      <c r="AU116">
        <v>-99</v>
      </c>
      <c r="AV116" t="s">
        <v>73</v>
      </c>
      <c r="AW116">
        <v>-15</v>
      </c>
      <c r="AX116">
        <v>42531775</v>
      </c>
      <c r="AY116" s="73">
        <v>45375.586805555555</v>
      </c>
      <c r="AZ116" t="s">
        <v>226</v>
      </c>
      <c r="BA116" t="s">
        <v>307</v>
      </c>
      <c r="BB116" t="s">
        <v>228</v>
      </c>
      <c r="BC116" t="s">
        <v>229</v>
      </c>
      <c r="BD116" t="s">
        <v>93</v>
      </c>
      <c r="BI116" t="s">
        <v>233</v>
      </c>
      <c r="BJ116" t="s">
        <v>0</v>
      </c>
      <c r="BK116">
        <v>42531753</v>
      </c>
      <c r="BN116" t="s">
        <v>73</v>
      </c>
      <c r="BR116">
        <v>-15</v>
      </c>
      <c r="BS116">
        <v>42531775</v>
      </c>
      <c r="BT116" s="73">
        <v>45375.586805555555</v>
      </c>
      <c r="BU116" t="s">
        <v>226</v>
      </c>
      <c r="BV116" t="s">
        <v>307</v>
      </c>
      <c r="BW116" t="s">
        <v>228</v>
      </c>
      <c r="CH116" t="s">
        <v>229</v>
      </c>
      <c r="CI116" t="s">
        <v>93</v>
      </c>
      <c r="CJ116" t="s">
        <v>226</v>
      </c>
      <c r="CK116" t="s">
        <v>307</v>
      </c>
      <c r="CL116" t="s">
        <v>228</v>
      </c>
      <c r="CM116" t="s">
        <v>234</v>
      </c>
      <c r="CN116" t="s">
        <v>73</v>
      </c>
      <c r="CO116">
        <v>-15</v>
      </c>
      <c r="CP116">
        <v>42531775</v>
      </c>
      <c r="CQ116" s="73">
        <v>45375.586805555555</v>
      </c>
      <c r="CR116" t="s">
        <v>229</v>
      </c>
      <c r="CS116" t="s">
        <v>93</v>
      </c>
      <c r="CU116" t="s">
        <v>225</v>
      </c>
    </row>
    <row r="117" spans="1:99">
      <c r="A117" t="s">
        <v>109</v>
      </c>
      <c r="B117" t="s">
        <v>98</v>
      </c>
      <c r="J117" t="s">
        <v>225</v>
      </c>
      <c r="K117" t="s">
        <v>225</v>
      </c>
      <c r="M117" s="73">
        <v>45375.586805555555</v>
      </c>
      <c r="N117">
        <v>42531774</v>
      </c>
      <c r="O117">
        <v>300</v>
      </c>
      <c r="P117" t="s">
        <v>104</v>
      </c>
      <c r="Q117">
        <v>300</v>
      </c>
      <c r="R117" t="s">
        <v>104</v>
      </c>
      <c r="S117">
        <v>15</v>
      </c>
      <c r="T117" t="s">
        <v>73</v>
      </c>
      <c r="U117" t="s">
        <v>226</v>
      </c>
      <c r="V117" t="s">
        <v>307</v>
      </c>
      <c r="W117" t="s">
        <v>235</v>
      </c>
      <c r="X117" t="s">
        <v>229</v>
      </c>
      <c r="Y117" t="s">
        <v>109</v>
      </c>
      <c r="AD117" t="s">
        <v>104</v>
      </c>
      <c r="AE117">
        <v>300</v>
      </c>
      <c r="AF117">
        <v>42531774</v>
      </c>
      <c r="AG117" s="73">
        <v>45375.586805555555</v>
      </c>
      <c r="AH117" t="s">
        <v>226</v>
      </c>
      <c r="AI117" t="s">
        <v>307</v>
      </c>
      <c r="AJ117" t="s">
        <v>235</v>
      </c>
      <c r="AK117" t="s">
        <v>229</v>
      </c>
      <c r="AL117" t="s">
        <v>109</v>
      </c>
      <c r="AP117" t="s">
        <v>230</v>
      </c>
      <c r="AQ117" t="s">
        <v>231</v>
      </c>
      <c r="AT117" t="s">
        <v>232</v>
      </c>
      <c r="AU117">
        <v>-99</v>
      </c>
      <c r="AV117" t="s">
        <v>104</v>
      </c>
      <c r="AW117">
        <v>300</v>
      </c>
      <c r="AX117">
        <v>42531774</v>
      </c>
      <c r="AY117" s="73">
        <v>45375.586805555555</v>
      </c>
      <c r="AZ117" t="s">
        <v>226</v>
      </c>
      <c r="BA117" t="s">
        <v>307</v>
      </c>
      <c r="BB117" t="s">
        <v>235</v>
      </c>
      <c r="BC117" t="s">
        <v>229</v>
      </c>
      <c r="BD117" t="s">
        <v>109</v>
      </c>
      <c r="BI117" t="s">
        <v>233</v>
      </c>
      <c r="BJ117" t="s">
        <v>0</v>
      </c>
      <c r="BK117">
        <v>42531753</v>
      </c>
      <c r="BN117" t="s">
        <v>104</v>
      </c>
      <c r="BO117">
        <v>42531759</v>
      </c>
      <c r="BR117">
        <v>300</v>
      </c>
      <c r="BS117">
        <v>42531774</v>
      </c>
      <c r="BT117" s="73">
        <v>45375.586805555555</v>
      </c>
      <c r="BU117" t="s">
        <v>226</v>
      </c>
      <c r="BV117" t="s">
        <v>307</v>
      </c>
      <c r="BW117" t="s">
        <v>235</v>
      </c>
      <c r="CH117" t="s">
        <v>229</v>
      </c>
      <c r="CI117" t="s">
        <v>109</v>
      </c>
      <c r="CJ117" t="s">
        <v>226</v>
      </c>
      <c r="CK117" t="s">
        <v>307</v>
      </c>
      <c r="CL117" t="s">
        <v>235</v>
      </c>
      <c r="CM117" t="s">
        <v>236</v>
      </c>
      <c r="CN117" t="s">
        <v>104</v>
      </c>
      <c r="CO117">
        <v>300</v>
      </c>
      <c r="CP117">
        <v>42531774</v>
      </c>
      <c r="CQ117" s="73">
        <v>45375.586805555555</v>
      </c>
      <c r="CR117" t="s">
        <v>229</v>
      </c>
      <c r="CS117" t="s">
        <v>109</v>
      </c>
      <c r="CU117" t="s">
        <v>225</v>
      </c>
    </row>
    <row r="118" spans="1:99">
      <c r="A118" t="s">
        <v>111</v>
      </c>
      <c r="B118" t="s">
        <v>77</v>
      </c>
      <c r="J118" t="s">
        <v>225</v>
      </c>
      <c r="K118" t="s">
        <v>225</v>
      </c>
      <c r="M118" s="73">
        <v>45375.586805555555</v>
      </c>
      <c r="N118">
        <v>42531773</v>
      </c>
      <c r="O118">
        <v>2</v>
      </c>
      <c r="P118" t="s">
        <v>45</v>
      </c>
      <c r="Q118">
        <v>2</v>
      </c>
      <c r="R118" t="s">
        <v>45</v>
      </c>
      <c r="U118" t="s">
        <v>226</v>
      </c>
      <c r="V118" t="s">
        <v>307</v>
      </c>
      <c r="W118" t="s">
        <v>237</v>
      </c>
      <c r="X118" t="s">
        <v>229</v>
      </c>
      <c r="Y118" t="s">
        <v>111</v>
      </c>
      <c r="AD118" t="s">
        <v>45</v>
      </c>
      <c r="AE118">
        <v>2</v>
      </c>
      <c r="AF118">
        <v>42531773</v>
      </c>
      <c r="AG118" s="73">
        <v>45375.586805555555</v>
      </c>
      <c r="AH118" t="s">
        <v>226</v>
      </c>
      <c r="AI118" t="s">
        <v>307</v>
      </c>
      <c r="AJ118" t="s">
        <v>237</v>
      </c>
      <c r="AK118" t="s">
        <v>229</v>
      </c>
      <c r="AL118" t="s">
        <v>111</v>
      </c>
      <c r="AP118" t="s">
        <v>230</v>
      </c>
      <c r="AQ118" t="s">
        <v>231</v>
      </c>
      <c r="AT118" t="s">
        <v>232</v>
      </c>
      <c r="AU118">
        <v>-99</v>
      </c>
      <c r="AV118" t="s">
        <v>45</v>
      </c>
      <c r="AW118">
        <v>2</v>
      </c>
      <c r="AX118">
        <v>42531773</v>
      </c>
      <c r="AY118" s="73">
        <v>45375.586805555555</v>
      </c>
      <c r="AZ118" t="s">
        <v>226</v>
      </c>
      <c r="BA118" t="s">
        <v>307</v>
      </c>
      <c r="BB118" t="s">
        <v>237</v>
      </c>
      <c r="BC118" t="s">
        <v>229</v>
      </c>
      <c r="BD118" t="s">
        <v>111</v>
      </c>
      <c r="BI118" t="s">
        <v>233</v>
      </c>
      <c r="BJ118" t="s">
        <v>0</v>
      </c>
      <c r="BK118">
        <v>42531753</v>
      </c>
      <c r="BN118" t="s">
        <v>45</v>
      </c>
      <c r="BO118">
        <v>42531768</v>
      </c>
      <c r="BR118">
        <v>2</v>
      </c>
      <c r="BS118">
        <v>42531773</v>
      </c>
      <c r="BT118" s="73">
        <v>45375.586805555555</v>
      </c>
      <c r="BU118" t="s">
        <v>226</v>
      </c>
      <c r="BV118" t="s">
        <v>307</v>
      </c>
      <c r="BW118" t="s">
        <v>237</v>
      </c>
      <c r="CH118" t="s">
        <v>229</v>
      </c>
      <c r="CI118" t="s">
        <v>111</v>
      </c>
      <c r="CJ118" t="s">
        <v>226</v>
      </c>
      <c r="CK118" t="s">
        <v>307</v>
      </c>
      <c r="CL118" t="s">
        <v>237</v>
      </c>
      <c r="CM118" t="s">
        <v>236</v>
      </c>
      <c r="CN118" t="s">
        <v>45</v>
      </c>
      <c r="CO118">
        <v>2</v>
      </c>
      <c r="CP118">
        <v>42531773</v>
      </c>
      <c r="CQ118" s="73">
        <v>45375.586805555555</v>
      </c>
      <c r="CR118" t="s">
        <v>229</v>
      </c>
      <c r="CS118" t="s">
        <v>111</v>
      </c>
      <c r="CU118" t="s">
        <v>225</v>
      </c>
    </row>
    <row r="119" spans="1:99">
      <c r="A119" t="s">
        <v>42</v>
      </c>
      <c r="B119" t="s">
        <v>92</v>
      </c>
      <c r="J119" t="s">
        <v>225</v>
      </c>
      <c r="K119" t="s">
        <v>225</v>
      </c>
      <c r="M119" s="73">
        <v>45375.578969907408</v>
      </c>
      <c r="N119">
        <v>42514642</v>
      </c>
      <c r="O119">
        <v>-3075</v>
      </c>
      <c r="P119" t="s">
        <v>45</v>
      </c>
      <c r="Q119">
        <v>-3075</v>
      </c>
      <c r="R119" t="s">
        <v>45</v>
      </c>
      <c r="U119" t="s">
        <v>226</v>
      </c>
      <c r="V119" t="s">
        <v>308</v>
      </c>
      <c r="W119" t="s">
        <v>228</v>
      </c>
      <c r="X119" t="s">
        <v>229</v>
      </c>
      <c r="Y119" t="s">
        <v>42</v>
      </c>
      <c r="AD119" t="s">
        <v>45</v>
      </c>
      <c r="AE119">
        <v>-3075</v>
      </c>
      <c r="AF119">
        <v>42514642</v>
      </c>
      <c r="AG119" s="73">
        <v>45375.578969907408</v>
      </c>
      <c r="AH119" t="s">
        <v>226</v>
      </c>
      <c r="AI119" t="s">
        <v>308</v>
      </c>
      <c r="AJ119" t="s">
        <v>228</v>
      </c>
      <c r="AK119" t="s">
        <v>229</v>
      </c>
      <c r="AL119" t="s">
        <v>42</v>
      </c>
      <c r="AP119" t="s">
        <v>230</v>
      </c>
      <c r="AQ119" t="s">
        <v>231</v>
      </c>
      <c r="AT119" t="s">
        <v>232</v>
      </c>
      <c r="AU119">
        <v>-99</v>
      </c>
      <c r="AV119" t="s">
        <v>45</v>
      </c>
      <c r="AW119">
        <v>-3075</v>
      </c>
      <c r="AX119">
        <v>42514642</v>
      </c>
      <c r="AY119" s="73">
        <v>45375.578969907408</v>
      </c>
      <c r="AZ119" t="s">
        <v>226</v>
      </c>
      <c r="BA119" t="s">
        <v>308</v>
      </c>
      <c r="BB119" t="s">
        <v>228</v>
      </c>
      <c r="BC119" t="s">
        <v>229</v>
      </c>
      <c r="BD119" t="s">
        <v>42</v>
      </c>
      <c r="BI119" t="s">
        <v>233</v>
      </c>
      <c r="BJ119" t="s">
        <v>0</v>
      </c>
      <c r="BK119">
        <v>42514620</v>
      </c>
      <c r="BN119" t="s">
        <v>45</v>
      </c>
      <c r="BR119">
        <v>-3075</v>
      </c>
      <c r="BS119">
        <v>42514642</v>
      </c>
      <c r="BT119" s="73">
        <v>45375.578969907408</v>
      </c>
      <c r="BU119" t="s">
        <v>226</v>
      </c>
      <c r="BV119" t="s">
        <v>308</v>
      </c>
      <c r="BW119" t="s">
        <v>228</v>
      </c>
      <c r="CH119" t="s">
        <v>229</v>
      </c>
      <c r="CI119" t="s">
        <v>42</v>
      </c>
      <c r="CJ119" t="s">
        <v>226</v>
      </c>
      <c r="CK119" t="s">
        <v>308</v>
      </c>
      <c r="CL119" t="s">
        <v>228</v>
      </c>
      <c r="CM119" t="s">
        <v>234</v>
      </c>
      <c r="CN119" t="s">
        <v>45</v>
      </c>
      <c r="CO119">
        <v>-3075</v>
      </c>
      <c r="CP119">
        <v>42514642</v>
      </c>
      <c r="CQ119" s="73">
        <v>45375.578969907408</v>
      </c>
      <c r="CR119" t="s">
        <v>229</v>
      </c>
      <c r="CS119" t="s">
        <v>42</v>
      </c>
      <c r="CU119" t="s">
        <v>225</v>
      </c>
    </row>
    <row r="120" spans="1:99">
      <c r="A120" t="s">
        <v>99</v>
      </c>
      <c r="B120" t="s">
        <v>98</v>
      </c>
      <c r="J120" t="s">
        <v>225</v>
      </c>
      <c r="K120" t="s">
        <v>225</v>
      </c>
      <c r="M120" s="73">
        <v>45375.578969907408</v>
      </c>
      <c r="N120">
        <v>42514641</v>
      </c>
      <c r="O120">
        <v>-153.5</v>
      </c>
      <c r="P120" t="s">
        <v>73</v>
      </c>
      <c r="Q120">
        <v>-153.5</v>
      </c>
      <c r="R120" t="s">
        <v>73</v>
      </c>
      <c r="U120" t="s">
        <v>226</v>
      </c>
      <c r="V120" t="s">
        <v>308</v>
      </c>
      <c r="W120" t="s">
        <v>228</v>
      </c>
      <c r="X120" t="s">
        <v>229</v>
      </c>
      <c r="Y120" t="s">
        <v>99</v>
      </c>
      <c r="AD120" t="s">
        <v>73</v>
      </c>
      <c r="AE120">
        <v>-153.5</v>
      </c>
      <c r="AF120">
        <v>42514641</v>
      </c>
      <c r="AG120" s="73">
        <v>45375.578969907408</v>
      </c>
      <c r="AH120" t="s">
        <v>226</v>
      </c>
      <c r="AI120" t="s">
        <v>308</v>
      </c>
      <c r="AJ120" t="s">
        <v>228</v>
      </c>
      <c r="AK120" t="s">
        <v>229</v>
      </c>
      <c r="AL120" t="s">
        <v>99</v>
      </c>
      <c r="AP120" t="s">
        <v>230</v>
      </c>
      <c r="AQ120" t="s">
        <v>231</v>
      </c>
      <c r="AT120" t="s">
        <v>232</v>
      </c>
      <c r="AU120">
        <v>-99</v>
      </c>
      <c r="AV120" t="s">
        <v>73</v>
      </c>
      <c r="AW120">
        <v>-153.5</v>
      </c>
      <c r="AX120">
        <v>42514641</v>
      </c>
      <c r="AY120" s="73">
        <v>45375.578969907408</v>
      </c>
      <c r="AZ120" t="s">
        <v>226</v>
      </c>
      <c r="BA120" t="s">
        <v>308</v>
      </c>
      <c r="BB120" t="s">
        <v>228</v>
      </c>
      <c r="BC120" t="s">
        <v>229</v>
      </c>
      <c r="BD120" t="s">
        <v>99</v>
      </c>
      <c r="BI120" t="s">
        <v>233</v>
      </c>
      <c r="BJ120" t="s">
        <v>0</v>
      </c>
      <c r="BK120">
        <v>42514620</v>
      </c>
      <c r="BN120" t="s">
        <v>73</v>
      </c>
      <c r="BR120">
        <v>-153.5</v>
      </c>
      <c r="BS120">
        <v>42514641</v>
      </c>
      <c r="BT120" s="73">
        <v>45375.578969907408</v>
      </c>
      <c r="BU120" t="s">
        <v>226</v>
      </c>
      <c r="BV120" t="s">
        <v>308</v>
      </c>
      <c r="BW120" t="s">
        <v>228</v>
      </c>
      <c r="CH120" t="s">
        <v>229</v>
      </c>
      <c r="CI120" t="s">
        <v>99</v>
      </c>
      <c r="CJ120" t="s">
        <v>226</v>
      </c>
      <c r="CK120" t="s">
        <v>308</v>
      </c>
      <c r="CL120" t="s">
        <v>228</v>
      </c>
      <c r="CM120" t="s">
        <v>234</v>
      </c>
      <c r="CN120" t="s">
        <v>73</v>
      </c>
      <c r="CO120">
        <v>-153.5</v>
      </c>
      <c r="CP120">
        <v>42514641</v>
      </c>
      <c r="CQ120" s="73">
        <v>45375.578969907408</v>
      </c>
      <c r="CR120" t="s">
        <v>229</v>
      </c>
      <c r="CS120" t="s">
        <v>99</v>
      </c>
      <c r="CU120" t="s">
        <v>225</v>
      </c>
    </row>
    <row r="121" spans="1:99">
      <c r="A121" t="s">
        <v>103</v>
      </c>
      <c r="B121" t="s">
        <v>98</v>
      </c>
      <c r="J121" t="s">
        <v>225</v>
      </c>
      <c r="K121" t="s">
        <v>225</v>
      </c>
      <c r="M121" s="73">
        <v>45375.578969907408</v>
      </c>
      <c r="N121">
        <v>42514640</v>
      </c>
      <c r="O121">
        <v>3070</v>
      </c>
      <c r="P121" t="s">
        <v>104</v>
      </c>
      <c r="Q121">
        <v>3070</v>
      </c>
      <c r="R121" t="s">
        <v>104</v>
      </c>
      <c r="S121">
        <v>153.5</v>
      </c>
      <c r="T121" t="s">
        <v>73</v>
      </c>
      <c r="U121" t="s">
        <v>226</v>
      </c>
      <c r="V121" t="s">
        <v>308</v>
      </c>
      <c r="W121" t="s">
        <v>235</v>
      </c>
      <c r="X121" t="s">
        <v>229</v>
      </c>
      <c r="Y121" t="s">
        <v>103</v>
      </c>
      <c r="AD121" t="s">
        <v>104</v>
      </c>
      <c r="AE121">
        <v>3070</v>
      </c>
      <c r="AF121">
        <v>42514640</v>
      </c>
      <c r="AG121" s="73">
        <v>45375.578969907408</v>
      </c>
      <c r="AH121" t="s">
        <v>226</v>
      </c>
      <c r="AI121" t="s">
        <v>308</v>
      </c>
      <c r="AJ121" t="s">
        <v>235</v>
      </c>
      <c r="AK121" t="s">
        <v>229</v>
      </c>
      <c r="AL121" t="s">
        <v>103</v>
      </c>
      <c r="AP121" t="s">
        <v>230</v>
      </c>
      <c r="AQ121" t="s">
        <v>231</v>
      </c>
      <c r="AT121" t="s">
        <v>232</v>
      </c>
      <c r="AU121">
        <v>-99</v>
      </c>
      <c r="AV121" t="s">
        <v>104</v>
      </c>
      <c r="AW121">
        <v>3070</v>
      </c>
      <c r="AX121">
        <v>42514640</v>
      </c>
      <c r="AY121" s="73">
        <v>45375.578969907408</v>
      </c>
      <c r="AZ121" t="s">
        <v>226</v>
      </c>
      <c r="BA121" t="s">
        <v>308</v>
      </c>
      <c r="BB121" t="s">
        <v>235</v>
      </c>
      <c r="BC121" t="s">
        <v>229</v>
      </c>
      <c r="BD121" t="s">
        <v>103</v>
      </c>
      <c r="BI121" t="s">
        <v>233</v>
      </c>
      <c r="BJ121" t="s">
        <v>0</v>
      </c>
      <c r="BK121">
        <v>42514620</v>
      </c>
      <c r="BN121" t="s">
        <v>104</v>
      </c>
      <c r="BO121">
        <v>42514632</v>
      </c>
      <c r="BR121">
        <v>3070</v>
      </c>
      <c r="BS121">
        <v>42514640</v>
      </c>
      <c r="BT121" s="73">
        <v>45375.578969907408</v>
      </c>
      <c r="BU121" t="s">
        <v>226</v>
      </c>
      <c r="BV121" t="s">
        <v>308</v>
      </c>
      <c r="BW121" t="s">
        <v>235</v>
      </c>
      <c r="CH121" t="s">
        <v>229</v>
      </c>
      <c r="CI121" t="s">
        <v>103</v>
      </c>
      <c r="CJ121" t="s">
        <v>226</v>
      </c>
      <c r="CK121" t="s">
        <v>308</v>
      </c>
      <c r="CL121" t="s">
        <v>235</v>
      </c>
      <c r="CM121" t="s">
        <v>236</v>
      </c>
      <c r="CN121" t="s">
        <v>104</v>
      </c>
      <c r="CO121">
        <v>3070</v>
      </c>
      <c r="CP121">
        <v>42514640</v>
      </c>
      <c r="CQ121" s="73">
        <v>45375.578969907408</v>
      </c>
      <c r="CR121" t="s">
        <v>229</v>
      </c>
      <c r="CS121" t="s">
        <v>103</v>
      </c>
      <c r="CU121" t="s">
        <v>225</v>
      </c>
    </row>
    <row r="122" spans="1:99">
      <c r="A122" t="s">
        <v>111</v>
      </c>
      <c r="B122" t="s">
        <v>77</v>
      </c>
      <c r="J122" t="s">
        <v>225</v>
      </c>
      <c r="K122" t="s">
        <v>225</v>
      </c>
      <c r="M122" s="73">
        <v>45375.578969907408</v>
      </c>
      <c r="N122">
        <v>42514639</v>
      </c>
      <c r="O122">
        <v>5</v>
      </c>
      <c r="P122" t="s">
        <v>45</v>
      </c>
      <c r="Q122">
        <v>5</v>
      </c>
      <c r="R122" t="s">
        <v>45</v>
      </c>
      <c r="U122" t="s">
        <v>226</v>
      </c>
      <c r="V122" t="s">
        <v>308</v>
      </c>
      <c r="W122" t="s">
        <v>237</v>
      </c>
      <c r="X122" t="s">
        <v>229</v>
      </c>
      <c r="Y122" t="s">
        <v>111</v>
      </c>
      <c r="AD122" t="s">
        <v>45</v>
      </c>
      <c r="AE122">
        <v>5</v>
      </c>
      <c r="AF122">
        <v>42514639</v>
      </c>
      <c r="AG122" s="73">
        <v>45375.578969907408</v>
      </c>
      <c r="AH122" t="s">
        <v>226</v>
      </c>
      <c r="AI122" t="s">
        <v>308</v>
      </c>
      <c r="AJ122" t="s">
        <v>237</v>
      </c>
      <c r="AK122" t="s">
        <v>229</v>
      </c>
      <c r="AL122" t="s">
        <v>111</v>
      </c>
      <c r="AP122" t="s">
        <v>230</v>
      </c>
      <c r="AQ122" t="s">
        <v>231</v>
      </c>
      <c r="AT122" t="s">
        <v>232</v>
      </c>
      <c r="AU122">
        <v>-99</v>
      </c>
      <c r="AV122" t="s">
        <v>45</v>
      </c>
      <c r="AW122">
        <v>5</v>
      </c>
      <c r="AX122">
        <v>42514639</v>
      </c>
      <c r="AY122" s="73">
        <v>45375.578969907408</v>
      </c>
      <c r="AZ122" t="s">
        <v>226</v>
      </c>
      <c r="BA122" t="s">
        <v>308</v>
      </c>
      <c r="BB122" t="s">
        <v>237</v>
      </c>
      <c r="BC122" t="s">
        <v>229</v>
      </c>
      <c r="BD122" t="s">
        <v>111</v>
      </c>
      <c r="BI122" t="s">
        <v>233</v>
      </c>
      <c r="BJ122" t="s">
        <v>0</v>
      </c>
      <c r="BK122">
        <v>42514620</v>
      </c>
      <c r="BN122" t="s">
        <v>45</v>
      </c>
      <c r="BO122">
        <v>42514634</v>
      </c>
      <c r="BR122">
        <v>5</v>
      </c>
      <c r="BS122">
        <v>42514639</v>
      </c>
      <c r="BT122" s="73">
        <v>45375.578969907408</v>
      </c>
      <c r="BU122" t="s">
        <v>226</v>
      </c>
      <c r="BV122" t="s">
        <v>308</v>
      </c>
      <c r="BW122" t="s">
        <v>237</v>
      </c>
      <c r="CH122" t="s">
        <v>229</v>
      </c>
      <c r="CI122" t="s">
        <v>111</v>
      </c>
      <c r="CJ122" t="s">
        <v>226</v>
      </c>
      <c r="CK122" t="s">
        <v>308</v>
      </c>
      <c r="CL122" t="s">
        <v>237</v>
      </c>
      <c r="CM122" t="s">
        <v>236</v>
      </c>
      <c r="CN122" t="s">
        <v>45</v>
      </c>
      <c r="CO122">
        <v>5</v>
      </c>
      <c r="CP122">
        <v>42514639</v>
      </c>
      <c r="CQ122" s="73">
        <v>45375.578969907408</v>
      </c>
      <c r="CR122" t="s">
        <v>229</v>
      </c>
      <c r="CS122" t="s">
        <v>111</v>
      </c>
      <c r="CU122" t="s">
        <v>225</v>
      </c>
    </row>
    <row r="123" spans="1:99">
      <c r="A123" t="s">
        <v>113</v>
      </c>
      <c r="B123" t="s">
        <v>90</v>
      </c>
      <c r="J123" t="s">
        <v>225</v>
      </c>
      <c r="K123" t="s">
        <v>225</v>
      </c>
      <c r="M123" s="73">
        <v>45375.256956018522</v>
      </c>
      <c r="N123">
        <v>42517029</v>
      </c>
      <c r="O123">
        <v>-330</v>
      </c>
      <c r="P123" t="s">
        <v>115</v>
      </c>
      <c r="Q123">
        <v>-330</v>
      </c>
      <c r="R123" t="s">
        <v>115</v>
      </c>
      <c r="U123" t="s">
        <v>226</v>
      </c>
      <c r="V123" t="s">
        <v>306</v>
      </c>
      <c r="W123" t="s">
        <v>228</v>
      </c>
      <c r="X123" t="s">
        <v>229</v>
      </c>
      <c r="Y123" t="s">
        <v>113</v>
      </c>
      <c r="AD123" t="s">
        <v>115</v>
      </c>
      <c r="AE123">
        <v>-330</v>
      </c>
      <c r="AF123">
        <v>42517029</v>
      </c>
      <c r="AG123" s="73">
        <v>45375.256956018522</v>
      </c>
      <c r="AH123" t="s">
        <v>226</v>
      </c>
      <c r="AI123" t="s">
        <v>306</v>
      </c>
      <c r="AJ123" t="s">
        <v>228</v>
      </c>
      <c r="AK123" t="s">
        <v>229</v>
      </c>
      <c r="AL123" t="s">
        <v>113</v>
      </c>
      <c r="AP123" t="s">
        <v>230</v>
      </c>
      <c r="AQ123" t="s">
        <v>231</v>
      </c>
      <c r="AT123" t="s">
        <v>232</v>
      </c>
      <c r="AU123">
        <v>-99</v>
      </c>
      <c r="AV123" t="s">
        <v>115</v>
      </c>
      <c r="AW123">
        <v>-330</v>
      </c>
      <c r="AX123">
        <v>42517029</v>
      </c>
      <c r="AY123" s="73">
        <v>45375.256956018522</v>
      </c>
      <c r="AZ123" t="s">
        <v>226</v>
      </c>
      <c r="BA123" t="s">
        <v>306</v>
      </c>
      <c r="BB123" t="s">
        <v>228</v>
      </c>
      <c r="BC123" t="s">
        <v>229</v>
      </c>
      <c r="BD123" t="s">
        <v>113</v>
      </c>
      <c r="BI123" t="s">
        <v>233</v>
      </c>
      <c r="BJ123" t="s">
        <v>0</v>
      </c>
      <c r="BK123">
        <v>42517017</v>
      </c>
      <c r="BN123" t="s">
        <v>115</v>
      </c>
      <c r="BR123">
        <v>-330</v>
      </c>
      <c r="BS123">
        <v>42517029</v>
      </c>
      <c r="BT123" s="73">
        <v>45375.256956018522</v>
      </c>
      <c r="BU123" t="s">
        <v>226</v>
      </c>
      <c r="BV123" t="s">
        <v>306</v>
      </c>
      <c r="BW123" t="s">
        <v>228</v>
      </c>
      <c r="CH123" t="s">
        <v>229</v>
      </c>
      <c r="CI123" t="s">
        <v>113</v>
      </c>
      <c r="CJ123" t="s">
        <v>226</v>
      </c>
      <c r="CK123" t="s">
        <v>306</v>
      </c>
      <c r="CL123" t="s">
        <v>228</v>
      </c>
      <c r="CM123" t="s">
        <v>234</v>
      </c>
      <c r="CN123" t="s">
        <v>115</v>
      </c>
      <c r="CO123">
        <v>-330</v>
      </c>
      <c r="CP123">
        <v>42517029</v>
      </c>
      <c r="CQ123" s="73">
        <v>45375.256956018522</v>
      </c>
      <c r="CR123" t="s">
        <v>229</v>
      </c>
      <c r="CS123" t="s">
        <v>113</v>
      </c>
      <c r="CU123" t="s">
        <v>225</v>
      </c>
    </row>
    <row r="124" spans="1:99">
      <c r="A124" t="s">
        <v>129</v>
      </c>
      <c r="B124" t="s">
        <v>90</v>
      </c>
      <c r="J124" t="s">
        <v>225</v>
      </c>
      <c r="K124" t="s">
        <v>225</v>
      </c>
      <c r="M124" s="73">
        <v>45375.256956018522</v>
      </c>
      <c r="N124">
        <v>42517028</v>
      </c>
      <c r="O124">
        <v>-4.5</v>
      </c>
      <c r="P124" t="s">
        <v>73</v>
      </c>
      <c r="Q124">
        <v>-4.5</v>
      </c>
      <c r="R124" t="s">
        <v>73</v>
      </c>
      <c r="U124" t="s">
        <v>226</v>
      </c>
      <c r="V124" t="s">
        <v>306</v>
      </c>
      <c r="W124" t="s">
        <v>228</v>
      </c>
      <c r="X124" t="s">
        <v>229</v>
      </c>
      <c r="Y124" t="s">
        <v>129</v>
      </c>
      <c r="AD124" t="s">
        <v>73</v>
      </c>
      <c r="AE124">
        <v>-4.5</v>
      </c>
      <c r="AF124">
        <v>42517028</v>
      </c>
      <c r="AG124" s="73">
        <v>45375.256956018522</v>
      </c>
      <c r="AH124" t="s">
        <v>226</v>
      </c>
      <c r="AI124" t="s">
        <v>306</v>
      </c>
      <c r="AJ124" t="s">
        <v>228</v>
      </c>
      <c r="AK124" t="s">
        <v>229</v>
      </c>
      <c r="AL124" t="s">
        <v>129</v>
      </c>
      <c r="AP124" t="s">
        <v>230</v>
      </c>
      <c r="AQ124" t="s">
        <v>231</v>
      </c>
      <c r="AT124" t="s">
        <v>232</v>
      </c>
      <c r="AU124">
        <v>-99</v>
      </c>
      <c r="AV124" t="s">
        <v>73</v>
      </c>
      <c r="AW124">
        <v>-4.5</v>
      </c>
      <c r="AX124">
        <v>42517028</v>
      </c>
      <c r="AY124" s="73">
        <v>45375.256956018522</v>
      </c>
      <c r="AZ124" t="s">
        <v>226</v>
      </c>
      <c r="BA124" t="s">
        <v>306</v>
      </c>
      <c r="BB124" t="s">
        <v>228</v>
      </c>
      <c r="BC124" t="s">
        <v>229</v>
      </c>
      <c r="BD124" t="s">
        <v>129</v>
      </c>
      <c r="BI124" t="s">
        <v>233</v>
      </c>
      <c r="BJ124" t="s">
        <v>0</v>
      </c>
      <c r="BK124">
        <v>42517017</v>
      </c>
      <c r="BN124" t="s">
        <v>73</v>
      </c>
      <c r="BR124">
        <v>-4.5</v>
      </c>
      <c r="BS124">
        <v>42517028</v>
      </c>
      <c r="BT124" s="73">
        <v>45375.256956018522</v>
      </c>
      <c r="BU124" t="s">
        <v>226</v>
      </c>
      <c r="BV124" t="s">
        <v>306</v>
      </c>
      <c r="BW124" t="s">
        <v>228</v>
      </c>
      <c r="CH124" t="s">
        <v>229</v>
      </c>
      <c r="CI124" t="s">
        <v>129</v>
      </c>
      <c r="CJ124" t="s">
        <v>226</v>
      </c>
      <c r="CK124" t="s">
        <v>306</v>
      </c>
      <c r="CL124" t="s">
        <v>228</v>
      </c>
      <c r="CM124" t="s">
        <v>234</v>
      </c>
      <c r="CN124" t="s">
        <v>73</v>
      </c>
      <c r="CO124">
        <v>-4.5</v>
      </c>
      <c r="CP124">
        <v>42517028</v>
      </c>
      <c r="CQ124" s="73">
        <v>45375.256956018522</v>
      </c>
      <c r="CR124" t="s">
        <v>229</v>
      </c>
      <c r="CS124" t="s">
        <v>129</v>
      </c>
      <c r="CU124" t="s">
        <v>225</v>
      </c>
    </row>
    <row r="125" spans="1:99">
      <c r="A125" t="s">
        <v>118</v>
      </c>
      <c r="B125" t="s">
        <v>90</v>
      </c>
      <c r="J125" t="s">
        <v>225</v>
      </c>
      <c r="K125" t="s">
        <v>225</v>
      </c>
      <c r="M125" s="73">
        <v>45375.256956018522</v>
      </c>
      <c r="N125">
        <v>42517027</v>
      </c>
      <c r="O125">
        <v>-35</v>
      </c>
      <c r="P125" t="s">
        <v>120</v>
      </c>
      <c r="Q125">
        <v>-35</v>
      </c>
      <c r="R125" t="s">
        <v>120</v>
      </c>
      <c r="U125" t="s">
        <v>226</v>
      </c>
      <c r="V125" t="s">
        <v>306</v>
      </c>
      <c r="W125" t="s">
        <v>228</v>
      </c>
      <c r="X125" t="s">
        <v>229</v>
      </c>
      <c r="Y125" t="s">
        <v>118</v>
      </c>
      <c r="AD125" t="s">
        <v>120</v>
      </c>
      <c r="AE125">
        <v>-35</v>
      </c>
      <c r="AF125">
        <v>42517027</v>
      </c>
      <c r="AG125" s="73">
        <v>45375.256956018522</v>
      </c>
      <c r="AH125" t="s">
        <v>226</v>
      </c>
      <c r="AI125" t="s">
        <v>306</v>
      </c>
      <c r="AJ125" t="s">
        <v>228</v>
      </c>
      <c r="AK125" t="s">
        <v>229</v>
      </c>
      <c r="AL125" t="s">
        <v>118</v>
      </c>
      <c r="AP125" t="s">
        <v>230</v>
      </c>
      <c r="AQ125" t="s">
        <v>231</v>
      </c>
      <c r="AT125" t="s">
        <v>232</v>
      </c>
      <c r="AU125">
        <v>-99</v>
      </c>
      <c r="AV125" t="s">
        <v>120</v>
      </c>
      <c r="AW125">
        <v>-35</v>
      </c>
      <c r="AX125">
        <v>42517027</v>
      </c>
      <c r="AY125" s="73">
        <v>45375.256956018522</v>
      </c>
      <c r="AZ125" t="s">
        <v>226</v>
      </c>
      <c r="BA125" t="s">
        <v>306</v>
      </c>
      <c r="BB125" t="s">
        <v>228</v>
      </c>
      <c r="BC125" t="s">
        <v>229</v>
      </c>
      <c r="BD125" t="s">
        <v>118</v>
      </c>
      <c r="BI125" t="s">
        <v>233</v>
      </c>
      <c r="BJ125" t="s">
        <v>0</v>
      </c>
      <c r="BK125">
        <v>42517017</v>
      </c>
      <c r="BN125" t="s">
        <v>120</v>
      </c>
      <c r="BR125">
        <v>-35</v>
      </c>
      <c r="BS125">
        <v>42517027</v>
      </c>
      <c r="BT125" s="73">
        <v>45375.256956018522</v>
      </c>
      <c r="BU125" t="s">
        <v>226</v>
      </c>
      <c r="BV125" t="s">
        <v>306</v>
      </c>
      <c r="BW125" t="s">
        <v>228</v>
      </c>
      <c r="CH125" t="s">
        <v>229</v>
      </c>
      <c r="CI125" t="s">
        <v>118</v>
      </c>
      <c r="CJ125" t="s">
        <v>226</v>
      </c>
      <c r="CK125" t="s">
        <v>306</v>
      </c>
      <c r="CL125" t="s">
        <v>228</v>
      </c>
      <c r="CM125" t="s">
        <v>234</v>
      </c>
      <c r="CN125" t="s">
        <v>120</v>
      </c>
      <c r="CO125">
        <v>-35</v>
      </c>
      <c r="CP125">
        <v>42517027</v>
      </c>
      <c r="CQ125" s="73">
        <v>45375.256956018522</v>
      </c>
      <c r="CR125" t="s">
        <v>229</v>
      </c>
      <c r="CS125" t="s">
        <v>118</v>
      </c>
      <c r="CU125" t="s">
        <v>225</v>
      </c>
    </row>
    <row r="126" spans="1:99">
      <c r="A126" t="s">
        <v>46</v>
      </c>
      <c r="B126" t="s">
        <v>92</v>
      </c>
      <c r="J126" t="s">
        <v>225</v>
      </c>
      <c r="K126" t="s">
        <v>225</v>
      </c>
      <c r="M126" s="73">
        <v>45375.25</v>
      </c>
      <c r="N126">
        <v>42514345</v>
      </c>
      <c r="O126">
        <v>-100</v>
      </c>
      <c r="P126" t="s">
        <v>45</v>
      </c>
      <c r="Q126">
        <v>-100</v>
      </c>
      <c r="R126" t="s">
        <v>45</v>
      </c>
      <c r="U126" t="s">
        <v>226</v>
      </c>
      <c r="V126" t="s">
        <v>309</v>
      </c>
      <c r="W126" t="s">
        <v>228</v>
      </c>
      <c r="X126" t="s">
        <v>229</v>
      </c>
      <c r="Y126" t="s">
        <v>46</v>
      </c>
      <c r="AD126" t="s">
        <v>45</v>
      </c>
      <c r="AE126">
        <v>-100</v>
      </c>
      <c r="AF126">
        <v>42514345</v>
      </c>
      <c r="AG126" s="73">
        <v>45375.25</v>
      </c>
      <c r="AH126" t="s">
        <v>226</v>
      </c>
      <c r="AI126" t="s">
        <v>309</v>
      </c>
      <c r="AJ126" t="s">
        <v>228</v>
      </c>
      <c r="AK126" t="s">
        <v>229</v>
      </c>
      <c r="AL126" t="s">
        <v>46</v>
      </c>
      <c r="AP126" t="s">
        <v>230</v>
      </c>
      <c r="AQ126" t="s">
        <v>231</v>
      </c>
      <c r="AT126" t="s">
        <v>232</v>
      </c>
      <c r="AU126">
        <v>-99</v>
      </c>
      <c r="AV126" t="s">
        <v>45</v>
      </c>
      <c r="AW126">
        <v>-100</v>
      </c>
      <c r="AX126">
        <v>42514345</v>
      </c>
      <c r="AY126" s="73">
        <v>45375.25</v>
      </c>
      <c r="AZ126" t="s">
        <v>226</v>
      </c>
      <c r="BA126" t="s">
        <v>309</v>
      </c>
      <c r="BB126" t="s">
        <v>228</v>
      </c>
      <c r="BC126" t="s">
        <v>229</v>
      </c>
      <c r="BD126" t="s">
        <v>46</v>
      </c>
      <c r="BI126" t="s">
        <v>233</v>
      </c>
      <c r="BJ126" t="s">
        <v>0</v>
      </c>
      <c r="BK126">
        <v>42514321</v>
      </c>
      <c r="BN126" t="s">
        <v>45</v>
      </c>
      <c r="BR126">
        <v>-100</v>
      </c>
      <c r="BS126">
        <v>42514345</v>
      </c>
      <c r="BT126" s="73">
        <v>45375.25</v>
      </c>
      <c r="BU126" t="s">
        <v>226</v>
      </c>
      <c r="BV126" t="s">
        <v>309</v>
      </c>
      <c r="BW126" t="s">
        <v>228</v>
      </c>
      <c r="CH126" t="s">
        <v>229</v>
      </c>
      <c r="CI126" t="s">
        <v>46</v>
      </c>
      <c r="CJ126" t="s">
        <v>226</v>
      </c>
      <c r="CK126" t="s">
        <v>309</v>
      </c>
      <c r="CL126" t="s">
        <v>228</v>
      </c>
      <c r="CM126" t="s">
        <v>234</v>
      </c>
      <c r="CN126" t="s">
        <v>45</v>
      </c>
      <c r="CO126">
        <v>-100</v>
      </c>
      <c r="CP126">
        <v>42514345</v>
      </c>
      <c r="CQ126" s="73">
        <v>45375.25</v>
      </c>
      <c r="CR126" t="s">
        <v>229</v>
      </c>
      <c r="CS126" t="s">
        <v>46</v>
      </c>
      <c r="CU126" t="s">
        <v>225</v>
      </c>
    </row>
    <row r="127" spans="1:99">
      <c r="A127" t="s">
        <v>93</v>
      </c>
      <c r="B127" t="s">
        <v>98</v>
      </c>
      <c r="J127" t="s">
        <v>225</v>
      </c>
      <c r="K127" t="s">
        <v>225</v>
      </c>
      <c r="M127" s="73">
        <v>45375.25</v>
      </c>
      <c r="N127">
        <v>42514344</v>
      </c>
      <c r="O127">
        <v>-5</v>
      </c>
      <c r="P127" t="s">
        <v>73</v>
      </c>
      <c r="Q127">
        <v>-5</v>
      </c>
      <c r="R127" t="s">
        <v>73</v>
      </c>
      <c r="U127" t="s">
        <v>226</v>
      </c>
      <c r="V127" t="s">
        <v>309</v>
      </c>
      <c r="W127" t="s">
        <v>228</v>
      </c>
      <c r="X127" t="s">
        <v>229</v>
      </c>
      <c r="Y127" t="s">
        <v>93</v>
      </c>
      <c r="AD127" t="s">
        <v>73</v>
      </c>
      <c r="AE127">
        <v>-5</v>
      </c>
      <c r="AF127">
        <v>42514344</v>
      </c>
      <c r="AG127" s="73">
        <v>45375.25</v>
      </c>
      <c r="AH127" t="s">
        <v>226</v>
      </c>
      <c r="AI127" t="s">
        <v>309</v>
      </c>
      <c r="AJ127" t="s">
        <v>228</v>
      </c>
      <c r="AK127" t="s">
        <v>229</v>
      </c>
      <c r="AL127" t="s">
        <v>93</v>
      </c>
      <c r="AP127" t="s">
        <v>230</v>
      </c>
      <c r="AQ127" t="s">
        <v>231</v>
      </c>
      <c r="AT127" t="s">
        <v>232</v>
      </c>
      <c r="AU127">
        <v>-99</v>
      </c>
      <c r="AV127" t="s">
        <v>73</v>
      </c>
      <c r="AW127">
        <v>-5</v>
      </c>
      <c r="AX127">
        <v>42514344</v>
      </c>
      <c r="AY127" s="73">
        <v>45375.25</v>
      </c>
      <c r="AZ127" t="s">
        <v>226</v>
      </c>
      <c r="BA127" t="s">
        <v>309</v>
      </c>
      <c r="BB127" t="s">
        <v>228</v>
      </c>
      <c r="BC127" t="s">
        <v>229</v>
      </c>
      <c r="BD127" t="s">
        <v>93</v>
      </c>
      <c r="BI127" t="s">
        <v>233</v>
      </c>
      <c r="BJ127" t="s">
        <v>0</v>
      </c>
      <c r="BK127">
        <v>42514321</v>
      </c>
      <c r="BN127" t="s">
        <v>73</v>
      </c>
      <c r="BR127">
        <v>-5</v>
      </c>
      <c r="BS127">
        <v>42514344</v>
      </c>
      <c r="BT127" s="73">
        <v>45375.25</v>
      </c>
      <c r="BU127" t="s">
        <v>226</v>
      </c>
      <c r="BV127" t="s">
        <v>309</v>
      </c>
      <c r="BW127" t="s">
        <v>228</v>
      </c>
      <c r="CH127" t="s">
        <v>229</v>
      </c>
      <c r="CI127" t="s">
        <v>93</v>
      </c>
      <c r="CJ127" t="s">
        <v>226</v>
      </c>
      <c r="CK127" t="s">
        <v>309</v>
      </c>
      <c r="CL127" t="s">
        <v>228</v>
      </c>
      <c r="CM127" t="s">
        <v>234</v>
      </c>
      <c r="CN127" t="s">
        <v>73</v>
      </c>
      <c r="CO127">
        <v>-5</v>
      </c>
      <c r="CP127">
        <v>42514344</v>
      </c>
      <c r="CQ127" s="73">
        <v>45375.25</v>
      </c>
      <c r="CR127" t="s">
        <v>229</v>
      </c>
      <c r="CS127" t="s">
        <v>93</v>
      </c>
      <c r="CU127" t="s">
        <v>225</v>
      </c>
    </row>
    <row r="128" spans="1:99">
      <c r="A128" t="s">
        <v>108</v>
      </c>
      <c r="B128" t="s">
        <v>98</v>
      </c>
      <c r="J128" t="s">
        <v>225</v>
      </c>
      <c r="K128" t="s">
        <v>225</v>
      </c>
      <c r="M128" s="73">
        <v>45375.25</v>
      </c>
      <c r="N128">
        <v>42514343</v>
      </c>
      <c r="O128">
        <v>100</v>
      </c>
      <c r="P128" t="s">
        <v>104</v>
      </c>
      <c r="Q128">
        <v>100</v>
      </c>
      <c r="R128" t="s">
        <v>104</v>
      </c>
      <c r="S128">
        <v>5</v>
      </c>
      <c r="T128" t="s">
        <v>73</v>
      </c>
      <c r="U128" t="s">
        <v>226</v>
      </c>
      <c r="V128" t="s">
        <v>309</v>
      </c>
      <c r="W128" t="s">
        <v>235</v>
      </c>
      <c r="X128" t="s">
        <v>229</v>
      </c>
      <c r="Y128" t="s">
        <v>108</v>
      </c>
      <c r="AD128" t="s">
        <v>104</v>
      </c>
      <c r="AE128">
        <v>100</v>
      </c>
      <c r="AF128">
        <v>42514343</v>
      </c>
      <c r="AG128" s="73">
        <v>45375.25</v>
      </c>
      <c r="AH128" t="s">
        <v>226</v>
      </c>
      <c r="AI128" t="s">
        <v>309</v>
      </c>
      <c r="AJ128" t="s">
        <v>235</v>
      </c>
      <c r="AK128" t="s">
        <v>229</v>
      </c>
      <c r="AL128" t="s">
        <v>108</v>
      </c>
      <c r="AP128" t="s">
        <v>230</v>
      </c>
      <c r="AQ128" t="s">
        <v>231</v>
      </c>
      <c r="AT128" t="s">
        <v>232</v>
      </c>
      <c r="AU128">
        <v>-99</v>
      </c>
      <c r="AV128" t="s">
        <v>104</v>
      </c>
      <c r="AW128">
        <v>100</v>
      </c>
      <c r="AX128">
        <v>42514343</v>
      </c>
      <c r="AY128" s="73">
        <v>45375.25</v>
      </c>
      <c r="AZ128" t="s">
        <v>226</v>
      </c>
      <c r="BA128" t="s">
        <v>309</v>
      </c>
      <c r="BB128" t="s">
        <v>235</v>
      </c>
      <c r="BC128" t="s">
        <v>229</v>
      </c>
      <c r="BD128" t="s">
        <v>108</v>
      </c>
      <c r="BI128" t="s">
        <v>233</v>
      </c>
      <c r="BJ128" t="s">
        <v>0</v>
      </c>
      <c r="BK128">
        <v>42514321</v>
      </c>
      <c r="BN128" t="s">
        <v>104</v>
      </c>
      <c r="BO128">
        <v>42514339</v>
      </c>
      <c r="BR128">
        <v>100</v>
      </c>
      <c r="BS128">
        <v>42514343</v>
      </c>
      <c r="BT128" s="73">
        <v>45375.25</v>
      </c>
      <c r="BU128" t="s">
        <v>226</v>
      </c>
      <c r="BV128" t="s">
        <v>309</v>
      </c>
      <c r="BW128" t="s">
        <v>235</v>
      </c>
      <c r="CH128" t="s">
        <v>229</v>
      </c>
      <c r="CI128" t="s">
        <v>108</v>
      </c>
      <c r="CJ128" t="s">
        <v>226</v>
      </c>
      <c r="CK128" t="s">
        <v>309</v>
      </c>
      <c r="CL128" t="s">
        <v>235</v>
      </c>
      <c r="CM128" t="s">
        <v>236</v>
      </c>
      <c r="CN128" t="s">
        <v>104</v>
      </c>
      <c r="CO128">
        <v>100</v>
      </c>
      <c r="CP128">
        <v>42514343</v>
      </c>
      <c r="CQ128" s="73">
        <v>45375.25</v>
      </c>
      <c r="CR128" t="s">
        <v>229</v>
      </c>
      <c r="CS128" t="s">
        <v>108</v>
      </c>
      <c r="CU128" t="s">
        <v>225</v>
      </c>
    </row>
    <row r="129" spans="1:99">
      <c r="A129" t="s">
        <v>46</v>
      </c>
      <c r="B129" t="s">
        <v>92</v>
      </c>
      <c r="J129" t="s">
        <v>225</v>
      </c>
      <c r="K129" t="s">
        <v>225</v>
      </c>
      <c r="M129" s="73">
        <v>45375.083333333336</v>
      </c>
      <c r="N129">
        <v>42531666</v>
      </c>
      <c r="O129">
        <v>-801</v>
      </c>
      <c r="P129" t="s">
        <v>45</v>
      </c>
      <c r="Q129">
        <v>-801</v>
      </c>
      <c r="R129" t="s">
        <v>45</v>
      </c>
      <c r="U129" t="s">
        <v>226</v>
      </c>
      <c r="V129" t="s">
        <v>310</v>
      </c>
      <c r="W129" t="s">
        <v>228</v>
      </c>
      <c r="X129" t="s">
        <v>229</v>
      </c>
      <c r="Y129" t="s">
        <v>46</v>
      </c>
      <c r="AD129" t="s">
        <v>45</v>
      </c>
      <c r="AE129">
        <v>-801</v>
      </c>
      <c r="AF129">
        <v>42531666</v>
      </c>
      <c r="AG129" s="73">
        <v>45375.083333333336</v>
      </c>
      <c r="AH129" t="s">
        <v>226</v>
      </c>
      <c r="AI129" t="s">
        <v>310</v>
      </c>
      <c r="AJ129" t="s">
        <v>228</v>
      </c>
      <c r="AK129" t="s">
        <v>229</v>
      </c>
      <c r="AL129" t="s">
        <v>46</v>
      </c>
      <c r="AP129" t="s">
        <v>230</v>
      </c>
      <c r="AQ129" t="s">
        <v>231</v>
      </c>
      <c r="AT129" t="s">
        <v>232</v>
      </c>
      <c r="AU129">
        <v>-99</v>
      </c>
      <c r="AV129" t="s">
        <v>45</v>
      </c>
      <c r="AW129">
        <v>-801</v>
      </c>
      <c r="AX129">
        <v>42531666</v>
      </c>
      <c r="AY129" s="73">
        <v>45375.083333333336</v>
      </c>
      <c r="AZ129" t="s">
        <v>226</v>
      </c>
      <c r="BA129" t="s">
        <v>310</v>
      </c>
      <c r="BB129" t="s">
        <v>228</v>
      </c>
      <c r="BC129" t="s">
        <v>229</v>
      </c>
      <c r="BD129" t="s">
        <v>46</v>
      </c>
      <c r="BI129" t="s">
        <v>233</v>
      </c>
      <c r="BJ129" t="s">
        <v>0</v>
      </c>
      <c r="BK129">
        <v>42531647</v>
      </c>
      <c r="BN129" t="s">
        <v>45</v>
      </c>
      <c r="BR129">
        <v>-801</v>
      </c>
      <c r="BS129">
        <v>42531666</v>
      </c>
      <c r="BT129" s="73">
        <v>45375.083333333336</v>
      </c>
      <c r="BU129" t="s">
        <v>226</v>
      </c>
      <c r="BV129" t="s">
        <v>310</v>
      </c>
      <c r="BW129" t="s">
        <v>228</v>
      </c>
      <c r="CH129" t="s">
        <v>229</v>
      </c>
      <c r="CI129" t="s">
        <v>46</v>
      </c>
      <c r="CJ129" t="s">
        <v>226</v>
      </c>
      <c r="CK129" t="s">
        <v>310</v>
      </c>
      <c r="CL129" t="s">
        <v>228</v>
      </c>
      <c r="CM129" t="s">
        <v>234</v>
      </c>
      <c r="CN129" t="s">
        <v>45</v>
      </c>
      <c r="CO129">
        <v>-801</v>
      </c>
      <c r="CP129">
        <v>42531666</v>
      </c>
      <c r="CQ129" s="73">
        <v>45375.083333333336</v>
      </c>
      <c r="CR129" t="s">
        <v>229</v>
      </c>
      <c r="CS129" t="s">
        <v>46</v>
      </c>
      <c r="CU129" t="s">
        <v>225</v>
      </c>
    </row>
    <row r="130" spans="1:99">
      <c r="A130" t="s">
        <v>93</v>
      </c>
      <c r="B130" t="s">
        <v>98</v>
      </c>
      <c r="J130" t="s">
        <v>225</v>
      </c>
      <c r="K130" t="s">
        <v>225</v>
      </c>
      <c r="M130" s="73">
        <v>45375.083333333336</v>
      </c>
      <c r="N130">
        <v>42531665</v>
      </c>
      <c r="O130">
        <v>-40</v>
      </c>
      <c r="P130" t="s">
        <v>73</v>
      </c>
      <c r="Q130">
        <v>-40</v>
      </c>
      <c r="R130" t="s">
        <v>73</v>
      </c>
      <c r="U130" t="s">
        <v>226</v>
      </c>
      <c r="V130" t="s">
        <v>310</v>
      </c>
      <c r="W130" t="s">
        <v>228</v>
      </c>
      <c r="X130" t="s">
        <v>229</v>
      </c>
      <c r="Y130" t="s">
        <v>93</v>
      </c>
      <c r="AD130" t="s">
        <v>73</v>
      </c>
      <c r="AE130">
        <v>-40</v>
      </c>
      <c r="AF130">
        <v>42531665</v>
      </c>
      <c r="AG130" s="73">
        <v>45375.083333333336</v>
      </c>
      <c r="AH130" t="s">
        <v>226</v>
      </c>
      <c r="AI130" t="s">
        <v>310</v>
      </c>
      <c r="AJ130" t="s">
        <v>228</v>
      </c>
      <c r="AK130" t="s">
        <v>229</v>
      </c>
      <c r="AL130" t="s">
        <v>93</v>
      </c>
      <c r="AP130" t="s">
        <v>230</v>
      </c>
      <c r="AQ130" t="s">
        <v>231</v>
      </c>
      <c r="AT130" t="s">
        <v>232</v>
      </c>
      <c r="AU130">
        <v>-99</v>
      </c>
      <c r="AV130" t="s">
        <v>73</v>
      </c>
      <c r="AW130">
        <v>-40</v>
      </c>
      <c r="AX130">
        <v>42531665</v>
      </c>
      <c r="AY130" s="73">
        <v>45375.083333333336</v>
      </c>
      <c r="AZ130" t="s">
        <v>226</v>
      </c>
      <c r="BA130" t="s">
        <v>310</v>
      </c>
      <c r="BB130" t="s">
        <v>228</v>
      </c>
      <c r="BC130" t="s">
        <v>229</v>
      </c>
      <c r="BD130" t="s">
        <v>93</v>
      </c>
      <c r="BI130" t="s">
        <v>233</v>
      </c>
      <c r="BJ130" t="s">
        <v>0</v>
      </c>
      <c r="BK130">
        <v>42531647</v>
      </c>
      <c r="BN130" t="s">
        <v>73</v>
      </c>
      <c r="BR130">
        <v>-40</v>
      </c>
      <c r="BS130">
        <v>42531665</v>
      </c>
      <c r="BT130" s="73">
        <v>45375.083333333336</v>
      </c>
      <c r="BU130" t="s">
        <v>226</v>
      </c>
      <c r="BV130" t="s">
        <v>310</v>
      </c>
      <c r="BW130" t="s">
        <v>228</v>
      </c>
      <c r="CH130" t="s">
        <v>229</v>
      </c>
      <c r="CI130" t="s">
        <v>93</v>
      </c>
      <c r="CJ130" t="s">
        <v>226</v>
      </c>
      <c r="CK130" t="s">
        <v>310</v>
      </c>
      <c r="CL130" t="s">
        <v>228</v>
      </c>
      <c r="CM130" t="s">
        <v>234</v>
      </c>
      <c r="CN130" t="s">
        <v>73</v>
      </c>
      <c r="CO130">
        <v>-40</v>
      </c>
      <c r="CP130">
        <v>42531665</v>
      </c>
      <c r="CQ130" s="73">
        <v>45375.083333333336</v>
      </c>
      <c r="CR130" t="s">
        <v>229</v>
      </c>
      <c r="CS130" t="s">
        <v>93</v>
      </c>
      <c r="CU130" t="s">
        <v>225</v>
      </c>
    </row>
    <row r="131" spans="1:99">
      <c r="A131" t="s">
        <v>108</v>
      </c>
      <c r="B131" t="s">
        <v>98</v>
      </c>
      <c r="J131" t="s">
        <v>225</v>
      </c>
      <c r="K131" t="s">
        <v>225</v>
      </c>
      <c r="M131" s="73">
        <v>45375.083333333336</v>
      </c>
      <c r="N131">
        <v>42531664</v>
      </c>
      <c r="O131">
        <v>800</v>
      </c>
      <c r="P131" t="s">
        <v>104</v>
      </c>
      <c r="Q131">
        <v>800</v>
      </c>
      <c r="R131" t="s">
        <v>104</v>
      </c>
      <c r="S131">
        <v>40</v>
      </c>
      <c r="T131" t="s">
        <v>73</v>
      </c>
      <c r="U131" t="s">
        <v>226</v>
      </c>
      <c r="V131" t="s">
        <v>310</v>
      </c>
      <c r="W131" t="s">
        <v>235</v>
      </c>
      <c r="X131" t="s">
        <v>229</v>
      </c>
      <c r="Y131" t="s">
        <v>108</v>
      </c>
      <c r="AD131" t="s">
        <v>104</v>
      </c>
      <c r="AE131">
        <v>800</v>
      </c>
      <c r="AF131">
        <v>42531664</v>
      </c>
      <c r="AG131" s="73">
        <v>45375.083333333336</v>
      </c>
      <c r="AH131" t="s">
        <v>226</v>
      </c>
      <c r="AI131" t="s">
        <v>310</v>
      </c>
      <c r="AJ131" t="s">
        <v>235</v>
      </c>
      <c r="AK131" t="s">
        <v>229</v>
      </c>
      <c r="AL131" t="s">
        <v>108</v>
      </c>
      <c r="AP131" t="s">
        <v>230</v>
      </c>
      <c r="AQ131" t="s">
        <v>231</v>
      </c>
      <c r="AT131" t="s">
        <v>232</v>
      </c>
      <c r="AU131">
        <v>-99</v>
      </c>
      <c r="AV131" t="s">
        <v>104</v>
      </c>
      <c r="AW131">
        <v>800</v>
      </c>
      <c r="AX131">
        <v>42531664</v>
      </c>
      <c r="AY131" s="73">
        <v>45375.083333333336</v>
      </c>
      <c r="AZ131" t="s">
        <v>226</v>
      </c>
      <c r="BA131" t="s">
        <v>310</v>
      </c>
      <c r="BB131" t="s">
        <v>235</v>
      </c>
      <c r="BC131" t="s">
        <v>229</v>
      </c>
      <c r="BD131" t="s">
        <v>108</v>
      </c>
      <c r="BI131" t="s">
        <v>233</v>
      </c>
      <c r="BJ131" t="s">
        <v>0</v>
      </c>
      <c r="BK131">
        <v>42531647</v>
      </c>
      <c r="BN131" t="s">
        <v>104</v>
      </c>
      <c r="BO131">
        <v>42531653</v>
      </c>
      <c r="BR131">
        <v>800</v>
      </c>
      <c r="BS131">
        <v>42531664</v>
      </c>
      <c r="BT131" s="73">
        <v>45375.083333333336</v>
      </c>
      <c r="BU131" t="s">
        <v>226</v>
      </c>
      <c r="BV131" t="s">
        <v>310</v>
      </c>
      <c r="BW131" t="s">
        <v>235</v>
      </c>
      <c r="CH131" t="s">
        <v>229</v>
      </c>
      <c r="CI131" t="s">
        <v>108</v>
      </c>
      <c r="CJ131" t="s">
        <v>226</v>
      </c>
      <c r="CK131" t="s">
        <v>310</v>
      </c>
      <c r="CL131" t="s">
        <v>235</v>
      </c>
      <c r="CM131" t="s">
        <v>236</v>
      </c>
      <c r="CN131" t="s">
        <v>104</v>
      </c>
      <c r="CO131">
        <v>800</v>
      </c>
      <c r="CP131">
        <v>42531664</v>
      </c>
      <c r="CQ131" s="73">
        <v>45375.083333333336</v>
      </c>
      <c r="CR131" t="s">
        <v>229</v>
      </c>
      <c r="CS131" t="s">
        <v>108</v>
      </c>
      <c r="CU131" t="s">
        <v>225</v>
      </c>
    </row>
    <row r="132" spans="1:99">
      <c r="A132" t="s">
        <v>111</v>
      </c>
      <c r="B132" t="s">
        <v>77</v>
      </c>
      <c r="J132" t="s">
        <v>225</v>
      </c>
      <c r="K132" t="s">
        <v>225</v>
      </c>
      <c r="M132" s="73">
        <v>45375.083333333336</v>
      </c>
      <c r="N132">
        <v>42531663</v>
      </c>
      <c r="O132">
        <v>1</v>
      </c>
      <c r="P132" t="s">
        <v>45</v>
      </c>
      <c r="Q132">
        <v>1</v>
      </c>
      <c r="R132" t="s">
        <v>45</v>
      </c>
      <c r="U132" t="s">
        <v>226</v>
      </c>
      <c r="V132" t="s">
        <v>310</v>
      </c>
      <c r="W132" t="s">
        <v>237</v>
      </c>
      <c r="X132" t="s">
        <v>229</v>
      </c>
      <c r="Y132" t="s">
        <v>111</v>
      </c>
      <c r="AD132" t="s">
        <v>45</v>
      </c>
      <c r="AE132">
        <v>1</v>
      </c>
      <c r="AF132">
        <v>42531663</v>
      </c>
      <c r="AG132" s="73">
        <v>45375.083333333336</v>
      </c>
      <c r="AH132" t="s">
        <v>226</v>
      </c>
      <c r="AI132" t="s">
        <v>310</v>
      </c>
      <c r="AJ132" t="s">
        <v>237</v>
      </c>
      <c r="AK132" t="s">
        <v>229</v>
      </c>
      <c r="AL132" t="s">
        <v>111</v>
      </c>
      <c r="AP132" t="s">
        <v>230</v>
      </c>
      <c r="AQ132" t="s">
        <v>231</v>
      </c>
      <c r="AT132" t="s">
        <v>232</v>
      </c>
      <c r="AU132">
        <v>-99</v>
      </c>
      <c r="AV132" t="s">
        <v>45</v>
      </c>
      <c r="AW132">
        <v>1</v>
      </c>
      <c r="AX132">
        <v>42531663</v>
      </c>
      <c r="AY132" s="73">
        <v>45375.083333333336</v>
      </c>
      <c r="AZ132" t="s">
        <v>226</v>
      </c>
      <c r="BA132" t="s">
        <v>310</v>
      </c>
      <c r="BB132" t="s">
        <v>237</v>
      </c>
      <c r="BC132" t="s">
        <v>229</v>
      </c>
      <c r="BD132" t="s">
        <v>111</v>
      </c>
      <c r="BI132" t="s">
        <v>233</v>
      </c>
      <c r="BJ132" t="s">
        <v>0</v>
      </c>
      <c r="BK132">
        <v>42531647</v>
      </c>
      <c r="BN132" t="s">
        <v>45</v>
      </c>
      <c r="BO132">
        <v>42531658</v>
      </c>
      <c r="BR132">
        <v>1</v>
      </c>
      <c r="BS132">
        <v>42531663</v>
      </c>
      <c r="BT132" s="73">
        <v>45375.083333333336</v>
      </c>
      <c r="BU132" t="s">
        <v>226</v>
      </c>
      <c r="BV132" t="s">
        <v>310</v>
      </c>
      <c r="BW132" t="s">
        <v>237</v>
      </c>
      <c r="CH132" t="s">
        <v>229</v>
      </c>
      <c r="CI132" t="s">
        <v>111</v>
      </c>
      <c r="CJ132" t="s">
        <v>226</v>
      </c>
      <c r="CK132" t="s">
        <v>310</v>
      </c>
      <c r="CL132" t="s">
        <v>237</v>
      </c>
      <c r="CM132" t="s">
        <v>236</v>
      </c>
      <c r="CN132" t="s">
        <v>45</v>
      </c>
      <c r="CO132">
        <v>1</v>
      </c>
      <c r="CP132">
        <v>42531663</v>
      </c>
      <c r="CQ132" s="73">
        <v>45375.083333333336</v>
      </c>
      <c r="CR132" t="s">
        <v>229</v>
      </c>
      <c r="CS132" t="s">
        <v>111</v>
      </c>
      <c r="CU132" t="s">
        <v>225</v>
      </c>
    </row>
    <row r="133" spans="1:99">
      <c r="A133" t="s">
        <v>42</v>
      </c>
      <c r="B133" t="s">
        <v>92</v>
      </c>
      <c r="J133" t="s">
        <v>225</v>
      </c>
      <c r="K133" t="s">
        <v>225</v>
      </c>
      <c r="M133" s="73">
        <v>45374.950694444444</v>
      </c>
      <c r="N133">
        <v>42509936</v>
      </c>
      <c r="O133">
        <v>-3548</v>
      </c>
      <c r="P133" t="s">
        <v>45</v>
      </c>
      <c r="Q133">
        <v>-3548</v>
      </c>
      <c r="R133" t="s">
        <v>45</v>
      </c>
      <c r="U133" t="s">
        <v>226</v>
      </c>
      <c r="V133" t="s">
        <v>311</v>
      </c>
      <c r="W133" t="s">
        <v>228</v>
      </c>
      <c r="X133" t="s">
        <v>229</v>
      </c>
      <c r="Y133" t="s">
        <v>42</v>
      </c>
      <c r="AD133" t="s">
        <v>45</v>
      </c>
      <c r="AE133">
        <v>-3548</v>
      </c>
      <c r="AF133">
        <v>42509936</v>
      </c>
      <c r="AG133" s="73">
        <v>45374.950694444444</v>
      </c>
      <c r="AH133" t="s">
        <v>226</v>
      </c>
      <c r="AI133" t="s">
        <v>311</v>
      </c>
      <c r="AJ133" t="s">
        <v>228</v>
      </c>
      <c r="AK133" t="s">
        <v>229</v>
      </c>
      <c r="AL133" t="s">
        <v>42</v>
      </c>
      <c r="AP133" t="s">
        <v>230</v>
      </c>
      <c r="AQ133" t="s">
        <v>231</v>
      </c>
      <c r="AT133" t="s">
        <v>232</v>
      </c>
      <c r="AU133">
        <v>-99</v>
      </c>
      <c r="AV133" t="s">
        <v>45</v>
      </c>
      <c r="AW133">
        <v>-3548</v>
      </c>
      <c r="AX133">
        <v>42509936</v>
      </c>
      <c r="AY133" s="73">
        <v>45374.950694444444</v>
      </c>
      <c r="AZ133" t="s">
        <v>226</v>
      </c>
      <c r="BA133" t="s">
        <v>311</v>
      </c>
      <c r="BB133" t="s">
        <v>228</v>
      </c>
      <c r="BC133" t="s">
        <v>229</v>
      </c>
      <c r="BD133" t="s">
        <v>42</v>
      </c>
      <c r="BI133" t="s">
        <v>233</v>
      </c>
      <c r="BJ133" t="s">
        <v>0</v>
      </c>
      <c r="BK133">
        <v>42509913</v>
      </c>
      <c r="BN133" t="s">
        <v>45</v>
      </c>
      <c r="BR133">
        <v>-3548</v>
      </c>
      <c r="BS133">
        <v>42509936</v>
      </c>
      <c r="BT133" s="73">
        <v>45374.950694444444</v>
      </c>
      <c r="BU133" t="s">
        <v>226</v>
      </c>
      <c r="BV133" t="s">
        <v>311</v>
      </c>
      <c r="BW133" t="s">
        <v>228</v>
      </c>
      <c r="CH133" t="s">
        <v>229</v>
      </c>
      <c r="CI133" t="s">
        <v>42</v>
      </c>
      <c r="CJ133" t="s">
        <v>226</v>
      </c>
      <c r="CK133" t="s">
        <v>311</v>
      </c>
      <c r="CL133" t="s">
        <v>228</v>
      </c>
      <c r="CM133" t="s">
        <v>234</v>
      </c>
      <c r="CN133" t="s">
        <v>45</v>
      </c>
      <c r="CO133">
        <v>-3548</v>
      </c>
      <c r="CP133">
        <v>42509936</v>
      </c>
      <c r="CQ133" s="73">
        <v>45374.950694444444</v>
      </c>
      <c r="CR133" t="s">
        <v>229</v>
      </c>
      <c r="CS133" t="s">
        <v>42</v>
      </c>
      <c r="CU133" t="s">
        <v>225</v>
      </c>
    </row>
    <row r="134" spans="1:99">
      <c r="A134" t="s">
        <v>99</v>
      </c>
      <c r="B134" t="s">
        <v>98</v>
      </c>
      <c r="J134" t="s">
        <v>225</v>
      </c>
      <c r="K134" t="s">
        <v>225</v>
      </c>
      <c r="M134" s="73">
        <v>45374.950694444444</v>
      </c>
      <c r="N134">
        <v>42509935</v>
      </c>
      <c r="O134">
        <v>-177</v>
      </c>
      <c r="P134" t="s">
        <v>73</v>
      </c>
      <c r="Q134">
        <v>-177</v>
      </c>
      <c r="R134" t="s">
        <v>73</v>
      </c>
      <c r="U134" t="s">
        <v>226</v>
      </c>
      <c r="V134" t="s">
        <v>311</v>
      </c>
      <c r="W134" t="s">
        <v>228</v>
      </c>
      <c r="X134" t="s">
        <v>229</v>
      </c>
      <c r="Y134" t="s">
        <v>99</v>
      </c>
      <c r="AD134" t="s">
        <v>73</v>
      </c>
      <c r="AE134">
        <v>-177</v>
      </c>
      <c r="AF134">
        <v>42509935</v>
      </c>
      <c r="AG134" s="73">
        <v>45374.950694444444</v>
      </c>
      <c r="AH134" t="s">
        <v>226</v>
      </c>
      <c r="AI134" t="s">
        <v>311</v>
      </c>
      <c r="AJ134" t="s">
        <v>228</v>
      </c>
      <c r="AK134" t="s">
        <v>229</v>
      </c>
      <c r="AL134" t="s">
        <v>99</v>
      </c>
      <c r="AP134" t="s">
        <v>230</v>
      </c>
      <c r="AQ134" t="s">
        <v>231</v>
      </c>
      <c r="AT134" t="s">
        <v>232</v>
      </c>
      <c r="AU134">
        <v>-99</v>
      </c>
      <c r="AV134" t="s">
        <v>73</v>
      </c>
      <c r="AW134">
        <v>-177</v>
      </c>
      <c r="AX134">
        <v>42509935</v>
      </c>
      <c r="AY134" s="73">
        <v>45374.950694444444</v>
      </c>
      <c r="AZ134" t="s">
        <v>226</v>
      </c>
      <c r="BA134" t="s">
        <v>311</v>
      </c>
      <c r="BB134" t="s">
        <v>228</v>
      </c>
      <c r="BC134" t="s">
        <v>229</v>
      </c>
      <c r="BD134" t="s">
        <v>99</v>
      </c>
      <c r="BI134" t="s">
        <v>233</v>
      </c>
      <c r="BJ134" t="s">
        <v>0</v>
      </c>
      <c r="BK134">
        <v>42509913</v>
      </c>
      <c r="BN134" t="s">
        <v>73</v>
      </c>
      <c r="BR134">
        <v>-177</v>
      </c>
      <c r="BS134">
        <v>42509935</v>
      </c>
      <c r="BT134" s="73">
        <v>45374.950694444444</v>
      </c>
      <c r="BU134" t="s">
        <v>226</v>
      </c>
      <c r="BV134" t="s">
        <v>311</v>
      </c>
      <c r="BW134" t="s">
        <v>228</v>
      </c>
      <c r="CH134" t="s">
        <v>229</v>
      </c>
      <c r="CI134" t="s">
        <v>99</v>
      </c>
      <c r="CJ134" t="s">
        <v>226</v>
      </c>
      <c r="CK134" t="s">
        <v>311</v>
      </c>
      <c r="CL134" t="s">
        <v>228</v>
      </c>
      <c r="CM134" t="s">
        <v>234</v>
      </c>
      <c r="CN134" t="s">
        <v>73</v>
      </c>
      <c r="CO134">
        <v>-177</v>
      </c>
      <c r="CP134">
        <v>42509935</v>
      </c>
      <c r="CQ134" s="73">
        <v>45374.950694444444</v>
      </c>
      <c r="CR134" t="s">
        <v>229</v>
      </c>
      <c r="CS134" t="s">
        <v>99</v>
      </c>
      <c r="CU134" t="s">
        <v>225</v>
      </c>
    </row>
    <row r="135" spans="1:99">
      <c r="A135" t="s">
        <v>103</v>
      </c>
      <c r="B135" t="s">
        <v>98</v>
      </c>
      <c r="J135" t="s">
        <v>225</v>
      </c>
      <c r="K135" t="s">
        <v>225</v>
      </c>
      <c r="M135" s="73">
        <v>45374.950694444444</v>
      </c>
      <c r="N135">
        <v>42509934</v>
      </c>
      <c r="O135">
        <v>3540</v>
      </c>
      <c r="P135" t="s">
        <v>104</v>
      </c>
      <c r="Q135">
        <v>3540</v>
      </c>
      <c r="R135" t="s">
        <v>104</v>
      </c>
      <c r="S135">
        <v>177</v>
      </c>
      <c r="T135" t="s">
        <v>73</v>
      </c>
      <c r="U135" t="s">
        <v>226</v>
      </c>
      <c r="V135" t="s">
        <v>311</v>
      </c>
      <c r="W135" t="s">
        <v>235</v>
      </c>
      <c r="X135" t="s">
        <v>229</v>
      </c>
      <c r="Y135" t="s">
        <v>103</v>
      </c>
      <c r="AD135" t="s">
        <v>104</v>
      </c>
      <c r="AE135">
        <v>3540</v>
      </c>
      <c r="AF135">
        <v>42509934</v>
      </c>
      <c r="AG135" s="73">
        <v>45374.950694444444</v>
      </c>
      <c r="AH135" t="s">
        <v>226</v>
      </c>
      <c r="AI135" t="s">
        <v>311</v>
      </c>
      <c r="AJ135" t="s">
        <v>235</v>
      </c>
      <c r="AK135" t="s">
        <v>229</v>
      </c>
      <c r="AL135" t="s">
        <v>103</v>
      </c>
      <c r="AP135" t="s">
        <v>230</v>
      </c>
      <c r="AQ135" t="s">
        <v>231</v>
      </c>
      <c r="AT135" t="s">
        <v>232</v>
      </c>
      <c r="AU135">
        <v>-99</v>
      </c>
      <c r="AV135" t="s">
        <v>104</v>
      </c>
      <c r="AW135">
        <v>3540</v>
      </c>
      <c r="AX135">
        <v>42509934</v>
      </c>
      <c r="AY135" s="73">
        <v>45374.950694444444</v>
      </c>
      <c r="AZ135" t="s">
        <v>226</v>
      </c>
      <c r="BA135" t="s">
        <v>311</v>
      </c>
      <c r="BB135" t="s">
        <v>235</v>
      </c>
      <c r="BC135" t="s">
        <v>229</v>
      </c>
      <c r="BD135" t="s">
        <v>103</v>
      </c>
      <c r="BI135" t="s">
        <v>233</v>
      </c>
      <c r="BJ135" t="s">
        <v>0</v>
      </c>
      <c r="BK135">
        <v>42509913</v>
      </c>
      <c r="BN135" t="s">
        <v>104</v>
      </c>
      <c r="BO135">
        <v>42509926</v>
      </c>
      <c r="BR135">
        <v>3540</v>
      </c>
      <c r="BS135">
        <v>42509934</v>
      </c>
      <c r="BT135" s="73">
        <v>45374.950694444444</v>
      </c>
      <c r="BU135" t="s">
        <v>226</v>
      </c>
      <c r="BV135" t="s">
        <v>311</v>
      </c>
      <c r="BW135" t="s">
        <v>235</v>
      </c>
      <c r="CH135" t="s">
        <v>229</v>
      </c>
      <c r="CI135" t="s">
        <v>103</v>
      </c>
      <c r="CJ135" t="s">
        <v>226</v>
      </c>
      <c r="CK135" t="s">
        <v>311</v>
      </c>
      <c r="CL135" t="s">
        <v>235</v>
      </c>
      <c r="CM135" t="s">
        <v>236</v>
      </c>
      <c r="CN135" t="s">
        <v>104</v>
      </c>
      <c r="CO135">
        <v>3540</v>
      </c>
      <c r="CP135">
        <v>42509934</v>
      </c>
      <c r="CQ135" s="73">
        <v>45374.950694444444</v>
      </c>
      <c r="CR135" t="s">
        <v>229</v>
      </c>
      <c r="CS135" t="s">
        <v>103</v>
      </c>
      <c r="CU135" t="s">
        <v>225</v>
      </c>
    </row>
    <row r="136" spans="1:99">
      <c r="A136" t="s">
        <v>111</v>
      </c>
      <c r="B136" t="s">
        <v>77</v>
      </c>
      <c r="J136" t="s">
        <v>225</v>
      </c>
      <c r="K136" t="s">
        <v>225</v>
      </c>
      <c r="M136" s="73">
        <v>45374.950694444444</v>
      </c>
      <c r="N136">
        <v>42509933</v>
      </c>
      <c r="O136">
        <v>8</v>
      </c>
      <c r="P136" t="s">
        <v>45</v>
      </c>
      <c r="Q136">
        <v>8</v>
      </c>
      <c r="R136" t="s">
        <v>45</v>
      </c>
      <c r="U136" t="s">
        <v>226</v>
      </c>
      <c r="V136" t="s">
        <v>311</v>
      </c>
      <c r="W136" t="s">
        <v>237</v>
      </c>
      <c r="X136" t="s">
        <v>229</v>
      </c>
      <c r="Y136" t="s">
        <v>111</v>
      </c>
      <c r="AD136" t="s">
        <v>45</v>
      </c>
      <c r="AE136">
        <v>8</v>
      </c>
      <c r="AF136">
        <v>42509933</v>
      </c>
      <c r="AG136" s="73">
        <v>45374.950694444444</v>
      </c>
      <c r="AH136" t="s">
        <v>226</v>
      </c>
      <c r="AI136" t="s">
        <v>311</v>
      </c>
      <c r="AJ136" t="s">
        <v>237</v>
      </c>
      <c r="AK136" t="s">
        <v>229</v>
      </c>
      <c r="AL136" t="s">
        <v>111</v>
      </c>
      <c r="AP136" t="s">
        <v>230</v>
      </c>
      <c r="AQ136" t="s">
        <v>231</v>
      </c>
      <c r="AT136" t="s">
        <v>232</v>
      </c>
      <c r="AU136">
        <v>-99</v>
      </c>
      <c r="AV136" t="s">
        <v>45</v>
      </c>
      <c r="AW136">
        <v>8</v>
      </c>
      <c r="AX136">
        <v>42509933</v>
      </c>
      <c r="AY136" s="73">
        <v>45374.950694444444</v>
      </c>
      <c r="AZ136" t="s">
        <v>226</v>
      </c>
      <c r="BA136" t="s">
        <v>311</v>
      </c>
      <c r="BB136" t="s">
        <v>237</v>
      </c>
      <c r="BC136" t="s">
        <v>229</v>
      </c>
      <c r="BD136" t="s">
        <v>111</v>
      </c>
      <c r="BI136" t="s">
        <v>233</v>
      </c>
      <c r="BJ136" t="s">
        <v>0</v>
      </c>
      <c r="BK136">
        <v>42509913</v>
      </c>
      <c r="BN136" t="s">
        <v>45</v>
      </c>
      <c r="BO136">
        <v>42509928</v>
      </c>
      <c r="BR136">
        <v>8</v>
      </c>
      <c r="BS136">
        <v>42509933</v>
      </c>
      <c r="BT136" s="73">
        <v>45374.950694444444</v>
      </c>
      <c r="BU136" t="s">
        <v>226</v>
      </c>
      <c r="BV136" t="s">
        <v>311</v>
      </c>
      <c r="BW136" t="s">
        <v>237</v>
      </c>
      <c r="CH136" t="s">
        <v>229</v>
      </c>
      <c r="CI136" t="s">
        <v>111</v>
      </c>
      <c r="CJ136" t="s">
        <v>226</v>
      </c>
      <c r="CK136" t="s">
        <v>311</v>
      </c>
      <c r="CL136" t="s">
        <v>237</v>
      </c>
      <c r="CM136" t="s">
        <v>236</v>
      </c>
      <c r="CN136" t="s">
        <v>45</v>
      </c>
      <c r="CO136">
        <v>8</v>
      </c>
      <c r="CP136">
        <v>42509933</v>
      </c>
      <c r="CQ136" s="73">
        <v>45374.950694444444</v>
      </c>
      <c r="CR136" t="s">
        <v>229</v>
      </c>
      <c r="CS136" t="s">
        <v>111</v>
      </c>
      <c r="CU136" t="s">
        <v>225</v>
      </c>
    </row>
    <row r="137" spans="1:99">
      <c r="A137" t="s">
        <v>42</v>
      </c>
      <c r="B137" t="s">
        <v>92</v>
      </c>
      <c r="J137" t="s">
        <v>225</v>
      </c>
      <c r="K137" t="s">
        <v>225</v>
      </c>
      <c r="M137" s="73">
        <v>45374.95</v>
      </c>
      <c r="N137">
        <v>42509911</v>
      </c>
      <c r="O137">
        <v>-8110</v>
      </c>
      <c r="P137" t="s">
        <v>45</v>
      </c>
      <c r="Q137">
        <v>-8110</v>
      </c>
      <c r="R137" t="s">
        <v>45</v>
      </c>
      <c r="U137" t="s">
        <v>226</v>
      </c>
      <c r="V137" t="s">
        <v>312</v>
      </c>
      <c r="W137" t="s">
        <v>228</v>
      </c>
      <c r="X137" t="s">
        <v>229</v>
      </c>
      <c r="Y137" t="s">
        <v>42</v>
      </c>
      <c r="AD137" t="s">
        <v>45</v>
      </c>
      <c r="AE137">
        <v>-8110</v>
      </c>
      <c r="AF137">
        <v>42509911</v>
      </c>
      <c r="AG137" s="73">
        <v>45374.95</v>
      </c>
      <c r="AH137" t="s">
        <v>226</v>
      </c>
      <c r="AI137" t="s">
        <v>312</v>
      </c>
      <c r="AJ137" t="s">
        <v>228</v>
      </c>
      <c r="AK137" t="s">
        <v>229</v>
      </c>
      <c r="AL137" t="s">
        <v>42</v>
      </c>
      <c r="AP137" t="s">
        <v>230</v>
      </c>
      <c r="AQ137" t="s">
        <v>231</v>
      </c>
      <c r="AT137" t="s">
        <v>232</v>
      </c>
      <c r="AU137">
        <v>-99</v>
      </c>
      <c r="AV137" t="s">
        <v>45</v>
      </c>
      <c r="AW137">
        <v>-8110</v>
      </c>
      <c r="AX137">
        <v>42509911</v>
      </c>
      <c r="AY137" s="73">
        <v>45374.95</v>
      </c>
      <c r="AZ137" t="s">
        <v>226</v>
      </c>
      <c r="BA137" t="s">
        <v>312</v>
      </c>
      <c r="BB137" t="s">
        <v>228</v>
      </c>
      <c r="BC137" t="s">
        <v>229</v>
      </c>
      <c r="BD137" t="s">
        <v>42</v>
      </c>
      <c r="BI137" t="s">
        <v>233</v>
      </c>
      <c r="BJ137" t="s">
        <v>0</v>
      </c>
      <c r="BK137">
        <v>42509895</v>
      </c>
      <c r="BN137" t="s">
        <v>45</v>
      </c>
      <c r="BR137">
        <v>-8110</v>
      </c>
      <c r="BS137">
        <v>42509911</v>
      </c>
      <c r="BT137" s="73">
        <v>45374.95</v>
      </c>
      <c r="BU137" t="s">
        <v>226</v>
      </c>
      <c r="BV137" t="s">
        <v>312</v>
      </c>
      <c r="BW137" t="s">
        <v>228</v>
      </c>
      <c r="CH137" t="s">
        <v>229</v>
      </c>
      <c r="CI137" t="s">
        <v>42</v>
      </c>
      <c r="CJ137" t="s">
        <v>226</v>
      </c>
      <c r="CK137" t="s">
        <v>312</v>
      </c>
      <c r="CL137" t="s">
        <v>228</v>
      </c>
      <c r="CM137" t="s">
        <v>234</v>
      </c>
      <c r="CN137" t="s">
        <v>45</v>
      </c>
      <c r="CO137">
        <v>-8110</v>
      </c>
      <c r="CP137">
        <v>42509911</v>
      </c>
      <c r="CQ137" s="73">
        <v>45374.95</v>
      </c>
      <c r="CR137" t="s">
        <v>229</v>
      </c>
      <c r="CS137" t="s">
        <v>42</v>
      </c>
      <c r="CU137" t="s">
        <v>225</v>
      </c>
    </row>
    <row r="138" spans="1:99">
      <c r="A138" t="s">
        <v>99</v>
      </c>
      <c r="B138" t="s">
        <v>98</v>
      </c>
      <c r="J138" t="s">
        <v>225</v>
      </c>
      <c r="K138" t="s">
        <v>225</v>
      </c>
      <c r="M138" s="73">
        <v>45374.95</v>
      </c>
      <c r="N138">
        <v>42509910</v>
      </c>
      <c r="O138">
        <v>-405</v>
      </c>
      <c r="P138" t="s">
        <v>73</v>
      </c>
      <c r="Q138">
        <v>-405</v>
      </c>
      <c r="R138" t="s">
        <v>73</v>
      </c>
      <c r="U138" t="s">
        <v>226</v>
      </c>
      <c r="V138" t="s">
        <v>312</v>
      </c>
      <c r="W138" t="s">
        <v>228</v>
      </c>
      <c r="X138" t="s">
        <v>229</v>
      </c>
      <c r="Y138" t="s">
        <v>99</v>
      </c>
      <c r="AD138" t="s">
        <v>73</v>
      </c>
      <c r="AE138">
        <v>-405</v>
      </c>
      <c r="AF138">
        <v>42509910</v>
      </c>
      <c r="AG138" s="73">
        <v>45374.95</v>
      </c>
      <c r="AH138" t="s">
        <v>226</v>
      </c>
      <c r="AI138" t="s">
        <v>312</v>
      </c>
      <c r="AJ138" t="s">
        <v>228</v>
      </c>
      <c r="AK138" t="s">
        <v>229</v>
      </c>
      <c r="AL138" t="s">
        <v>99</v>
      </c>
      <c r="AP138" t="s">
        <v>230</v>
      </c>
      <c r="AQ138" t="s">
        <v>231</v>
      </c>
      <c r="AT138" t="s">
        <v>232</v>
      </c>
      <c r="AU138">
        <v>-99</v>
      </c>
      <c r="AV138" t="s">
        <v>73</v>
      </c>
      <c r="AW138">
        <v>-405</v>
      </c>
      <c r="AX138">
        <v>42509910</v>
      </c>
      <c r="AY138" s="73">
        <v>45374.95</v>
      </c>
      <c r="AZ138" t="s">
        <v>226</v>
      </c>
      <c r="BA138" t="s">
        <v>312</v>
      </c>
      <c r="BB138" t="s">
        <v>228</v>
      </c>
      <c r="BC138" t="s">
        <v>229</v>
      </c>
      <c r="BD138" t="s">
        <v>99</v>
      </c>
      <c r="BI138" t="s">
        <v>233</v>
      </c>
      <c r="BJ138" t="s">
        <v>0</v>
      </c>
      <c r="BK138">
        <v>42509895</v>
      </c>
      <c r="BN138" t="s">
        <v>73</v>
      </c>
      <c r="BR138">
        <v>-405</v>
      </c>
      <c r="BS138">
        <v>42509910</v>
      </c>
      <c r="BT138" s="73">
        <v>45374.95</v>
      </c>
      <c r="BU138" t="s">
        <v>226</v>
      </c>
      <c r="BV138" t="s">
        <v>312</v>
      </c>
      <c r="BW138" t="s">
        <v>228</v>
      </c>
      <c r="CH138" t="s">
        <v>229</v>
      </c>
      <c r="CI138" t="s">
        <v>99</v>
      </c>
      <c r="CJ138" t="s">
        <v>226</v>
      </c>
      <c r="CK138" t="s">
        <v>312</v>
      </c>
      <c r="CL138" t="s">
        <v>228</v>
      </c>
      <c r="CM138" t="s">
        <v>234</v>
      </c>
      <c r="CN138" t="s">
        <v>73</v>
      </c>
      <c r="CO138">
        <v>-405</v>
      </c>
      <c r="CP138">
        <v>42509910</v>
      </c>
      <c r="CQ138" s="73">
        <v>45374.95</v>
      </c>
      <c r="CR138" t="s">
        <v>229</v>
      </c>
      <c r="CS138" t="s">
        <v>99</v>
      </c>
      <c r="CU138" t="s">
        <v>225</v>
      </c>
    </row>
    <row r="139" spans="1:99">
      <c r="A139" t="s">
        <v>103</v>
      </c>
      <c r="B139" t="s">
        <v>98</v>
      </c>
      <c r="J139" t="s">
        <v>225</v>
      </c>
      <c r="K139" t="s">
        <v>225</v>
      </c>
      <c r="M139" s="73">
        <v>45374.95</v>
      </c>
      <c r="N139">
        <v>42509909</v>
      </c>
      <c r="O139">
        <v>8100</v>
      </c>
      <c r="P139" t="s">
        <v>104</v>
      </c>
      <c r="Q139">
        <v>8100</v>
      </c>
      <c r="R139" t="s">
        <v>104</v>
      </c>
      <c r="S139">
        <v>405</v>
      </c>
      <c r="T139" t="s">
        <v>73</v>
      </c>
      <c r="U139" t="s">
        <v>226</v>
      </c>
      <c r="V139" t="s">
        <v>312</v>
      </c>
      <c r="W139" t="s">
        <v>235</v>
      </c>
      <c r="X139" t="s">
        <v>229</v>
      </c>
      <c r="Y139" t="s">
        <v>103</v>
      </c>
      <c r="AD139" t="s">
        <v>104</v>
      </c>
      <c r="AE139">
        <v>8100</v>
      </c>
      <c r="AF139">
        <v>42509909</v>
      </c>
      <c r="AG139" s="73">
        <v>45374.95</v>
      </c>
      <c r="AH139" t="s">
        <v>226</v>
      </c>
      <c r="AI139" t="s">
        <v>312</v>
      </c>
      <c r="AJ139" t="s">
        <v>235</v>
      </c>
      <c r="AK139" t="s">
        <v>229</v>
      </c>
      <c r="AL139" t="s">
        <v>103</v>
      </c>
      <c r="AP139" t="s">
        <v>230</v>
      </c>
      <c r="AQ139" t="s">
        <v>231</v>
      </c>
      <c r="AT139" t="s">
        <v>232</v>
      </c>
      <c r="AU139">
        <v>-99</v>
      </c>
      <c r="AV139" t="s">
        <v>104</v>
      </c>
      <c r="AW139">
        <v>8100</v>
      </c>
      <c r="AX139">
        <v>42509909</v>
      </c>
      <c r="AY139" s="73">
        <v>45374.95</v>
      </c>
      <c r="AZ139" t="s">
        <v>226</v>
      </c>
      <c r="BA139" t="s">
        <v>312</v>
      </c>
      <c r="BB139" t="s">
        <v>235</v>
      </c>
      <c r="BC139" t="s">
        <v>229</v>
      </c>
      <c r="BD139" t="s">
        <v>103</v>
      </c>
      <c r="BI139" t="s">
        <v>233</v>
      </c>
      <c r="BJ139" t="s">
        <v>0</v>
      </c>
      <c r="BK139">
        <v>42509895</v>
      </c>
      <c r="BN139" t="s">
        <v>104</v>
      </c>
      <c r="BO139">
        <v>42509901</v>
      </c>
      <c r="BR139">
        <v>8100</v>
      </c>
      <c r="BS139">
        <v>42509909</v>
      </c>
      <c r="BT139" s="73">
        <v>45374.95</v>
      </c>
      <c r="BU139" t="s">
        <v>226</v>
      </c>
      <c r="BV139" t="s">
        <v>312</v>
      </c>
      <c r="BW139" t="s">
        <v>235</v>
      </c>
      <c r="CH139" t="s">
        <v>229</v>
      </c>
      <c r="CI139" t="s">
        <v>103</v>
      </c>
      <c r="CJ139" t="s">
        <v>226</v>
      </c>
      <c r="CK139" t="s">
        <v>312</v>
      </c>
      <c r="CL139" t="s">
        <v>235</v>
      </c>
      <c r="CM139" t="s">
        <v>236</v>
      </c>
      <c r="CN139" t="s">
        <v>104</v>
      </c>
      <c r="CO139">
        <v>8100</v>
      </c>
      <c r="CP139">
        <v>42509909</v>
      </c>
      <c r="CQ139" s="73">
        <v>45374.95</v>
      </c>
      <c r="CR139" t="s">
        <v>229</v>
      </c>
      <c r="CS139" t="s">
        <v>103</v>
      </c>
      <c r="CU139" t="s">
        <v>225</v>
      </c>
    </row>
    <row r="140" spans="1:99">
      <c r="A140" t="s">
        <v>111</v>
      </c>
      <c r="B140" t="s">
        <v>77</v>
      </c>
      <c r="J140" t="s">
        <v>225</v>
      </c>
      <c r="K140" t="s">
        <v>225</v>
      </c>
      <c r="M140" s="73">
        <v>45374.95</v>
      </c>
      <c r="N140">
        <v>42509908</v>
      </c>
      <c r="O140">
        <v>10</v>
      </c>
      <c r="P140" t="s">
        <v>45</v>
      </c>
      <c r="Q140">
        <v>10</v>
      </c>
      <c r="R140" t="s">
        <v>45</v>
      </c>
      <c r="U140" t="s">
        <v>226</v>
      </c>
      <c r="V140" t="s">
        <v>312</v>
      </c>
      <c r="W140" t="s">
        <v>237</v>
      </c>
      <c r="X140" t="s">
        <v>229</v>
      </c>
      <c r="Y140" t="s">
        <v>111</v>
      </c>
      <c r="AD140" t="s">
        <v>45</v>
      </c>
      <c r="AE140">
        <v>10</v>
      </c>
      <c r="AF140">
        <v>42509908</v>
      </c>
      <c r="AG140" s="73">
        <v>45374.95</v>
      </c>
      <c r="AH140" t="s">
        <v>226</v>
      </c>
      <c r="AI140" t="s">
        <v>312</v>
      </c>
      <c r="AJ140" t="s">
        <v>237</v>
      </c>
      <c r="AK140" t="s">
        <v>229</v>
      </c>
      <c r="AL140" t="s">
        <v>111</v>
      </c>
      <c r="AP140" t="s">
        <v>230</v>
      </c>
      <c r="AQ140" t="s">
        <v>231</v>
      </c>
      <c r="AT140" t="s">
        <v>232</v>
      </c>
      <c r="AU140">
        <v>-99</v>
      </c>
      <c r="AV140" t="s">
        <v>45</v>
      </c>
      <c r="AW140">
        <v>10</v>
      </c>
      <c r="AX140">
        <v>42509908</v>
      </c>
      <c r="AY140" s="73">
        <v>45374.95</v>
      </c>
      <c r="AZ140" t="s">
        <v>226</v>
      </c>
      <c r="BA140" t="s">
        <v>312</v>
      </c>
      <c r="BB140" t="s">
        <v>237</v>
      </c>
      <c r="BC140" t="s">
        <v>229</v>
      </c>
      <c r="BD140" t="s">
        <v>111</v>
      </c>
      <c r="BI140" t="s">
        <v>233</v>
      </c>
      <c r="BJ140" t="s">
        <v>0</v>
      </c>
      <c r="BK140">
        <v>42509895</v>
      </c>
      <c r="BN140" t="s">
        <v>45</v>
      </c>
      <c r="BO140">
        <v>42509903</v>
      </c>
      <c r="BR140">
        <v>10</v>
      </c>
      <c r="BS140">
        <v>42509908</v>
      </c>
      <c r="BT140" s="73">
        <v>45374.95</v>
      </c>
      <c r="BU140" t="s">
        <v>226</v>
      </c>
      <c r="BV140" t="s">
        <v>312</v>
      </c>
      <c r="BW140" t="s">
        <v>237</v>
      </c>
      <c r="CH140" t="s">
        <v>229</v>
      </c>
      <c r="CI140" t="s">
        <v>111</v>
      </c>
      <c r="CJ140" t="s">
        <v>226</v>
      </c>
      <c r="CK140" t="s">
        <v>312</v>
      </c>
      <c r="CL140" t="s">
        <v>237</v>
      </c>
      <c r="CM140" t="s">
        <v>236</v>
      </c>
      <c r="CN140" t="s">
        <v>45</v>
      </c>
      <c r="CO140">
        <v>10</v>
      </c>
      <c r="CP140">
        <v>42509908</v>
      </c>
      <c r="CQ140" s="73">
        <v>45374.95</v>
      </c>
      <c r="CR140" t="s">
        <v>229</v>
      </c>
      <c r="CS140" t="s">
        <v>111</v>
      </c>
      <c r="CU140" t="s">
        <v>225</v>
      </c>
    </row>
    <row r="141" spans="1:99">
      <c r="A141" t="s">
        <v>52</v>
      </c>
      <c r="B141" t="s">
        <v>92</v>
      </c>
      <c r="J141" t="s">
        <v>225</v>
      </c>
      <c r="K141" t="s">
        <v>225</v>
      </c>
      <c r="M141" s="73">
        <v>45374.948611111111</v>
      </c>
      <c r="N141">
        <v>42509886</v>
      </c>
      <c r="O141">
        <v>-200</v>
      </c>
      <c r="P141" t="s">
        <v>45</v>
      </c>
      <c r="Q141">
        <v>-200</v>
      </c>
      <c r="R141" t="s">
        <v>45</v>
      </c>
      <c r="U141" t="s">
        <v>226</v>
      </c>
      <c r="V141" t="s">
        <v>313</v>
      </c>
      <c r="W141" t="s">
        <v>228</v>
      </c>
      <c r="X141" t="s">
        <v>229</v>
      </c>
      <c r="Y141" t="s">
        <v>52</v>
      </c>
      <c r="AD141" t="s">
        <v>45</v>
      </c>
      <c r="AE141">
        <v>-200</v>
      </c>
      <c r="AF141">
        <v>42509886</v>
      </c>
      <c r="AG141" s="73">
        <v>45374.948611111111</v>
      </c>
      <c r="AH141" t="s">
        <v>226</v>
      </c>
      <c r="AI141" t="s">
        <v>313</v>
      </c>
      <c r="AJ141" t="s">
        <v>228</v>
      </c>
      <c r="AK141" t="s">
        <v>229</v>
      </c>
      <c r="AL141" t="s">
        <v>52</v>
      </c>
      <c r="AP141" t="s">
        <v>230</v>
      </c>
      <c r="AQ141" t="s">
        <v>231</v>
      </c>
      <c r="AT141" t="s">
        <v>232</v>
      </c>
      <c r="AU141">
        <v>-99</v>
      </c>
      <c r="AV141" t="s">
        <v>45</v>
      </c>
      <c r="AW141">
        <v>-200</v>
      </c>
      <c r="AX141">
        <v>42509886</v>
      </c>
      <c r="AY141" s="73">
        <v>45374.948611111111</v>
      </c>
      <c r="AZ141" t="s">
        <v>226</v>
      </c>
      <c r="BA141" t="s">
        <v>313</v>
      </c>
      <c r="BB141" t="s">
        <v>228</v>
      </c>
      <c r="BC141" t="s">
        <v>229</v>
      </c>
      <c r="BD141" t="s">
        <v>52</v>
      </c>
      <c r="BI141" t="s">
        <v>233</v>
      </c>
      <c r="BJ141" t="s">
        <v>0</v>
      </c>
      <c r="BK141">
        <v>42509874</v>
      </c>
      <c r="BN141" t="s">
        <v>45</v>
      </c>
      <c r="BR141">
        <v>-200</v>
      </c>
      <c r="BS141">
        <v>42509886</v>
      </c>
      <c r="BT141" s="73">
        <v>45374.948611111111</v>
      </c>
      <c r="BU141" t="s">
        <v>226</v>
      </c>
      <c r="BV141" t="s">
        <v>313</v>
      </c>
      <c r="BW141" t="s">
        <v>228</v>
      </c>
      <c r="CH141" t="s">
        <v>229</v>
      </c>
      <c r="CI141" t="s">
        <v>52</v>
      </c>
      <c r="CJ141" t="s">
        <v>226</v>
      </c>
      <c r="CK141" t="s">
        <v>313</v>
      </c>
      <c r="CL141" t="s">
        <v>228</v>
      </c>
      <c r="CM141" t="s">
        <v>234</v>
      </c>
      <c r="CN141" t="s">
        <v>45</v>
      </c>
      <c r="CO141">
        <v>-200</v>
      </c>
      <c r="CP141">
        <v>42509886</v>
      </c>
      <c r="CQ141" s="73">
        <v>45374.948611111111</v>
      </c>
      <c r="CR141" t="s">
        <v>229</v>
      </c>
      <c r="CS141" t="s">
        <v>52</v>
      </c>
      <c r="CU141" t="s">
        <v>225</v>
      </c>
    </row>
    <row r="142" spans="1:99">
      <c r="A142" t="s">
        <v>101</v>
      </c>
      <c r="B142" t="s">
        <v>98</v>
      </c>
      <c r="J142" t="s">
        <v>225</v>
      </c>
      <c r="K142" t="s">
        <v>225</v>
      </c>
      <c r="M142" s="73">
        <v>45374.948611111111</v>
      </c>
      <c r="N142">
        <v>42509885</v>
      </c>
      <c r="O142">
        <v>-10</v>
      </c>
      <c r="P142" t="s">
        <v>73</v>
      </c>
      <c r="Q142">
        <v>-10</v>
      </c>
      <c r="R142" t="s">
        <v>73</v>
      </c>
      <c r="U142" t="s">
        <v>226</v>
      </c>
      <c r="V142" t="s">
        <v>313</v>
      </c>
      <c r="W142" t="s">
        <v>228</v>
      </c>
      <c r="X142" t="s">
        <v>229</v>
      </c>
      <c r="Y142" t="s">
        <v>101</v>
      </c>
      <c r="AD142" t="s">
        <v>73</v>
      </c>
      <c r="AE142">
        <v>-10</v>
      </c>
      <c r="AF142">
        <v>42509885</v>
      </c>
      <c r="AG142" s="73">
        <v>45374.948611111111</v>
      </c>
      <c r="AH142" t="s">
        <v>226</v>
      </c>
      <c r="AI142" t="s">
        <v>313</v>
      </c>
      <c r="AJ142" t="s">
        <v>228</v>
      </c>
      <c r="AK142" t="s">
        <v>229</v>
      </c>
      <c r="AL142" t="s">
        <v>101</v>
      </c>
      <c r="AP142" t="s">
        <v>230</v>
      </c>
      <c r="AQ142" t="s">
        <v>231</v>
      </c>
      <c r="AT142" t="s">
        <v>232</v>
      </c>
      <c r="AU142">
        <v>-99</v>
      </c>
      <c r="AV142" t="s">
        <v>73</v>
      </c>
      <c r="AW142">
        <v>-10</v>
      </c>
      <c r="AX142">
        <v>42509885</v>
      </c>
      <c r="AY142" s="73">
        <v>45374.948611111111</v>
      </c>
      <c r="AZ142" t="s">
        <v>226</v>
      </c>
      <c r="BA142" t="s">
        <v>313</v>
      </c>
      <c r="BB142" t="s">
        <v>228</v>
      </c>
      <c r="BC142" t="s">
        <v>229</v>
      </c>
      <c r="BD142" t="s">
        <v>101</v>
      </c>
      <c r="BI142" t="s">
        <v>233</v>
      </c>
      <c r="BJ142" t="s">
        <v>0</v>
      </c>
      <c r="BK142">
        <v>42509874</v>
      </c>
      <c r="BN142" t="s">
        <v>73</v>
      </c>
      <c r="BR142">
        <v>-10</v>
      </c>
      <c r="BS142">
        <v>42509885</v>
      </c>
      <c r="BT142" s="73">
        <v>45374.948611111111</v>
      </c>
      <c r="BU142" t="s">
        <v>226</v>
      </c>
      <c r="BV142" t="s">
        <v>313</v>
      </c>
      <c r="BW142" t="s">
        <v>228</v>
      </c>
      <c r="CH142" t="s">
        <v>229</v>
      </c>
      <c r="CI142" t="s">
        <v>101</v>
      </c>
      <c r="CJ142" t="s">
        <v>226</v>
      </c>
      <c r="CK142" t="s">
        <v>313</v>
      </c>
      <c r="CL142" t="s">
        <v>228</v>
      </c>
      <c r="CM142" t="s">
        <v>234</v>
      </c>
      <c r="CN142" t="s">
        <v>73</v>
      </c>
      <c r="CO142">
        <v>-10</v>
      </c>
      <c r="CP142">
        <v>42509885</v>
      </c>
      <c r="CQ142" s="73">
        <v>45374.948611111111</v>
      </c>
      <c r="CR142" t="s">
        <v>229</v>
      </c>
      <c r="CS142" t="s">
        <v>101</v>
      </c>
      <c r="CU142" t="s">
        <v>225</v>
      </c>
    </row>
    <row r="143" spans="1:99">
      <c r="A143" t="s">
        <v>107</v>
      </c>
      <c r="B143" t="s">
        <v>98</v>
      </c>
      <c r="J143" t="s">
        <v>225</v>
      </c>
      <c r="K143" t="s">
        <v>225</v>
      </c>
      <c r="M143" s="73">
        <v>45374.948611111111</v>
      </c>
      <c r="N143">
        <v>42509884</v>
      </c>
      <c r="O143">
        <v>200</v>
      </c>
      <c r="P143" t="s">
        <v>104</v>
      </c>
      <c r="Q143">
        <v>200</v>
      </c>
      <c r="R143" t="s">
        <v>104</v>
      </c>
      <c r="S143">
        <v>10</v>
      </c>
      <c r="T143" t="s">
        <v>73</v>
      </c>
      <c r="U143" t="s">
        <v>226</v>
      </c>
      <c r="V143" t="s">
        <v>313</v>
      </c>
      <c r="W143" t="s">
        <v>235</v>
      </c>
      <c r="X143" t="s">
        <v>229</v>
      </c>
      <c r="Y143" t="s">
        <v>107</v>
      </c>
      <c r="AD143" t="s">
        <v>104</v>
      </c>
      <c r="AE143">
        <v>200</v>
      </c>
      <c r="AF143">
        <v>42509884</v>
      </c>
      <c r="AG143" s="73">
        <v>45374.948611111111</v>
      </c>
      <c r="AH143" t="s">
        <v>226</v>
      </c>
      <c r="AI143" t="s">
        <v>313</v>
      </c>
      <c r="AJ143" t="s">
        <v>235</v>
      </c>
      <c r="AK143" t="s">
        <v>229</v>
      </c>
      <c r="AL143" t="s">
        <v>107</v>
      </c>
      <c r="AP143" t="s">
        <v>230</v>
      </c>
      <c r="AQ143" t="s">
        <v>231</v>
      </c>
      <c r="AT143" t="s">
        <v>232</v>
      </c>
      <c r="AU143">
        <v>-99</v>
      </c>
      <c r="AV143" t="s">
        <v>104</v>
      </c>
      <c r="AW143">
        <v>200</v>
      </c>
      <c r="AX143">
        <v>42509884</v>
      </c>
      <c r="AY143" s="73">
        <v>45374.948611111111</v>
      </c>
      <c r="AZ143" t="s">
        <v>226</v>
      </c>
      <c r="BA143" t="s">
        <v>313</v>
      </c>
      <c r="BB143" t="s">
        <v>235</v>
      </c>
      <c r="BC143" t="s">
        <v>229</v>
      </c>
      <c r="BD143" t="s">
        <v>107</v>
      </c>
      <c r="BI143" t="s">
        <v>233</v>
      </c>
      <c r="BJ143" t="s">
        <v>0</v>
      </c>
      <c r="BK143">
        <v>42509874</v>
      </c>
      <c r="BN143" t="s">
        <v>104</v>
      </c>
      <c r="BO143">
        <v>42509880</v>
      </c>
      <c r="BR143">
        <v>200</v>
      </c>
      <c r="BS143">
        <v>42509884</v>
      </c>
      <c r="BT143" s="73">
        <v>45374.948611111111</v>
      </c>
      <c r="BU143" t="s">
        <v>226</v>
      </c>
      <c r="BV143" t="s">
        <v>313</v>
      </c>
      <c r="BW143" t="s">
        <v>235</v>
      </c>
      <c r="CH143" t="s">
        <v>229</v>
      </c>
      <c r="CI143" t="s">
        <v>107</v>
      </c>
      <c r="CJ143" t="s">
        <v>226</v>
      </c>
      <c r="CK143" t="s">
        <v>313</v>
      </c>
      <c r="CL143" t="s">
        <v>235</v>
      </c>
      <c r="CM143" t="s">
        <v>236</v>
      </c>
      <c r="CN143" t="s">
        <v>104</v>
      </c>
      <c r="CO143">
        <v>200</v>
      </c>
      <c r="CP143">
        <v>42509884</v>
      </c>
      <c r="CQ143" s="73">
        <v>45374.948611111111</v>
      </c>
      <c r="CR143" t="s">
        <v>229</v>
      </c>
      <c r="CS143" t="s">
        <v>107</v>
      </c>
      <c r="CU143" t="s">
        <v>225</v>
      </c>
    </row>
    <row r="144" spans="1:99">
      <c r="A144" t="s">
        <v>52</v>
      </c>
      <c r="B144" t="s">
        <v>92</v>
      </c>
      <c r="J144" t="s">
        <v>225</v>
      </c>
      <c r="K144" t="s">
        <v>225</v>
      </c>
      <c r="M144" s="73">
        <v>45374.927777777775</v>
      </c>
      <c r="N144">
        <v>42509612</v>
      </c>
      <c r="O144">
        <v>-2266</v>
      </c>
      <c r="P144" t="s">
        <v>45</v>
      </c>
      <c r="Q144">
        <v>-2266</v>
      </c>
      <c r="R144" t="s">
        <v>45</v>
      </c>
      <c r="U144" t="s">
        <v>226</v>
      </c>
      <c r="V144" t="s">
        <v>314</v>
      </c>
      <c r="W144" t="s">
        <v>228</v>
      </c>
      <c r="X144" t="s">
        <v>229</v>
      </c>
      <c r="Y144" t="s">
        <v>52</v>
      </c>
      <c r="AD144" t="s">
        <v>45</v>
      </c>
      <c r="AE144">
        <v>-2266</v>
      </c>
      <c r="AF144">
        <v>42509612</v>
      </c>
      <c r="AG144" s="73">
        <v>45374.927777777775</v>
      </c>
      <c r="AH144" t="s">
        <v>226</v>
      </c>
      <c r="AI144" t="s">
        <v>314</v>
      </c>
      <c r="AJ144" t="s">
        <v>228</v>
      </c>
      <c r="AK144" t="s">
        <v>229</v>
      </c>
      <c r="AL144" t="s">
        <v>52</v>
      </c>
      <c r="AP144" t="s">
        <v>230</v>
      </c>
      <c r="AQ144" t="s">
        <v>231</v>
      </c>
      <c r="AT144" t="s">
        <v>232</v>
      </c>
      <c r="AU144">
        <v>-99</v>
      </c>
      <c r="AV144" t="s">
        <v>45</v>
      </c>
      <c r="AW144">
        <v>-2266</v>
      </c>
      <c r="AX144">
        <v>42509612</v>
      </c>
      <c r="AY144" s="73">
        <v>45374.927777777775</v>
      </c>
      <c r="AZ144" t="s">
        <v>226</v>
      </c>
      <c r="BA144" t="s">
        <v>314</v>
      </c>
      <c r="BB144" t="s">
        <v>228</v>
      </c>
      <c r="BC144" t="s">
        <v>229</v>
      </c>
      <c r="BD144" t="s">
        <v>52</v>
      </c>
      <c r="BI144" t="s">
        <v>233</v>
      </c>
      <c r="BJ144" t="s">
        <v>0</v>
      </c>
      <c r="BK144">
        <v>42509589</v>
      </c>
      <c r="BN144" t="s">
        <v>45</v>
      </c>
      <c r="BR144">
        <v>-2266</v>
      </c>
      <c r="BS144">
        <v>42509612</v>
      </c>
      <c r="BT144" s="73">
        <v>45374.927777777775</v>
      </c>
      <c r="BU144" t="s">
        <v>226</v>
      </c>
      <c r="BV144" t="s">
        <v>314</v>
      </c>
      <c r="BW144" t="s">
        <v>228</v>
      </c>
      <c r="CH144" t="s">
        <v>229</v>
      </c>
      <c r="CI144" t="s">
        <v>52</v>
      </c>
      <c r="CJ144" t="s">
        <v>226</v>
      </c>
      <c r="CK144" t="s">
        <v>314</v>
      </c>
      <c r="CL144" t="s">
        <v>228</v>
      </c>
      <c r="CM144" t="s">
        <v>234</v>
      </c>
      <c r="CN144" t="s">
        <v>45</v>
      </c>
      <c r="CO144">
        <v>-2266</v>
      </c>
      <c r="CP144">
        <v>42509612</v>
      </c>
      <c r="CQ144" s="73">
        <v>45374.927777777775</v>
      </c>
      <c r="CR144" t="s">
        <v>229</v>
      </c>
      <c r="CS144" t="s">
        <v>52</v>
      </c>
      <c r="CU144" t="s">
        <v>225</v>
      </c>
    </row>
    <row r="145" spans="1:99">
      <c r="A145" t="s">
        <v>101</v>
      </c>
      <c r="B145" t="s">
        <v>98</v>
      </c>
      <c r="J145" t="s">
        <v>225</v>
      </c>
      <c r="K145" t="s">
        <v>225</v>
      </c>
      <c r="M145" s="73">
        <v>45374.927777777775</v>
      </c>
      <c r="N145">
        <v>42509611</v>
      </c>
      <c r="O145">
        <v>-113</v>
      </c>
      <c r="P145" t="s">
        <v>73</v>
      </c>
      <c r="Q145">
        <v>-113</v>
      </c>
      <c r="R145" t="s">
        <v>73</v>
      </c>
      <c r="U145" t="s">
        <v>226</v>
      </c>
      <c r="V145" t="s">
        <v>314</v>
      </c>
      <c r="W145" t="s">
        <v>228</v>
      </c>
      <c r="X145" t="s">
        <v>229</v>
      </c>
      <c r="Y145" t="s">
        <v>101</v>
      </c>
      <c r="AD145" t="s">
        <v>73</v>
      </c>
      <c r="AE145">
        <v>-113</v>
      </c>
      <c r="AF145">
        <v>42509611</v>
      </c>
      <c r="AG145" s="73">
        <v>45374.927777777775</v>
      </c>
      <c r="AH145" t="s">
        <v>226</v>
      </c>
      <c r="AI145" t="s">
        <v>314</v>
      </c>
      <c r="AJ145" t="s">
        <v>228</v>
      </c>
      <c r="AK145" t="s">
        <v>229</v>
      </c>
      <c r="AL145" t="s">
        <v>101</v>
      </c>
      <c r="AP145" t="s">
        <v>230</v>
      </c>
      <c r="AQ145" t="s">
        <v>231</v>
      </c>
      <c r="AT145" t="s">
        <v>232</v>
      </c>
      <c r="AU145">
        <v>-99</v>
      </c>
      <c r="AV145" t="s">
        <v>73</v>
      </c>
      <c r="AW145">
        <v>-113</v>
      </c>
      <c r="AX145">
        <v>42509611</v>
      </c>
      <c r="AY145" s="73">
        <v>45374.927777777775</v>
      </c>
      <c r="AZ145" t="s">
        <v>226</v>
      </c>
      <c r="BA145" t="s">
        <v>314</v>
      </c>
      <c r="BB145" t="s">
        <v>228</v>
      </c>
      <c r="BC145" t="s">
        <v>229</v>
      </c>
      <c r="BD145" t="s">
        <v>101</v>
      </c>
      <c r="BI145" t="s">
        <v>233</v>
      </c>
      <c r="BJ145" t="s">
        <v>0</v>
      </c>
      <c r="BK145">
        <v>42509589</v>
      </c>
      <c r="BN145" t="s">
        <v>73</v>
      </c>
      <c r="BR145">
        <v>-113</v>
      </c>
      <c r="BS145">
        <v>42509611</v>
      </c>
      <c r="BT145" s="73">
        <v>45374.927777777775</v>
      </c>
      <c r="BU145" t="s">
        <v>226</v>
      </c>
      <c r="BV145" t="s">
        <v>314</v>
      </c>
      <c r="BW145" t="s">
        <v>228</v>
      </c>
      <c r="CH145" t="s">
        <v>229</v>
      </c>
      <c r="CI145" t="s">
        <v>101</v>
      </c>
      <c r="CJ145" t="s">
        <v>226</v>
      </c>
      <c r="CK145" t="s">
        <v>314</v>
      </c>
      <c r="CL145" t="s">
        <v>228</v>
      </c>
      <c r="CM145" t="s">
        <v>234</v>
      </c>
      <c r="CN145" t="s">
        <v>73</v>
      </c>
      <c r="CO145">
        <v>-113</v>
      </c>
      <c r="CP145">
        <v>42509611</v>
      </c>
      <c r="CQ145" s="73">
        <v>45374.927777777775</v>
      </c>
      <c r="CR145" t="s">
        <v>229</v>
      </c>
      <c r="CS145" t="s">
        <v>101</v>
      </c>
      <c r="CU145" t="s">
        <v>225</v>
      </c>
    </row>
    <row r="146" spans="1:99">
      <c r="A146" t="s">
        <v>107</v>
      </c>
      <c r="B146" t="s">
        <v>98</v>
      </c>
      <c r="J146" t="s">
        <v>225</v>
      </c>
      <c r="K146" t="s">
        <v>225</v>
      </c>
      <c r="M146" s="73">
        <v>45374.927777777775</v>
      </c>
      <c r="N146">
        <v>42509610</v>
      </c>
      <c r="O146">
        <v>2260</v>
      </c>
      <c r="P146" t="s">
        <v>104</v>
      </c>
      <c r="Q146">
        <v>2260</v>
      </c>
      <c r="R146" t="s">
        <v>104</v>
      </c>
      <c r="S146">
        <v>113</v>
      </c>
      <c r="T146" t="s">
        <v>73</v>
      </c>
      <c r="U146" t="s">
        <v>226</v>
      </c>
      <c r="V146" t="s">
        <v>314</v>
      </c>
      <c r="W146" t="s">
        <v>235</v>
      </c>
      <c r="X146" t="s">
        <v>229</v>
      </c>
      <c r="Y146" t="s">
        <v>107</v>
      </c>
      <c r="AD146" t="s">
        <v>104</v>
      </c>
      <c r="AE146">
        <v>2260</v>
      </c>
      <c r="AF146">
        <v>42509610</v>
      </c>
      <c r="AG146" s="73">
        <v>45374.927777777775</v>
      </c>
      <c r="AH146" t="s">
        <v>226</v>
      </c>
      <c r="AI146" t="s">
        <v>314</v>
      </c>
      <c r="AJ146" t="s">
        <v>235</v>
      </c>
      <c r="AK146" t="s">
        <v>229</v>
      </c>
      <c r="AL146" t="s">
        <v>107</v>
      </c>
      <c r="AP146" t="s">
        <v>230</v>
      </c>
      <c r="AQ146" t="s">
        <v>231</v>
      </c>
      <c r="AT146" t="s">
        <v>232</v>
      </c>
      <c r="AU146">
        <v>-99</v>
      </c>
      <c r="AV146" t="s">
        <v>104</v>
      </c>
      <c r="AW146">
        <v>2260</v>
      </c>
      <c r="AX146">
        <v>42509610</v>
      </c>
      <c r="AY146" s="73">
        <v>45374.927777777775</v>
      </c>
      <c r="AZ146" t="s">
        <v>226</v>
      </c>
      <c r="BA146" t="s">
        <v>314</v>
      </c>
      <c r="BB146" t="s">
        <v>235</v>
      </c>
      <c r="BC146" t="s">
        <v>229</v>
      </c>
      <c r="BD146" t="s">
        <v>107</v>
      </c>
      <c r="BI146" t="s">
        <v>233</v>
      </c>
      <c r="BJ146" t="s">
        <v>0</v>
      </c>
      <c r="BK146">
        <v>42509589</v>
      </c>
      <c r="BN146" t="s">
        <v>104</v>
      </c>
      <c r="BO146">
        <v>42509595</v>
      </c>
      <c r="BR146">
        <v>2260</v>
      </c>
      <c r="BS146">
        <v>42509610</v>
      </c>
      <c r="BT146" s="73">
        <v>45374.927777777775</v>
      </c>
      <c r="BU146" t="s">
        <v>226</v>
      </c>
      <c r="BV146" t="s">
        <v>314</v>
      </c>
      <c r="BW146" t="s">
        <v>235</v>
      </c>
      <c r="CH146" t="s">
        <v>229</v>
      </c>
      <c r="CI146" t="s">
        <v>107</v>
      </c>
      <c r="CJ146" t="s">
        <v>226</v>
      </c>
      <c r="CK146" t="s">
        <v>314</v>
      </c>
      <c r="CL146" t="s">
        <v>235</v>
      </c>
      <c r="CM146" t="s">
        <v>236</v>
      </c>
      <c r="CN146" t="s">
        <v>104</v>
      </c>
      <c r="CO146">
        <v>2260</v>
      </c>
      <c r="CP146">
        <v>42509610</v>
      </c>
      <c r="CQ146" s="73">
        <v>45374.927777777775</v>
      </c>
      <c r="CR146" t="s">
        <v>229</v>
      </c>
      <c r="CS146" t="s">
        <v>107</v>
      </c>
      <c r="CU146" t="s">
        <v>225</v>
      </c>
    </row>
    <row r="147" spans="1:99">
      <c r="A147" t="s">
        <v>111</v>
      </c>
      <c r="B147" t="s">
        <v>77</v>
      </c>
      <c r="J147" t="s">
        <v>225</v>
      </c>
      <c r="K147" t="s">
        <v>225</v>
      </c>
      <c r="M147" s="73">
        <v>45374.927777777775</v>
      </c>
      <c r="N147">
        <v>42509609</v>
      </c>
      <c r="O147">
        <v>6</v>
      </c>
      <c r="P147" t="s">
        <v>45</v>
      </c>
      <c r="Q147">
        <v>6</v>
      </c>
      <c r="R147" t="s">
        <v>45</v>
      </c>
      <c r="U147" t="s">
        <v>226</v>
      </c>
      <c r="V147" t="s">
        <v>314</v>
      </c>
      <c r="W147" t="s">
        <v>237</v>
      </c>
      <c r="X147" t="s">
        <v>229</v>
      </c>
      <c r="Y147" t="s">
        <v>111</v>
      </c>
      <c r="AD147" t="s">
        <v>45</v>
      </c>
      <c r="AE147">
        <v>6</v>
      </c>
      <c r="AF147">
        <v>42509609</v>
      </c>
      <c r="AG147" s="73">
        <v>45374.927777777775</v>
      </c>
      <c r="AH147" t="s">
        <v>226</v>
      </c>
      <c r="AI147" t="s">
        <v>314</v>
      </c>
      <c r="AJ147" t="s">
        <v>237</v>
      </c>
      <c r="AK147" t="s">
        <v>229</v>
      </c>
      <c r="AL147" t="s">
        <v>111</v>
      </c>
      <c r="AP147" t="s">
        <v>230</v>
      </c>
      <c r="AQ147" t="s">
        <v>231</v>
      </c>
      <c r="AT147" t="s">
        <v>232</v>
      </c>
      <c r="AU147">
        <v>-99</v>
      </c>
      <c r="AV147" t="s">
        <v>45</v>
      </c>
      <c r="AW147">
        <v>6</v>
      </c>
      <c r="AX147">
        <v>42509609</v>
      </c>
      <c r="AY147" s="73">
        <v>45374.927777777775</v>
      </c>
      <c r="AZ147" t="s">
        <v>226</v>
      </c>
      <c r="BA147" t="s">
        <v>314</v>
      </c>
      <c r="BB147" t="s">
        <v>237</v>
      </c>
      <c r="BC147" t="s">
        <v>229</v>
      </c>
      <c r="BD147" t="s">
        <v>111</v>
      </c>
      <c r="BI147" t="s">
        <v>233</v>
      </c>
      <c r="BJ147" t="s">
        <v>0</v>
      </c>
      <c r="BK147">
        <v>42509589</v>
      </c>
      <c r="BN147" t="s">
        <v>45</v>
      </c>
      <c r="BO147">
        <v>42509597</v>
      </c>
      <c r="BR147">
        <v>6</v>
      </c>
      <c r="BS147">
        <v>42509609</v>
      </c>
      <c r="BT147" s="73">
        <v>45374.927777777775</v>
      </c>
      <c r="BU147" t="s">
        <v>226</v>
      </c>
      <c r="BV147" t="s">
        <v>314</v>
      </c>
      <c r="BW147" t="s">
        <v>237</v>
      </c>
      <c r="CH147" t="s">
        <v>229</v>
      </c>
      <c r="CI147" t="s">
        <v>111</v>
      </c>
      <c r="CJ147" t="s">
        <v>226</v>
      </c>
      <c r="CK147" t="s">
        <v>314</v>
      </c>
      <c r="CL147" t="s">
        <v>237</v>
      </c>
      <c r="CM147" t="s">
        <v>236</v>
      </c>
      <c r="CN147" t="s">
        <v>45</v>
      </c>
      <c r="CO147">
        <v>6</v>
      </c>
      <c r="CP147">
        <v>42509609</v>
      </c>
      <c r="CQ147" s="73">
        <v>45374.927777777775</v>
      </c>
      <c r="CR147" t="s">
        <v>229</v>
      </c>
      <c r="CS147" t="s">
        <v>111</v>
      </c>
      <c r="CU147" t="s">
        <v>225</v>
      </c>
    </row>
    <row r="148" spans="1:99">
      <c r="A148" t="s">
        <v>46</v>
      </c>
      <c r="B148" t="s">
        <v>92</v>
      </c>
      <c r="J148" t="s">
        <v>225</v>
      </c>
      <c r="K148" t="s">
        <v>225</v>
      </c>
      <c r="M148" s="73">
        <v>45374.925000000003</v>
      </c>
      <c r="N148">
        <v>42509551</v>
      </c>
      <c r="O148">
        <v>-448</v>
      </c>
      <c r="P148" t="s">
        <v>45</v>
      </c>
      <c r="Q148">
        <v>-448</v>
      </c>
      <c r="R148" t="s">
        <v>45</v>
      </c>
      <c r="U148" t="s">
        <v>226</v>
      </c>
      <c r="V148" t="s">
        <v>315</v>
      </c>
      <c r="W148" t="s">
        <v>228</v>
      </c>
      <c r="X148" t="s">
        <v>229</v>
      </c>
      <c r="Y148" t="s">
        <v>46</v>
      </c>
      <c r="AD148" t="s">
        <v>45</v>
      </c>
      <c r="AE148">
        <v>-448</v>
      </c>
      <c r="AF148">
        <v>42509551</v>
      </c>
      <c r="AG148" s="73">
        <v>45374.925000000003</v>
      </c>
      <c r="AH148" t="s">
        <v>226</v>
      </c>
      <c r="AI148" t="s">
        <v>315</v>
      </c>
      <c r="AJ148" t="s">
        <v>228</v>
      </c>
      <c r="AK148" t="s">
        <v>229</v>
      </c>
      <c r="AL148" t="s">
        <v>46</v>
      </c>
      <c r="AP148" t="s">
        <v>230</v>
      </c>
      <c r="AQ148" t="s">
        <v>231</v>
      </c>
      <c r="AT148" t="s">
        <v>232</v>
      </c>
      <c r="AU148">
        <v>-99</v>
      </c>
      <c r="AV148" t="s">
        <v>45</v>
      </c>
      <c r="AW148">
        <v>-448</v>
      </c>
      <c r="AX148">
        <v>42509551</v>
      </c>
      <c r="AY148" s="73">
        <v>45374.925000000003</v>
      </c>
      <c r="AZ148" t="s">
        <v>226</v>
      </c>
      <c r="BA148" t="s">
        <v>315</v>
      </c>
      <c r="BB148" t="s">
        <v>228</v>
      </c>
      <c r="BC148" t="s">
        <v>229</v>
      </c>
      <c r="BD148" t="s">
        <v>46</v>
      </c>
      <c r="BI148" t="s">
        <v>233</v>
      </c>
      <c r="BJ148" t="s">
        <v>0</v>
      </c>
      <c r="BK148">
        <v>42509539</v>
      </c>
      <c r="BN148" t="s">
        <v>45</v>
      </c>
      <c r="BR148">
        <v>-448</v>
      </c>
      <c r="BS148">
        <v>42509551</v>
      </c>
      <c r="BT148" s="73">
        <v>45374.925000000003</v>
      </c>
      <c r="BU148" t="s">
        <v>226</v>
      </c>
      <c r="BV148" t="s">
        <v>315</v>
      </c>
      <c r="BW148" t="s">
        <v>228</v>
      </c>
      <c r="CH148" t="s">
        <v>229</v>
      </c>
      <c r="CI148" t="s">
        <v>46</v>
      </c>
      <c r="CJ148" t="s">
        <v>226</v>
      </c>
      <c r="CK148" t="s">
        <v>315</v>
      </c>
      <c r="CL148" t="s">
        <v>228</v>
      </c>
      <c r="CM148" t="s">
        <v>234</v>
      </c>
      <c r="CN148" t="s">
        <v>45</v>
      </c>
      <c r="CO148">
        <v>-448</v>
      </c>
      <c r="CP148">
        <v>42509551</v>
      </c>
      <c r="CQ148" s="73">
        <v>45374.925000000003</v>
      </c>
      <c r="CR148" t="s">
        <v>229</v>
      </c>
      <c r="CS148" t="s">
        <v>46</v>
      </c>
      <c r="CU148" t="s">
        <v>225</v>
      </c>
    </row>
    <row r="149" spans="1:99">
      <c r="A149" t="s">
        <v>93</v>
      </c>
      <c r="B149" t="s">
        <v>98</v>
      </c>
      <c r="J149" t="s">
        <v>225</v>
      </c>
      <c r="K149" t="s">
        <v>225</v>
      </c>
      <c r="M149" s="73">
        <v>45374.925000000003</v>
      </c>
      <c r="N149">
        <v>42509550</v>
      </c>
      <c r="O149">
        <v>-22.4</v>
      </c>
      <c r="P149" t="s">
        <v>73</v>
      </c>
      <c r="Q149">
        <v>-22.4</v>
      </c>
      <c r="R149" t="s">
        <v>73</v>
      </c>
      <c r="U149" t="s">
        <v>226</v>
      </c>
      <c r="V149" t="s">
        <v>315</v>
      </c>
      <c r="W149" t="s">
        <v>228</v>
      </c>
      <c r="X149" t="s">
        <v>229</v>
      </c>
      <c r="Y149" t="s">
        <v>93</v>
      </c>
      <c r="AD149" t="s">
        <v>73</v>
      </c>
      <c r="AE149">
        <v>-22.4</v>
      </c>
      <c r="AF149">
        <v>42509550</v>
      </c>
      <c r="AG149" s="73">
        <v>45374.925000000003</v>
      </c>
      <c r="AH149" t="s">
        <v>226</v>
      </c>
      <c r="AI149" t="s">
        <v>315</v>
      </c>
      <c r="AJ149" t="s">
        <v>228</v>
      </c>
      <c r="AK149" t="s">
        <v>229</v>
      </c>
      <c r="AL149" t="s">
        <v>93</v>
      </c>
      <c r="AP149" t="s">
        <v>230</v>
      </c>
      <c r="AQ149" t="s">
        <v>231</v>
      </c>
      <c r="AT149" t="s">
        <v>232</v>
      </c>
      <c r="AU149">
        <v>-99</v>
      </c>
      <c r="AV149" t="s">
        <v>73</v>
      </c>
      <c r="AW149">
        <v>-22.4</v>
      </c>
      <c r="AX149">
        <v>42509550</v>
      </c>
      <c r="AY149" s="73">
        <v>45374.925000000003</v>
      </c>
      <c r="AZ149" t="s">
        <v>226</v>
      </c>
      <c r="BA149" t="s">
        <v>315</v>
      </c>
      <c r="BB149" t="s">
        <v>228</v>
      </c>
      <c r="BC149" t="s">
        <v>229</v>
      </c>
      <c r="BD149" t="s">
        <v>93</v>
      </c>
      <c r="BI149" t="s">
        <v>233</v>
      </c>
      <c r="BJ149" t="s">
        <v>0</v>
      </c>
      <c r="BK149">
        <v>42509539</v>
      </c>
      <c r="BN149" t="s">
        <v>73</v>
      </c>
      <c r="BR149">
        <v>-22.4</v>
      </c>
      <c r="BS149">
        <v>42509550</v>
      </c>
      <c r="BT149" s="73">
        <v>45374.925000000003</v>
      </c>
      <c r="BU149" t="s">
        <v>226</v>
      </c>
      <c r="BV149" t="s">
        <v>315</v>
      </c>
      <c r="BW149" t="s">
        <v>228</v>
      </c>
      <c r="CH149" t="s">
        <v>229</v>
      </c>
      <c r="CI149" t="s">
        <v>93</v>
      </c>
      <c r="CJ149" t="s">
        <v>226</v>
      </c>
      <c r="CK149" t="s">
        <v>315</v>
      </c>
      <c r="CL149" t="s">
        <v>228</v>
      </c>
      <c r="CM149" t="s">
        <v>234</v>
      </c>
      <c r="CN149" t="s">
        <v>73</v>
      </c>
      <c r="CO149">
        <v>-22.4</v>
      </c>
      <c r="CP149">
        <v>42509550</v>
      </c>
      <c r="CQ149" s="73">
        <v>45374.925000000003</v>
      </c>
      <c r="CR149" t="s">
        <v>229</v>
      </c>
      <c r="CS149" t="s">
        <v>93</v>
      </c>
      <c r="CU149" t="s">
        <v>225</v>
      </c>
    </row>
    <row r="150" spans="1:99">
      <c r="A150" t="s">
        <v>108</v>
      </c>
      <c r="B150" t="s">
        <v>98</v>
      </c>
      <c r="J150" t="s">
        <v>225</v>
      </c>
      <c r="K150" t="s">
        <v>225</v>
      </c>
      <c r="M150" s="73">
        <v>45374.925000000003</v>
      </c>
      <c r="N150">
        <v>42509549</v>
      </c>
      <c r="O150">
        <v>448</v>
      </c>
      <c r="P150" t="s">
        <v>104</v>
      </c>
      <c r="Q150">
        <v>448</v>
      </c>
      <c r="R150" t="s">
        <v>104</v>
      </c>
      <c r="S150">
        <v>22.4</v>
      </c>
      <c r="T150" t="s">
        <v>73</v>
      </c>
      <c r="U150" t="s">
        <v>226</v>
      </c>
      <c r="V150" t="s">
        <v>315</v>
      </c>
      <c r="W150" t="s">
        <v>235</v>
      </c>
      <c r="X150" t="s">
        <v>229</v>
      </c>
      <c r="Y150" t="s">
        <v>108</v>
      </c>
      <c r="AD150" t="s">
        <v>104</v>
      </c>
      <c r="AE150">
        <v>448</v>
      </c>
      <c r="AF150">
        <v>42509549</v>
      </c>
      <c r="AG150" s="73">
        <v>45374.925000000003</v>
      </c>
      <c r="AH150" t="s">
        <v>226</v>
      </c>
      <c r="AI150" t="s">
        <v>315</v>
      </c>
      <c r="AJ150" t="s">
        <v>235</v>
      </c>
      <c r="AK150" t="s">
        <v>229</v>
      </c>
      <c r="AL150" t="s">
        <v>108</v>
      </c>
      <c r="AP150" t="s">
        <v>230</v>
      </c>
      <c r="AQ150" t="s">
        <v>231</v>
      </c>
      <c r="AT150" t="s">
        <v>232</v>
      </c>
      <c r="AU150">
        <v>-99</v>
      </c>
      <c r="AV150" t="s">
        <v>104</v>
      </c>
      <c r="AW150">
        <v>448</v>
      </c>
      <c r="AX150">
        <v>42509549</v>
      </c>
      <c r="AY150" s="73">
        <v>45374.925000000003</v>
      </c>
      <c r="AZ150" t="s">
        <v>226</v>
      </c>
      <c r="BA150" t="s">
        <v>315</v>
      </c>
      <c r="BB150" t="s">
        <v>235</v>
      </c>
      <c r="BC150" t="s">
        <v>229</v>
      </c>
      <c r="BD150" t="s">
        <v>108</v>
      </c>
      <c r="BI150" t="s">
        <v>233</v>
      </c>
      <c r="BJ150" t="s">
        <v>0</v>
      </c>
      <c r="BK150">
        <v>42509539</v>
      </c>
      <c r="BN150" t="s">
        <v>104</v>
      </c>
      <c r="BO150">
        <v>42509545</v>
      </c>
      <c r="BR150">
        <v>448</v>
      </c>
      <c r="BS150">
        <v>42509549</v>
      </c>
      <c r="BT150" s="73">
        <v>45374.925000000003</v>
      </c>
      <c r="BU150" t="s">
        <v>226</v>
      </c>
      <c r="BV150" t="s">
        <v>315</v>
      </c>
      <c r="BW150" t="s">
        <v>235</v>
      </c>
      <c r="CH150" t="s">
        <v>229</v>
      </c>
      <c r="CI150" t="s">
        <v>108</v>
      </c>
      <c r="CJ150" t="s">
        <v>226</v>
      </c>
      <c r="CK150" t="s">
        <v>315</v>
      </c>
      <c r="CL150" t="s">
        <v>235</v>
      </c>
      <c r="CM150" t="s">
        <v>236</v>
      </c>
      <c r="CN150" t="s">
        <v>104</v>
      </c>
      <c r="CO150">
        <v>448</v>
      </c>
      <c r="CP150">
        <v>42509549</v>
      </c>
      <c r="CQ150" s="73">
        <v>45374.925000000003</v>
      </c>
      <c r="CR150" t="s">
        <v>229</v>
      </c>
      <c r="CS150" t="s">
        <v>108</v>
      </c>
      <c r="CU150" t="s">
        <v>225</v>
      </c>
    </row>
    <row r="151" spans="1:99">
      <c r="A151" t="s">
        <v>48</v>
      </c>
      <c r="B151" t="s">
        <v>92</v>
      </c>
      <c r="J151" t="s">
        <v>225</v>
      </c>
      <c r="K151" t="s">
        <v>225</v>
      </c>
      <c r="M151" s="73">
        <v>45374.924305555556</v>
      </c>
      <c r="N151">
        <v>42509525</v>
      </c>
      <c r="O151">
        <v>-200</v>
      </c>
      <c r="P151" t="s">
        <v>45</v>
      </c>
      <c r="Q151">
        <v>-200</v>
      </c>
      <c r="R151" t="s">
        <v>45</v>
      </c>
      <c r="U151" t="s">
        <v>226</v>
      </c>
      <c r="V151" t="s">
        <v>316</v>
      </c>
      <c r="W151" t="s">
        <v>228</v>
      </c>
      <c r="X151" t="s">
        <v>229</v>
      </c>
      <c r="Y151" t="s">
        <v>48</v>
      </c>
      <c r="AD151" t="s">
        <v>45</v>
      </c>
      <c r="AE151">
        <v>-200</v>
      </c>
      <c r="AF151">
        <v>42509525</v>
      </c>
      <c r="AG151" s="73">
        <v>45374.924305555556</v>
      </c>
      <c r="AH151" t="s">
        <v>226</v>
      </c>
      <c r="AI151" t="s">
        <v>316</v>
      </c>
      <c r="AJ151" t="s">
        <v>228</v>
      </c>
      <c r="AK151" t="s">
        <v>229</v>
      </c>
      <c r="AL151" t="s">
        <v>48</v>
      </c>
      <c r="AP151" t="s">
        <v>230</v>
      </c>
      <c r="AQ151" t="s">
        <v>231</v>
      </c>
      <c r="AT151" t="s">
        <v>232</v>
      </c>
      <c r="AU151">
        <v>-99</v>
      </c>
      <c r="AV151" t="s">
        <v>45</v>
      </c>
      <c r="AW151">
        <v>-200</v>
      </c>
      <c r="AX151">
        <v>42509525</v>
      </c>
      <c r="AY151" s="73">
        <v>45374.924305555556</v>
      </c>
      <c r="AZ151" t="s">
        <v>226</v>
      </c>
      <c r="BA151" t="s">
        <v>316</v>
      </c>
      <c r="BB151" t="s">
        <v>228</v>
      </c>
      <c r="BC151" t="s">
        <v>229</v>
      </c>
      <c r="BD151" t="s">
        <v>48</v>
      </c>
      <c r="BI151" t="s">
        <v>233</v>
      </c>
      <c r="BJ151" t="s">
        <v>0</v>
      </c>
      <c r="BK151">
        <v>42509503</v>
      </c>
      <c r="BN151" t="s">
        <v>45</v>
      </c>
      <c r="BR151">
        <v>-200</v>
      </c>
      <c r="BS151">
        <v>42509525</v>
      </c>
      <c r="BT151" s="73">
        <v>45374.924305555556</v>
      </c>
      <c r="BU151" t="s">
        <v>226</v>
      </c>
      <c r="BV151" t="s">
        <v>316</v>
      </c>
      <c r="BW151" t="s">
        <v>228</v>
      </c>
      <c r="CH151" t="s">
        <v>229</v>
      </c>
      <c r="CI151" t="s">
        <v>48</v>
      </c>
      <c r="CJ151" t="s">
        <v>226</v>
      </c>
      <c r="CK151" t="s">
        <v>316</v>
      </c>
      <c r="CL151" t="s">
        <v>228</v>
      </c>
      <c r="CM151" t="s">
        <v>234</v>
      </c>
      <c r="CN151" t="s">
        <v>45</v>
      </c>
      <c r="CO151">
        <v>-200</v>
      </c>
      <c r="CP151">
        <v>42509525</v>
      </c>
      <c r="CQ151" s="73">
        <v>45374.924305555556</v>
      </c>
      <c r="CR151" t="s">
        <v>229</v>
      </c>
      <c r="CS151" t="s">
        <v>48</v>
      </c>
      <c r="CU151" t="s">
        <v>225</v>
      </c>
    </row>
    <row r="152" spans="1:99">
      <c r="A152" t="s">
        <v>93</v>
      </c>
      <c r="B152" t="s">
        <v>98</v>
      </c>
      <c r="J152" t="s">
        <v>225</v>
      </c>
      <c r="K152" t="s">
        <v>225</v>
      </c>
      <c r="M152" s="73">
        <v>45374.924305555556</v>
      </c>
      <c r="N152">
        <v>42509524</v>
      </c>
      <c r="O152">
        <v>-10</v>
      </c>
      <c r="P152" t="s">
        <v>73</v>
      </c>
      <c r="Q152">
        <v>-10</v>
      </c>
      <c r="R152" t="s">
        <v>73</v>
      </c>
      <c r="U152" t="s">
        <v>226</v>
      </c>
      <c r="V152" t="s">
        <v>316</v>
      </c>
      <c r="W152" t="s">
        <v>228</v>
      </c>
      <c r="X152" t="s">
        <v>229</v>
      </c>
      <c r="Y152" t="s">
        <v>93</v>
      </c>
      <c r="AD152" t="s">
        <v>73</v>
      </c>
      <c r="AE152">
        <v>-10</v>
      </c>
      <c r="AF152">
        <v>42509524</v>
      </c>
      <c r="AG152" s="73">
        <v>45374.924305555556</v>
      </c>
      <c r="AH152" t="s">
        <v>226</v>
      </c>
      <c r="AI152" t="s">
        <v>316</v>
      </c>
      <c r="AJ152" t="s">
        <v>228</v>
      </c>
      <c r="AK152" t="s">
        <v>229</v>
      </c>
      <c r="AL152" t="s">
        <v>93</v>
      </c>
      <c r="AP152" t="s">
        <v>230</v>
      </c>
      <c r="AQ152" t="s">
        <v>231</v>
      </c>
      <c r="AT152" t="s">
        <v>232</v>
      </c>
      <c r="AU152">
        <v>-99</v>
      </c>
      <c r="AV152" t="s">
        <v>73</v>
      </c>
      <c r="AW152">
        <v>-10</v>
      </c>
      <c r="AX152">
        <v>42509524</v>
      </c>
      <c r="AY152" s="73">
        <v>45374.924305555556</v>
      </c>
      <c r="AZ152" t="s">
        <v>226</v>
      </c>
      <c r="BA152" t="s">
        <v>316</v>
      </c>
      <c r="BB152" t="s">
        <v>228</v>
      </c>
      <c r="BC152" t="s">
        <v>229</v>
      </c>
      <c r="BD152" t="s">
        <v>93</v>
      </c>
      <c r="BI152" t="s">
        <v>233</v>
      </c>
      <c r="BJ152" t="s">
        <v>0</v>
      </c>
      <c r="BK152">
        <v>42509503</v>
      </c>
      <c r="BN152" t="s">
        <v>73</v>
      </c>
      <c r="BR152">
        <v>-10</v>
      </c>
      <c r="BS152">
        <v>42509524</v>
      </c>
      <c r="BT152" s="73">
        <v>45374.924305555556</v>
      </c>
      <c r="BU152" t="s">
        <v>226</v>
      </c>
      <c r="BV152" t="s">
        <v>316</v>
      </c>
      <c r="BW152" t="s">
        <v>228</v>
      </c>
      <c r="CH152" t="s">
        <v>229</v>
      </c>
      <c r="CI152" t="s">
        <v>93</v>
      </c>
      <c r="CJ152" t="s">
        <v>226</v>
      </c>
      <c r="CK152" t="s">
        <v>316</v>
      </c>
      <c r="CL152" t="s">
        <v>228</v>
      </c>
      <c r="CM152" t="s">
        <v>234</v>
      </c>
      <c r="CN152" t="s">
        <v>73</v>
      </c>
      <c r="CO152">
        <v>-10</v>
      </c>
      <c r="CP152">
        <v>42509524</v>
      </c>
      <c r="CQ152" s="73">
        <v>45374.924305555556</v>
      </c>
      <c r="CR152" t="s">
        <v>229</v>
      </c>
      <c r="CS152" t="s">
        <v>93</v>
      </c>
      <c r="CU152" t="s">
        <v>225</v>
      </c>
    </row>
    <row r="153" spans="1:99">
      <c r="A153" t="s">
        <v>109</v>
      </c>
      <c r="B153" t="s">
        <v>98</v>
      </c>
      <c r="J153" t="s">
        <v>225</v>
      </c>
      <c r="K153" t="s">
        <v>225</v>
      </c>
      <c r="M153" s="73">
        <v>45374.924305555556</v>
      </c>
      <c r="N153">
        <v>42509523</v>
      </c>
      <c r="O153">
        <v>200</v>
      </c>
      <c r="P153" t="s">
        <v>104</v>
      </c>
      <c r="Q153">
        <v>200</v>
      </c>
      <c r="R153" t="s">
        <v>104</v>
      </c>
      <c r="S153">
        <v>10</v>
      </c>
      <c r="T153" t="s">
        <v>73</v>
      </c>
      <c r="U153" t="s">
        <v>226</v>
      </c>
      <c r="V153" t="s">
        <v>316</v>
      </c>
      <c r="W153" t="s">
        <v>235</v>
      </c>
      <c r="X153" t="s">
        <v>229</v>
      </c>
      <c r="Y153" t="s">
        <v>109</v>
      </c>
      <c r="AD153" t="s">
        <v>104</v>
      </c>
      <c r="AE153">
        <v>200</v>
      </c>
      <c r="AF153">
        <v>42509523</v>
      </c>
      <c r="AG153" s="73">
        <v>45374.924305555556</v>
      </c>
      <c r="AH153" t="s">
        <v>226</v>
      </c>
      <c r="AI153" t="s">
        <v>316</v>
      </c>
      <c r="AJ153" t="s">
        <v>235</v>
      </c>
      <c r="AK153" t="s">
        <v>229</v>
      </c>
      <c r="AL153" t="s">
        <v>109</v>
      </c>
      <c r="AP153" t="s">
        <v>230</v>
      </c>
      <c r="AQ153" t="s">
        <v>231</v>
      </c>
      <c r="AT153" t="s">
        <v>232</v>
      </c>
      <c r="AU153">
        <v>-99</v>
      </c>
      <c r="AV153" t="s">
        <v>104</v>
      </c>
      <c r="AW153">
        <v>200</v>
      </c>
      <c r="AX153">
        <v>42509523</v>
      </c>
      <c r="AY153" s="73">
        <v>45374.924305555556</v>
      </c>
      <c r="AZ153" t="s">
        <v>226</v>
      </c>
      <c r="BA153" t="s">
        <v>316</v>
      </c>
      <c r="BB153" t="s">
        <v>235</v>
      </c>
      <c r="BC153" t="s">
        <v>229</v>
      </c>
      <c r="BD153" t="s">
        <v>109</v>
      </c>
      <c r="BI153" t="s">
        <v>233</v>
      </c>
      <c r="BJ153" t="s">
        <v>0</v>
      </c>
      <c r="BK153">
        <v>42509503</v>
      </c>
      <c r="BN153" t="s">
        <v>104</v>
      </c>
      <c r="BO153">
        <v>42509519</v>
      </c>
      <c r="BR153">
        <v>200</v>
      </c>
      <c r="BS153">
        <v>42509523</v>
      </c>
      <c r="BT153" s="73">
        <v>45374.924305555556</v>
      </c>
      <c r="BU153" t="s">
        <v>226</v>
      </c>
      <c r="BV153" t="s">
        <v>316</v>
      </c>
      <c r="BW153" t="s">
        <v>235</v>
      </c>
      <c r="CH153" t="s">
        <v>229</v>
      </c>
      <c r="CI153" t="s">
        <v>109</v>
      </c>
      <c r="CJ153" t="s">
        <v>226</v>
      </c>
      <c r="CK153" t="s">
        <v>316</v>
      </c>
      <c r="CL153" t="s">
        <v>235</v>
      </c>
      <c r="CM153" t="s">
        <v>236</v>
      </c>
      <c r="CN153" t="s">
        <v>104</v>
      </c>
      <c r="CO153">
        <v>200</v>
      </c>
      <c r="CP153">
        <v>42509523</v>
      </c>
      <c r="CQ153" s="73">
        <v>45374.924305555556</v>
      </c>
      <c r="CR153" t="s">
        <v>229</v>
      </c>
      <c r="CS153" t="s">
        <v>109</v>
      </c>
      <c r="CU153" t="s">
        <v>225</v>
      </c>
    </row>
    <row r="154" spans="1:99">
      <c r="A154" t="s">
        <v>113</v>
      </c>
      <c r="B154" t="s">
        <v>90</v>
      </c>
      <c r="J154" t="s">
        <v>225</v>
      </c>
      <c r="K154" t="s">
        <v>225</v>
      </c>
      <c r="M154" s="73">
        <v>45374.923622685186</v>
      </c>
      <c r="N154">
        <v>42510213</v>
      </c>
      <c r="O154">
        <v>-360</v>
      </c>
      <c r="P154" t="s">
        <v>115</v>
      </c>
      <c r="Q154">
        <v>-360</v>
      </c>
      <c r="R154" t="s">
        <v>115</v>
      </c>
      <c r="U154" t="s">
        <v>226</v>
      </c>
      <c r="V154" t="s">
        <v>317</v>
      </c>
      <c r="W154" t="s">
        <v>228</v>
      </c>
      <c r="X154" t="s">
        <v>229</v>
      </c>
      <c r="Y154" t="s">
        <v>113</v>
      </c>
      <c r="AD154" t="s">
        <v>115</v>
      </c>
      <c r="AE154">
        <v>-360</v>
      </c>
      <c r="AF154">
        <v>42510213</v>
      </c>
      <c r="AG154" s="73">
        <v>45374.923622685186</v>
      </c>
      <c r="AH154" t="s">
        <v>226</v>
      </c>
      <c r="AI154" t="s">
        <v>317</v>
      </c>
      <c r="AJ154" t="s">
        <v>228</v>
      </c>
      <c r="AK154" t="s">
        <v>229</v>
      </c>
      <c r="AL154" t="s">
        <v>113</v>
      </c>
      <c r="AP154" t="s">
        <v>230</v>
      </c>
      <c r="AQ154" t="s">
        <v>231</v>
      </c>
      <c r="AT154" t="s">
        <v>232</v>
      </c>
      <c r="AU154">
        <v>-99</v>
      </c>
      <c r="AV154" t="s">
        <v>115</v>
      </c>
      <c r="AW154">
        <v>-360</v>
      </c>
      <c r="AX154">
        <v>42510213</v>
      </c>
      <c r="AY154" s="73">
        <v>45374.923622685186</v>
      </c>
      <c r="AZ154" t="s">
        <v>226</v>
      </c>
      <c r="BA154" t="s">
        <v>317</v>
      </c>
      <c r="BB154" t="s">
        <v>228</v>
      </c>
      <c r="BC154" t="s">
        <v>229</v>
      </c>
      <c r="BD154" t="s">
        <v>113</v>
      </c>
      <c r="BI154" t="s">
        <v>233</v>
      </c>
      <c r="BJ154" t="s">
        <v>0</v>
      </c>
      <c r="BK154">
        <v>42510201</v>
      </c>
      <c r="BN154" t="s">
        <v>115</v>
      </c>
      <c r="BR154">
        <v>-360</v>
      </c>
      <c r="BS154">
        <v>42510213</v>
      </c>
      <c r="BT154" s="73">
        <v>45374.923622685186</v>
      </c>
      <c r="BU154" t="s">
        <v>226</v>
      </c>
      <c r="BV154" t="s">
        <v>317</v>
      </c>
      <c r="BW154" t="s">
        <v>228</v>
      </c>
      <c r="CH154" t="s">
        <v>229</v>
      </c>
      <c r="CI154" t="s">
        <v>113</v>
      </c>
      <c r="CJ154" t="s">
        <v>226</v>
      </c>
      <c r="CK154" t="s">
        <v>317</v>
      </c>
      <c r="CL154" t="s">
        <v>228</v>
      </c>
      <c r="CM154" t="s">
        <v>234</v>
      </c>
      <c r="CN154" t="s">
        <v>115</v>
      </c>
      <c r="CO154">
        <v>-360</v>
      </c>
      <c r="CP154">
        <v>42510213</v>
      </c>
      <c r="CQ154" s="73">
        <v>45374.923622685186</v>
      </c>
      <c r="CR154" t="s">
        <v>229</v>
      </c>
      <c r="CS154" t="s">
        <v>113</v>
      </c>
      <c r="CU154" t="s">
        <v>225</v>
      </c>
    </row>
    <row r="155" spans="1:99">
      <c r="A155" t="s">
        <v>129</v>
      </c>
      <c r="B155" t="s">
        <v>90</v>
      </c>
      <c r="J155" t="s">
        <v>225</v>
      </c>
      <c r="K155" t="s">
        <v>225</v>
      </c>
      <c r="M155" s="73">
        <v>45374.923622685186</v>
      </c>
      <c r="N155">
        <v>42510212</v>
      </c>
      <c r="O155">
        <v>-4.7</v>
      </c>
      <c r="P155" t="s">
        <v>73</v>
      </c>
      <c r="Q155">
        <v>-4.7</v>
      </c>
      <c r="R155" t="s">
        <v>73</v>
      </c>
      <c r="U155" t="s">
        <v>226</v>
      </c>
      <c r="V155" t="s">
        <v>317</v>
      </c>
      <c r="W155" t="s">
        <v>228</v>
      </c>
      <c r="X155" t="s">
        <v>229</v>
      </c>
      <c r="Y155" t="s">
        <v>129</v>
      </c>
      <c r="AD155" t="s">
        <v>73</v>
      </c>
      <c r="AE155">
        <v>-4.7</v>
      </c>
      <c r="AF155">
        <v>42510212</v>
      </c>
      <c r="AG155" s="73">
        <v>45374.923622685186</v>
      </c>
      <c r="AH155" t="s">
        <v>226</v>
      </c>
      <c r="AI155" t="s">
        <v>317</v>
      </c>
      <c r="AJ155" t="s">
        <v>228</v>
      </c>
      <c r="AK155" t="s">
        <v>229</v>
      </c>
      <c r="AL155" t="s">
        <v>129</v>
      </c>
      <c r="AP155" t="s">
        <v>230</v>
      </c>
      <c r="AQ155" t="s">
        <v>231</v>
      </c>
      <c r="AT155" t="s">
        <v>232</v>
      </c>
      <c r="AU155">
        <v>-99</v>
      </c>
      <c r="AV155" t="s">
        <v>73</v>
      </c>
      <c r="AW155">
        <v>-4.7</v>
      </c>
      <c r="AX155">
        <v>42510212</v>
      </c>
      <c r="AY155" s="73">
        <v>45374.923622685186</v>
      </c>
      <c r="AZ155" t="s">
        <v>226</v>
      </c>
      <c r="BA155" t="s">
        <v>317</v>
      </c>
      <c r="BB155" t="s">
        <v>228</v>
      </c>
      <c r="BC155" t="s">
        <v>229</v>
      </c>
      <c r="BD155" t="s">
        <v>129</v>
      </c>
      <c r="BI155" t="s">
        <v>233</v>
      </c>
      <c r="BJ155" t="s">
        <v>0</v>
      </c>
      <c r="BK155">
        <v>42510201</v>
      </c>
      <c r="BN155" t="s">
        <v>73</v>
      </c>
      <c r="BR155">
        <v>-4.7</v>
      </c>
      <c r="BS155">
        <v>42510212</v>
      </c>
      <c r="BT155" s="73">
        <v>45374.923622685186</v>
      </c>
      <c r="BU155" t="s">
        <v>226</v>
      </c>
      <c r="BV155" t="s">
        <v>317</v>
      </c>
      <c r="BW155" t="s">
        <v>228</v>
      </c>
      <c r="CH155" t="s">
        <v>229</v>
      </c>
      <c r="CI155" t="s">
        <v>129</v>
      </c>
      <c r="CJ155" t="s">
        <v>226</v>
      </c>
      <c r="CK155" t="s">
        <v>317</v>
      </c>
      <c r="CL155" t="s">
        <v>228</v>
      </c>
      <c r="CM155" t="s">
        <v>234</v>
      </c>
      <c r="CN155" t="s">
        <v>73</v>
      </c>
      <c r="CO155">
        <v>-4.7</v>
      </c>
      <c r="CP155">
        <v>42510212</v>
      </c>
      <c r="CQ155" s="73">
        <v>45374.923622685186</v>
      </c>
      <c r="CR155" t="s">
        <v>229</v>
      </c>
      <c r="CS155" t="s">
        <v>129</v>
      </c>
      <c r="CU155" t="s">
        <v>225</v>
      </c>
    </row>
    <row r="156" spans="1:99">
      <c r="A156" t="s">
        <v>118</v>
      </c>
      <c r="B156" t="s">
        <v>90</v>
      </c>
      <c r="J156" t="s">
        <v>225</v>
      </c>
      <c r="K156" t="s">
        <v>225</v>
      </c>
      <c r="M156" s="73">
        <v>45374.923622685186</v>
      </c>
      <c r="N156">
        <v>42510211</v>
      </c>
      <c r="O156">
        <v>-40</v>
      </c>
      <c r="P156" t="s">
        <v>120</v>
      </c>
      <c r="Q156">
        <v>-40</v>
      </c>
      <c r="R156" t="s">
        <v>120</v>
      </c>
      <c r="U156" t="s">
        <v>226</v>
      </c>
      <c r="V156" t="s">
        <v>317</v>
      </c>
      <c r="W156" t="s">
        <v>228</v>
      </c>
      <c r="X156" t="s">
        <v>229</v>
      </c>
      <c r="Y156" t="s">
        <v>118</v>
      </c>
      <c r="AD156" t="s">
        <v>120</v>
      </c>
      <c r="AE156">
        <v>-40</v>
      </c>
      <c r="AF156">
        <v>42510211</v>
      </c>
      <c r="AG156" s="73">
        <v>45374.923622685186</v>
      </c>
      <c r="AH156" t="s">
        <v>226</v>
      </c>
      <c r="AI156" t="s">
        <v>317</v>
      </c>
      <c r="AJ156" t="s">
        <v>228</v>
      </c>
      <c r="AK156" t="s">
        <v>229</v>
      </c>
      <c r="AL156" t="s">
        <v>118</v>
      </c>
      <c r="AP156" t="s">
        <v>230</v>
      </c>
      <c r="AQ156" t="s">
        <v>231</v>
      </c>
      <c r="AT156" t="s">
        <v>232</v>
      </c>
      <c r="AU156">
        <v>-99</v>
      </c>
      <c r="AV156" t="s">
        <v>120</v>
      </c>
      <c r="AW156">
        <v>-40</v>
      </c>
      <c r="AX156">
        <v>42510211</v>
      </c>
      <c r="AY156" s="73">
        <v>45374.923622685186</v>
      </c>
      <c r="AZ156" t="s">
        <v>226</v>
      </c>
      <c r="BA156" t="s">
        <v>317</v>
      </c>
      <c r="BB156" t="s">
        <v>228</v>
      </c>
      <c r="BC156" t="s">
        <v>229</v>
      </c>
      <c r="BD156" t="s">
        <v>118</v>
      </c>
      <c r="BI156" t="s">
        <v>233</v>
      </c>
      <c r="BJ156" t="s">
        <v>0</v>
      </c>
      <c r="BK156">
        <v>42510201</v>
      </c>
      <c r="BN156" t="s">
        <v>120</v>
      </c>
      <c r="BR156">
        <v>-40</v>
      </c>
      <c r="BS156">
        <v>42510211</v>
      </c>
      <c r="BT156" s="73">
        <v>45374.923622685186</v>
      </c>
      <c r="BU156" t="s">
        <v>226</v>
      </c>
      <c r="BV156" t="s">
        <v>317</v>
      </c>
      <c r="BW156" t="s">
        <v>228</v>
      </c>
      <c r="CH156" t="s">
        <v>229</v>
      </c>
      <c r="CI156" t="s">
        <v>118</v>
      </c>
      <c r="CJ156" t="s">
        <v>226</v>
      </c>
      <c r="CK156" t="s">
        <v>317</v>
      </c>
      <c r="CL156" t="s">
        <v>228</v>
      </c>
      <c r="CM156" t="s">
        <v>234</v>
      </c>
      <c r="CN156" t="s">
        <v>120</v>
      </c>
      <c r="CO156">
        <v>-40</v>
      </c>
      <c r="CP156">
        <v>42510211</v>
      </c>
      <c r="CQ156" s="73">
        <v>45374.923622685186</v>
      </c>
      <c r="CR156" t="s">
        <v>229</v>
      </c>
      <c r="CS156" t="s">
        <v>118</v>
      </c>
      <c r="CU156" t="s">
        <v>225</v>
      </c>
    </row>
    <row r="157" spans="1:99">
      <c r="A157" t="s">
        <v>99</v>
      </c>
      <c r="B157" t="s">
        <v>98</v>
      </c>
      <c r="J157" t="s">
        <v>225</v>
      </c>
      <c r="K157" t="s">
        <v>225</v>
      </c>
      <c r="M157" s="73">
        <v>45374.923622685186</v>
      </c>
      <c r="N157">
        <v>42510186</v>
      </c>
      <c r="O157">
        <v>1150.94</v>
      </c>
      <c r="P157" t="s">
        <v>73</v>
      </c>
      <c r="Q157">
        <v>1150.94</v>
      </c>
      <c r="R157" t="s">
        <v>73</v>
      </c>
      <c r="U157" t="s">
        <v>226</v>
      </c>
      <c r="V157" t="s">
        <v>317</v>
      </c>
      <c r="W157" t="s">
        <v>235</v>
      </c>
      <c r="X157" t="s">
        <v>229</v>
      </c>
      <c r="Y157" t="s">
        <v>99</v>
      </c>
      <c r="AD157" t="s">
        <v>73</v>
      </c>
      <c r="AE157">
        <v>1150.94</v>
      </c>
      <c r="AF157">
        <v>42510186</v>
      </c>
      <c r="AG157" s="73">
        <v>45374.923622685186</v>
      </c>
      <c r="AH157" t="s">
        <v>226</v>
      </c>
      <c r="AI157" t="s">
        <v>317</v>
      </c>
      <c r="AJ157" t="s">
        <v>235</v>
      </c>
      <c r="AK157" t="s">
        <v>229</v>
      </c>
      <c r="AL157" t="s">
        <v>99</v>
      </c>
      <c r="AP157" t="s">
        <v>230</v>
      </c>
      <c r="AQ157" t="s">
        <v>231</v>
      </c>
      <c r="AT157" t="s">
        <v>232</v>
      </c>
      <c r="AU157">
        <v>-99</v>
      </c>
      <c r="AV157" t="s">
        <v>73</v>
      </c>
      <c r="AW157">
        <v>1150.94</v>
      </c>
      <c r="AX157">
        <v>42510186</v>
      </c>
      <c r="AY157" s="73">
        <v>45374.923622685186</v>
      </c>
      <c r="AZ157" t="s">
        <v>226</v>
      </c>
      <c r="BA157" t="s">
        <v>317</v>
      </c>
      <c r="BB157" t="s">
        <v>235</v>
      </c>
      <c r="BC157" t="s">
        <v>229</v>
      </c>
      <c r="BD157" t="s">
        <v>99</v>
      </c>
      <c r="BI157" t="s">
        <v>233</v>
      </c>
      <c r="BJ157" t="s">
        <v>0</v>
      </c>
      <c r="BK157">
        <v>42510182</v>
      </c>
      <c r="BN157" t="s">
        <v>73</v>
      </c>
      <c r="BO157">
        <v>42510184</v>
      </c>
      <c r="BR157">
        <v>1150.94</v>
      </c>
      <c r="BS157">
        <v>42510186</v>
      </c>
      <c r="BT157" s="73">
        <v>45374.923622685186</v>
      </c>
      <c r="BU157" t="s">
        <v>226</v>
      </c>
      <c r="BV157" t="s">
        <v>317</v>
      </c>
      <c r="BW157" t="s">
        <v>235</v>
      </c>
      <c r="CH157" t="s">
        <v>229</v>
      </c>
      <c r="CI157" t="s">
        <v>99</v>
      </c>
      <c r="CJ157" t="s">
        <v>226</v>
      </c>
      <c r="CK157" t="s">
        <v>317</v>
      </c>
      <c r="CL157" t="s">
        <v>235</v>
      </c>
      <c r="CM157" t="s">
        <v>236</v>
      </c>
      <c r="CN157" t="s">
        <v>73</v>
      </c>
      <c r="CO157">
        <v>1150.94</v>
      </c>
      <c r="CP157">
        <v>42510186</v>
      </c>
      <c r="CQ157" s="73">
        <v>45374.923622685186</v>
      </c>
      <c r="CR157" t="s">
        <v>229</v>
      </c>
      <c r="CS157" t="s">
        <v>99</v>
      </c>
      <c r="CU157" t="s">
        <v>225</v>
      </c>
    </row>
    <row r="158" spans="1:99">
      <c r="A158" t="s">
        <v>71</v>
      </c>
      <c r="B158" t="s">
        <v>77</v>
      </c>
      <c r="J158" t="s">
        <v>225</v>
      </c>
      <c r="K158" t="s">
        <v>225</v>
      </c>
      <c r="M158" s="73">
        <v>45374.923622685186</v>
      </c>
      <c r="N158">
        <v>42510179</v>
      </c>
      <c r="O158">
        <v>0.69</v>
      </c>
      <c r="P158" t="s">
        <v>73</v>
      </c>
      <c r="Q158">
        <v>0.69</v>
      </c>
      <c r="R158" t="s">
        <v>73</v>
      </c>
      <c r="U158" t="s">
        <v>226</v>
      </c>
      <c r="V158" t="s">
        <v>317</v>
      </c>
      <c r="W158" t="s">
        <v>237</v>
      </c>
      <c r="X158" t="s">
        <v>229</v>
      </c>
      <c r="Y158" t="s">
        <v>71</v>
      </c>
      <c r="AD158" t="s">
        <v>73</v>
      </c>
      <c r="AE158">
        <v>0.69</v>
      </c>
      <c r="AF158">
        <v>42510179</v>
      </c>
      <c r="AG158" s="73">
        <v>45374.923622685186</v>
      </c>
      <c r="AH158" t="s">
        <v>226</v>
      </c>
      <c r="AI158" t="s">
        <v>317</v>
      </c>
      <c r="AJ158" t="s">
        <v>237</v>
      </c>
      <c r="AK158" t="s">
        <v>229</v>
      </c>
      <c r="AL158" t="s">
        <v>71</v>
      </c>
      <c r="AP158" t="s">
        <v>230</v>
      </c>
      <c r="AQ158" t="s">
        <v>231</v>
      </c>
      <c r="AT158" t="s">
        <v>232</v>
      </c>
      <c r="AU158">
        <v>-99</v>
      </c>
      <c r="AV158" t="s">
        <v>73</v>
      </c>
      <c r="AW158">
        <v>0.69</v>
      </c>
      <c r="AX158">
        <v>42510179</v>
      </c>
      <c r="AY158" s="73">
        <v>45374.923622685186</v>
      </c>
      <c r="AZ158" t="s">
        <v>226</v>
      </c>
      <c r="BA158" t="s">
        <v>317</v>
      </c>
      <c r="BB158" t="s">
        <v>237</v>
      </c>
      <c r="BC158" t="s">
        <v>229</v>
      </c>
      <c r="BD158" t="s">
        <v>71</v>
      </c>
      <c r="BI158" t="s">
        <v>233</v>
      </c>
      <c r="BJ158" t="s">
        <v>0</v>
      </c>
      <c r="BK158">
        <v>42510175</v>
      </c>
      <c r="BN158" t="s">
        <v>73</v>
      </c>
      <c r="BO158">
        <v>42510177</v>
      </c>
      <c r="BR158">
        <v>0.69</v>
      </c>
      <c r="BS158">
        <v>42510179</v>
      </c>
      <c r="BT158" s="73">
        <v>45374.923622685186</v>
      </c>
      <c r="BU158" t="s">
        <v>226</v>
      </c>
      <c r="BV158" t="s">
        <v>317</v>
      </c>
      <c r="BW158" t="s">
        <v>237</v>
      </c>
      <c r="CH158" t="s">
        <v>229</v>
      </c>
      <c r="CI158" t="s">
        <v>71</v>
      </c>
      <c r="CJ158" t="s">
        <v>226</v>
      </c>
      <c r="CK158" t="s">
        <v>317</v>
      </c>
      <c r="CL158" t="s">
        <v>237</v>
      </c>
      <c r="CM158" t="s">
        <v>236</v>
      </c>
      <c r="CN158" t="s">
        <v>73</v>
      </c>
      <c r="CO158">
        <v>0.69</v>
      </c>
      <c r="CP158">
        <v>42510179</v>
      </c>
      <c r="CQ158" s="73">
        <v>45374.923622685186</v>
      </c>
      <c r="CR158" t="s">
        <v>229</v>
      </c>
      <c r="CS158" t="s">
        <v>71</v>
      </c>
      <c r="CU158" t="s">
        <v>225</v>
      </c>
    </row>
    <row r="159" spans="1:99">
      <c r="A159" t="s">
        <v>133</v>
      </c>
      <c r="B159" t="s">
        <v>90</v>
      </c>
      <c r="J159" t="s">
        <v>225</v>
      </c>
      <c r="K159" t="s">
        <v>225</v>
      </c>
      <c r="M159" s="73">
        <v>45374.923622685186</v>
      </c>
      <c r="N159">
        <v>42510172</v>
      </c>
      <c r="O159">
        <v>-468.3</v>
      </c>
      <c r="P159" t="s">
        <v>73</v>
      </c>
      <c r="Q159">
        <v>-468.3</v>
      </c>
      <c r="R159" t="s">
        <v>73</v>
      </c>
      <c r="U159" t="s">
        <v>226</v>
      </c>
      <c r="V159" t="s">
        <v>317</v>
      </c>
      <c r="W159" t="s">
        <v>228</v>
      </c>
      <c r="X159" t="s">
        <v>229</v>
      </c>
      <c r="Y159" t="s">
        <v>133</v>
      </c>
      <c r="AD159" t="s">
        <v>73</v>
      </c>
      <c r="AE159">
        <v>-468.3</v>
      </c>
      <c r="AF159">
        <v>42510172</v>
      </c>
      <c r="AG159" s="73">
        <v>45374.923622685186</v>
      </c>
      <c r="AH159" t="s">
        <v>226</v>
      </c>
      <c r="AI159" t="s">
        <v>317</v>
      </c>
      <c r="AJ159" t="s">
        <v>228</v>
      </c>
      <c r="AK159" t="s">
        <v>229</v>
      </c>
      <c r="AL159" t="s">
        <v>133</v>
      </c>
      <c r="AP159" t="s">
        <v>230</v>
      </c>
      <c r="AQ159" t="s">
        <v>231</v>
      </c>
      <c r="AT159" t="s">
        <v>232</v>
      </c>
      <c r="AU159">
        <v>-99</v>
      </c>
      <c r="AV159" t="s">
        <v>73</v>
      </c>
      <c r="AW159">
        <v>-468.3</v>
      </c>
      <c r="AX159">
        <v>42510172</v>
      </c>
      <c r="AY159" s="73">
        <v>45374.923622685186</v>
      </c>
      <c r="AZ159" t="s">
        <v>226</v>
      </c>
      <c r="BA159" t="s">
        <v>317</v>
      </c>
      <c r="BB159" t="s">
        <v>228</v>
      </c>
      <c r="BC159" t="s">
        <v>229</v>
      </c>
      <c r="BD159" t="s">
        <v>133</v>
      </c>
      <c r="BI159" t="s">
        <v>233</v>
      </c>
      <c r="BJ159" t="s">
        <v>0</v>
      </c>
      <c r="BK159">
        <v>42510168</v>
      </c>
      <c r="BN159" t="s">
        <v>73</v>
      </c>
      <c r="BR159">
        <v>-468.3</v>
      </c>
      <c r="BS159">
        <v>42510172</v>
      </c>
      <c r="BT159" s="73">
        <v>45374.923622685186</v>
      </c>
      <c r="BU159" t="s">
        <v>226</v>
      </c>
      <c r="BV159" t="s">
        <v>317</v>
      </c>
      <c r="BW159" t="s">
        <v>228</v>
      </c>
      <c r="CH159" t="s">
        <v>229</v>
      </c>
      <c r="CI159" t="s">
        <v>133</v>
      </c>
      <c r="CJ159" t="s">
        <v>226</v>
      </c>
      <c r="CK159" t="s">
        <v>317</v>
      </c>
      <c r="CL159" t="s">
        <v>228</v>
      </c>
      <c r="CM159" t="s">
        <v>234</v>
      </c>
      <c r="CN159" t="s">
        <v>73</v>
      </c>
      <c r="CO159">
        <v>-468.3</v>
      </c>
      <c r="CP159">
        <v>42510172</v>
      </c>
      <c r="CQ159" s="73">
        <v>45374.923622685186</v>
      </c>
      <c r="CR159" t="s">
        <v>229</v>
      </c>
      <c r="CS159" t="s">
        <v>133</v>
      </c>
      <c r="CU159" t="s">
        <v>225</v>
      </c>
    </row>
    <row r="160" spans="1:99">
      <c r="A160" t="s">
        <v>87</v>
      </c>
      <c r="B160" t="s">
        <v>90</v>
      </c>
      <c r="J160" t="s">
        <v>225</v>
      </c>
      <c r="K160" t="s">
        <v>225</v>
      </c>
      <c r="M160" s="73">
        <v>45374.923622685186</v>
      </c>
      <c r="N160">
        <v>42510165</v>
      </c>
      <c r="O160">
        <v>-53.4</v>
      </c>
      <c r="P160" t="s">
        <v>73</v>
      </c>
      <c r="Q160">
        <v>-53.4</v>
      </c>
      <c r="R160" t="s">
        <v>73</v>
      </c>
      <c r="U160" t="s">
        <v>226</v>
      </c>
      <c r="V160" t="s">
        <v>317</v>
      </c>
      <c r="W160" t="s">
        <v>228</v>
      </c>
      <c r="X160" t="s">
        <v>229</v>
      </c>
      <c r="Y160" t="s">
        <v>87</v>
      </c>
      <c r="AD160" t="s">
        <v>73</v>
      </c>
      <c r="AE160">
        <v>-53.4</v>
      </c>
      <c r="AF160">
        <v>42510165</v>
      </c>
      <c r="AG160" s="73">
        <v>45374.923622685186</v>
      </c>
      <c r="AH160" t="s">
        <v>226</v>
      </c>
      <c r="AI160" t="s">
        <v>317</v>
      </c>
      <c r="AJ160" t="s">
        <v>228</v>
      </c>
      <c r="AK160" t="s">
        <v>229</v>
      </c>
      <c r="AL160" t="s">
        <v>87</v>
      </c>
      <c r="AP160" t="s">
        <v>230</v>
      </c>
      <c r="AQ160" t="s">
        <v>231</v>
      </c>
      <c r="AT160" t="s">
        <v>232</v>
      </c>
      <c r="AU160">
        <v>-99</v>
      </c>
      <c r="AV160" t="s">
        <v>73</v>
      </c>
      <c r="AW160">
        <v>-53.4</v>
      </c>
      <c r="AX160">
        <v>42510165</v>
      </c>
      <c r="AY160" s="73">
        <v>45374.923622685186</v>
      </c>
      <c r="AZ160" t="s">
        <v>226</v>
      </c>
      <c r="BA160" t="s">
        <v>317</v>
      </c>
      <c r="BB160" t="s">
        <v>228</v>
      </c>
      <c r="BC160" t="s">
        <v>229</v>
      </c>
      <c r="BD160" t="s">
        <v>87</v>
      </c>
      <c r="BI160" t="s">
        <v>233</v>
      </c>
      <c r="BJ160" t="s">
        <v>0</v>
      </c>
      <c r="BK160">
        <v>42510161</v>
      </c>
      <c r="BN160" t="s">
        <v>73</v>
      </c>
      <c r="BR160">
        <v>-53.4</v>
      </c>
      <c r="BS160">
        <v>42510165</v>
      </c>
      <c r="BT160" s="73">
        <v>45374.923622685186</v>
      </c>
      <c r="BU160" t="s">
        <v>226</v>
      </c>
      <c r="BV160" t="s">
        <v>317</v>
      </c>
      <c r="BW160" t="s">
        <v>228</v>
      </c>
      <c r="CH160" t="s">
        <v>229</v>
      </c>
      <c r="CI160" t="s">
        <v>87</v>
      </c>
      <c r="CJ160" t="s">
        <v>226</v>
      </c>
      <c r="CK160" t="s">
        <v>317</v>
      </c>
      <c r="CL160" t="s">
        <v>228</v>
      </c>
      <c r="CM160" t="s">
        <v>234</v>
      </c>
      <c r="CN160" t="s">
        <v>73</v>
      </c>
      <c r="CO160">
        <v>-53.4</v>
      </c>
      <c r="CP160">
        <v>42510165</v>
      </c>
      <c r="CQ160" s="73">
        <v>45374.923622685186</v>
      </c>
      <c r="CR160" t="s">
        <v>229</v>
      </c>
      <c r="CS160" t="s">
        <v>87</v>
      </c>
      <c r="CU160" t="s">
        <v>225</v>
      </c>
    </row>
    <row r="161" spans="1:99">
      <c r="A161" t="s">
        <v>131</v>
      </c>
      <c r="B161" t="s">
        <v>90</v>
      </c>
      <c r="J161" t="s">
        <v>225</v>
      </c>
      <c r="K161" t="s">
        <v>225</v>
      </c>
      <c r="M161" s="73">
        <v>45374.923622685186</v>
      </c>
      <c r="N161">
        <v>42510158</v>
      </c>
      <c r="O161">
        <v>-129.80000000000001</v>
      </c>
      <c r="P161" t="s">
        <v>73</v>
      </c>
      <c r="Q161">
        <v>-129.80000000000001</v>
      </c>
      <c r="R161" t="s">
        <v>73</v>
      </c>
      <c r="U161" t="s">
        <v>226</v>
      </c>
      <c r="V161" t="s">
        <v>317</v>
      </c>
      <c r="W161" t="s">
        <v>228</v>
      </c>
      <c r="X161" t="s">
        <v>229</v>
      </c>
      <c r="Y161" t="s">
        <v>131</v>
      </c>
      <c r="AD161" t="s">
        <v>73</v>
      </c>
      <c r="AE161">
        <v>-129.80000000000001</v>
      </c>
      <c r="AF161">
        <v>42510158</v>
      </c>
      <c r="AG161" s="73">
        <v>45374.923622685186</v>
      </c>
      <c r="AH161" t="s">
        <v>226</v>
      </c>
      <c r="AI161" t="s">
        <v>317</v>
      </c>
      <c r="AJ161" t="s">
        <v>228</v>
      </c>
      <c r="AK161" t="s">
        <v>229</v>
      </c>
      <c r="AL161" t="s">
        <v>131</v>
      </c>
      <c r="AP161" t="s">
        <v>230</v>
      </c>
      <c r="AQ161" t="s">
        <v>231</v>
      </c>
      <c r="AT161" t="s">
        <v>232</v>
      </c>
      <c r="AU161">
        <v>-99</v>
      </c>
      <c r="AV161" t="s">
        <v>73</v>
      </c>
      <c r="AW161">
        <v>-129.80000000000001</v>
      </c>
      <c r="AX161">
        <v>42510158</v>
      </c>
      <c r="AY161" s="73">
        <v>45374.923622685186</v>
      </c>
      <c r="AZ161" t="s">
        <v>226</v>
      </c>
      <c r="BA161" t="s">
        <v>317</v>
      </c>
      <c r="BB161" t="s">
        <v>228</v>
      </c>
      <c r="BC161" t="s">
        <v>229</v>
      </c>
      <c r="BD161" t="s">
        <v>131</v>
      </c>
      <c r="BI161" t="s">
        <v>233</v>
      </c>
      <c r="BJ161" t="s">
        <v>0</v>
      </c>
      <c r="BK161">
        <v>42510154</v>
      </c>
      <c r="BN161" t="s">
        <v>73</v>
      </c>
      <c r="BR161">
        <v>-129.80000000000001</v>
      </c>
      <c r="BS161">
        <v>42510158</v>
      </c>
      <c r="BT161" s="73">
        <v>45374.923622685186</v>
      </c>
      <c r="BU161" t="s">
        <v>226</v>
      </c>
      <c r="BV161" t="s">
        <v>317</v>
      </c>
      <c r="BW161" t="s">
        <v>228</v>
      </c>
      <c r="CH161" t="s">
        <v>229</v>
      </c>
      <c r="CI161" t="s">
        <v>131</v>
      </c>
      <c r="CJ161" t="s">
        <v>226</v>
      </c>
      <c r="CK161" t="s">
        <v>317</v>
      </c>
      <c r="CL161" t="s">
        <v>228</v>
      </c>
      <c r="CM161" t="s">
        <v>234</v>
      </c>
      <c r="CN161" t="s">
        <v>73</v>
      </c>
      <c r="CO161">
        <v>-129.80000000000001</v>
      </c>
      <c r="CP161">
        <v>42510158</v>
      </c>
      <c r="CQ161" s="73">
        <v>45374.923622685186</v>
      </c>
      <c r="CR161" t="s">
        <v>229</v>
      </c>
      <c r="CS161" t="s">
        <v>131</v>
      </c>
      <c r="CU161" t="s">
        <v>225</v>
      </c>
    </row>
    <row r="162" spans="1:99">
      <c r="A162" t="s">
        <v>127</v>
      </c>
      <c r="B162" t="s">
        <v>90</v>
      </c>
      <c r="J162" t="s">
        <v>225</v>
      </c>
      <c r="K162" t="s">
        <v>225</v>
      </c>
      <c r="M162" s="73">
        <v>45374.923622685186</v>
      </c>
      <c r="N162">
        <v>42510151</v>
      </c>
      <c r="O162">
        <v>-534.5</v>
      </c>
      <c r="P162" t="s">
        <v>73</v>
      </c>
      <c r="Q162">
        <v>-534.5</v>
      </c>
      <c r="R162" t="s">
        <v>73</v>
      </c>
      <c r="U162" t="s">
        <v>226</v>
      </c>
      <c r="V162" t="s">
        <v>317</v>
      </c>
      <c r="W162" t="s">
        <v>228</v>
      </c>
      <c r="X162" t="s">
        <v>229</v>
      </c>
      <c r="Y162" t="s">
        <v>127</v>
      </c>
      <c r="AD162" t="s">
        <v>73</v>
      </c>
      <c r="AE162">
        <v>-534.5</v>
      </c>
      <c r="AF162">
        <v>42510151</v>
      </c>
      <c r="AG162" s="73">
        <v>45374.923622685186</v>
      </c>
      <c r="AH162" t="s">
        <v>226</v>
      </c>
      <c r="AI162" t="s">
        <v>317</v>
      </c>
      <c r="AJ162" t="s">
        <v>228</v>
      </c>
      <c r="AK162" t="s">
        <v>229</v>
      </c>
      <c r="AL162" t="s">
        <v>127</v>
      </c>
      <c r="AP162" t="s">
        <v>230</v>
      </c>
      <c r="AQ162" t="s">
        <v>231</v>
      </c>
      <c r="AT162" t="s">
        <v>232</v>
      </c>
      <c r="AU162">
        <v>-99</v>
      </c>
      <c r="AV162" t="s">
        <v>73</v>
      </c>
      <c r="AW162">
        <v>-534.5</v>
      </c>
      <c r="AX162">
        <v>42510151</v>
      </c>
      <c r="AY162" s="73">
        <v>45374.923622685186</v>
      </c>
      <c r="AZ162" t="s">
        <v>226</v>
      </c>
      <c r="BA162" t="s">
        <v>317</v>
      </c>
      <c r="BB162" t="s">
        <v>228</v>
      </c>
      <c r="BC162" t="s">
        <v>229</v>
      </c>
      <c r="BD162" t="s">
        <v>127</v>
      </c>
      <c r="BI162" t="s">
        <v>233</v>
      </c>
      <c r="BJ162" t="s">
        <v>0</v>
      </c>
      <c r="BK162">
        <v>42510147</v>
      </c>
      <c r="BN162" t="s">
        <v>73</v>
      </c>
      <c r="BR162">
        <v>-534.5</v>
      </c>
      <c r="BS162">
        <v>42510151</v>
      </c>
      <c r="BT162" s="73">
        <v>45374.923622685186</v>
      </c>
      <c r="BU162" t="s">
        <v>226</v>
      </c>
      <c r="BV162" t="s">
        <v>317</v>
      </c>
      <c r="BW162" t="s">
        <v>228</v>
      </c>
      <c r="CH162" t="s">
        <v>229</v>
      </c>
      <c r="CI162" t="s">
        <v>127</v>
      </c>
      <c r="CJ162" t="s">
        <v>226</v>
      </c>
      <c r="CK162" t="s">
        <v>317</v>
      </c>
      <c r="CL162" t="s">
        <v>228</v>
      </c>
      <c r="CM162" t="s">
        <v>234</v>
      </c>
      <c r="CN162" t="s">
        <v>73</v>
      </c>
      <c r="CO162">
        <v>-534.5</v>
      </c>
      <c r="CP162">
        <v>42510151</v>
      </c>
      <c r="CQ162" s="73">
        <v>45374.923622685186</v>
      </c>
      <c r="CR162" t="s">
        <v>229</v>
      </c>
      <c r="CS162" t="s">
        <v>127</v>
      </c>
      <c r="CU162" t="s">
        <v>225</v>
      </c>
    </row>
    <row r="163" spans="1:99">
      <c r="A163" t="s">
        <v>42</v>
      </c>
      <c r="B163" t="s">
        <v>92</v>
      </c>
      <c r="J163" t="s">
        <v>225</v>
      </c>
      <c r="K163" t="s">
        <v>225</v>
      </c>
      <c r="M163" s="73">
        <v>45374.590277777781</v>
      </c>
      <c r="N163">
        <v>42509120</v>
      </c>
      <c r="O163">
        <v>-5904</v>
      </c>
      <c r="P163" t="s">
        <v>45</v>
      </c>
      <c r="Q163">
        <v>-5904</v>
      </c>
      <c r="R163" t="s">
        <v>45</v>
      </c>
      <c r="U163" t="s">
        <v>226</v>
      </c>
      <c r="V163" t="s">
        <v>318</v>
      </c>
      <c r="W163" t="s">
        <v>228</v>
      </c>
      <c r="X163" t="s">
        <v>229</v>
      </c>
      <c r="Y163" t="s">
        <v>42</v>
      </c>
      <c r="AD163" t="s">
        <v>45</v>
      </c>
      <c r="AE163">
        <v>-5904</v>
      </c>
      <c r="AF163">
        <v>42509120</v>
      </c>
      <c r="AG163" s="73">
        <v>45374.590277777781</v>
      </c>
      <c r="AH163" t="s">
        <v>226</v>
      </c>
      <c r="AI163" t="s">
        <v>318</v>
      </c>
      <c r="AJ163" t="s">
        <v>228</v>
      </c>
      <c r="AK163" t="s">
        <v>229</v>
      </c>
      <c r="AL163" t="s">
        <v>42</v>
      </c>
      <c r="AP163" t="s">
        <v>230</v>
      </c>
      <c r="AQ163" t="s">
        <v>231</v>
      </c>
      <c r="AT163" t="s">
        <v>232</v>
      </c>
      <c r="AU163">
        <v>-99</v>
      </c>
      <c r="AV163" t="s">
        <v>45</v>
      </c>
      <c r="AW163">
        <v>-5904</v>
      </c>
      <c r="AX163">
        <v>42509120</v>
      </c>
      <c r="AY163" s="73">
        <v>45374.590277777781</v>
      </c>
      <c r="AZ163" t="s">
        <v>226</v>
      </c>
      <c r="BA163" t="s">
        <v>318</v>
      </c>
      <c r="BB163" t="s">
        <v>228</v>
      </c>
      <c r="BC163" t="s">
        <v>229</v>
      </c>
      <c r="BD163" t="s">
        <v>42</v>
      </c>
      <c r="BI163" t="s">
        <v>233</v>
      </c>
      <c r="BJ163" t="s">
        <v>0</v>
      </c>
      <c r="BK163">
        <v>42509104</v>
      </c>
      <c r="BN163" t="s">
        <v>45</v>
      </c>
      <c r="BR163">
        <v>-5904</v>
      </c>
      <c r="BS163">
        <v>42509120</v>
      </c>
      <c r="BT163" s="73">
        <v>45374.590277777781</v>
      </c>
      <c r="BU163" t="s">
        <v>226</v>
      </c>
      <c r="BV163" t="s">
        <v>318</v>
      </c>
      <c r="BW163" t="s">
        <v>228</v>
      </c>
      <c r="CH163" t="s">
        <v>229</v>
      </c>
      <c r="CI163" t="s">
        <v>42</v>
      </c>
      <c r="CJ163" t="s">
        <v>226</v>
      </c>
      <c r="CK163" t="s">
        <v>318</v>
      </c>
      <c r="CL163" t="s">
        <v>228</v>
      </c>
      <c r="CM163" t="s">
        <v>234</v>
      </c>
      <c r="CN163" t="s">
        <v>45</v>
      </c>
      <c r="CO163">
        <v>-5904</v>
      </c>
      <c r="CP163">
        <v>42509120</v>
      </c>
      <c r="CQ163" s="73">
        <v>45374.590277777781</v>
      </c>
      <c r="CR163" t="s">
        <v>229</v>
      </c>
      <c r="CS163" t="s">
        <v>42</v>
      </c>
      <c r="CU163" t="s">
        <v>225</v>
      </c>
    </row>
    <row r="164" spans="1:99">
      <c r="A164" t="s">
        <v>99</v>
      </c>
      <c r="B164" t="s">
        <v>98</v>
      </c>
      <c r="J164" t="s">
        <v>225</v>
      </c>
      <c r="K164" t="s">
        <v>225</v>
      </c>
      <c r="M164" s="73">
        <v>45374.590277777781</v>
      </c>
      <c r="N164">
        <v>42509119</v>
      </c>
      <c r="O164">
        <v>-295</v>
      </c>
      <c r="P164" t="s">
        <v>73</v>
      </c>
      <c r="Q164">
        <v>-295</v>
      </c>
      <c r="R164" t="s">
        <v>73</v>
      </c>
      <c r="U164" t="s">
        <v>226</v>
      </c>
      <c r="V164" t="s">
        <v>318</v>
      </c>
      <c r="W164" t="s">
        <v>228</v>
      </c>
      <c r="X164" t="s">
        <v>229</v>
      </c>
      <c r="Y164" t="s">
        <v>99</v>
      </c>
      <c r="AD164" t="s">
        <v>73</v>
      </c>
      <c r="AE164">
        <v>-295</v>
      </c>
      <c r="AF164">
        <v>42509119</v>
      </c>
      <c r="AG164" s="73">
        <v>45374.590277777781</v>
      </c>
      <c r="AH164" t="s">
        <v>226</v>
      </c>
      <c r="AI164" t="s">
        <v>318</v>
      </c>
      <c r="AJ164" t="s">
        <v>228</v>
      </c>
      <c r="AK164" t="s">
        <v>229</v>
      </c>
      <c r="AL164" t="s">
        <v>99</v>
      </c>
      <c r="AP164" t="s">
        <v>230</v>
      </c>
      <c r="AQ164" t="s">
        <v>231</v>
      </c>
      <c r="AT164" t="s">
        <v>232</v>
      </c>
      <c r="AU164">
        <v>-99</v>
      </c>
      <c r="AV164" t="s">
        <v>73</v>
      </c>
      <c r="AW164">
        <v>-295</v>
      </c>
      <c r="AX164">
        <v>42509119</v>
      </c>
      <c r="AY164" s="73">
        <v>45374.590277777781</v>
      </c>
      <c r="AZ164" t="s">
        <v>226</v>
      </c>
      <c r="BA164" t="s">
        <v>318</v>
      </c>
      <c r="BB164" t="s">
        <v>228</v>
      </c>
      <c r="BC164" t="s">
        <v>229</v>
      </c>
      <c r="BD164" t="s">
        <v>99</v>
      </c>
      <c r="BI164" t="s">
        <v>233</v>
      </c>
      <c r="BJ164" t="s">
        <v>0</v>
      </c>
      <c r="BK164">
        <v>42509104</v>
      </c>
      <c r="BN164" t="s">
        <v>73</v>
      </c>
      <c r="BR164">
        <v>-295</v>
      </c>
      <c r="BS164">
        <v>42509119</v>
      </c>
      <c r="BT164" s="73">
        <v>45374.590277777781</v>
      </c>
      <c r="BU164" t="s">
        <v>226</v>
      </c>
      <c r="BV164" t="s">
        <v>318</v>
      </c>
      <c r="BW164" t="s">
        <v>228</v>
      </c>
      <c r="CH164" t="s">
        <v>229</v>
      </c>
      <c r="CI164" t="s">
        <v>99</v>
      </c>
      <c r="CJ164" t="s">
        <v>226</v>
      </c>
      <c r="CK164" t="s">
        <v>318</v>
      </c>
      <c r="CL164" t="s">
        <v>228</v>
      </c>
      <c r="CM164" t="s">
        <v>234</v>
      </c>
      <c r="CN164" t="s">
        <v>73</v>
      </c>
      <c r="CO164">
        <v>-295</v>
      </c>
      <c r="CP164">
        <v>42509119</v>
      </c>
      <c r="CQ164" s="73">
        <v>45374.590277777781</v>
      </c>
      <c r="CR164" t="s">
        <v>229</v>
      </c>
      <c r="CS164" t="s">
        <v>99</v>
      </c>
      <c r="CU164" t="s">
        <v>225</v>
      </c>
    </row>
    <row r="165" spans="1:99">
      <c r="A165" t="s">
        <v>103</v>
      </c>
      <c r="B165" t="s">
        <v>98</v>
      </c>
      <c r="J165" t="s">
        <v>225</v>
      </c>
      <c r="K165" t="s">
        <v>225</v>
      </c>
      <c r="M165" s="73">
        <v>45374.590277777781</v>
      </c>
      <c r="N165">
        <v>42509118</v>
      </c>
      <c r="O165">
        <v>5900</v>
      </c>
      <c r="P165" t="s">
        <v>104</v>
      </c>
      <c r="Q165">
        <v>5900</v>
      </c>
      <c r="R165" t="s">
        <v>104</v>
      </c>
      <c r="S165">
        <v>295</v>
      </c>
      <c r="T165" t="s">
        <v>73</v>
      </c>
      <c r="U165" t="s">
        <v>226</v>
      </c>
      <c r="V165" t="s">
        <v>318</v>
      </c>
      <c r="W165" t="s">
        <v>235</v>
      </c>
      <c r="X165" t="s">
        <v>229</v>
      </c>
      <c r="Y165" t="s">
        <v>103</v>
      </c>
      <c r="AD165" t="s">
        <v>104</v>
      </c>
      <c r="AE165">
        <v>5900</v>
      </c>
      <c r="AF165">
        <v>42509118</v>
      </c>
      <c r="AG165" s="73">
        <v>45374.590277777781</v>
      </c>
      <c r="AH165" t="s">
        <v>226</v>
      </c>
      <c r="AI165" t="s">
        <v>318</v>
      </c>
      <c r="AJ165" t="s">
        <v>235</v>
      </c>
      <c r="AK165" t="s">
        <v>229</v>
      </c>
      <c r="AL165" t="s">
        <v>103</v>
      </c>
      <c r="AP165" t="s">
        <v>230</v>
      </c>
      <c r="AQ165" t="s">
        <v>231</v>
      </c>
      <c r="AT165" t="s">
        <v>232</v>
      </c>
      <c r="AU165">
        <v>-99</v>
      </c>
      <c r="AV165" t="s">
        <v>104</v>
      </c>
      <c r="AW165">
        <v>5900</v>
      </c>
      <c r="AX165">
        <v>42509118</v>
      </c>
      <c r="AY165" s="73">
        <v>45374.590277777781</v>
      </c>
      <c r="AZ165" t="s">
        <v>226</v>
      </c>
      <c r="BA165" t="s">
        <v>318</v>
      </c>
      <c r="BB165" t="s">
        <v>235</v>
      </c>
      <c r="BC165" t="s">
        <v>229</v>
      </c>
      <c r="BD165" t="s">
        <v>103</v>
      </c>
      <c r="BI165" t="s">
        <v>233</v>
      </c>
      <c r="BJ165" t="s">
        <v>0</v>
      </c>
      <c r="BK165">
        <v>42509104</v>
      </c>
      <c r="BN165" t="s">
        <v>104</v>
      </c>
      <c r="BO165">
        <v>42509110</v>
      </c>
      <c r="BR165">
        <v>5900</v>
      </c>
      <c r="BS165">
        <v>42509118</v>
      </c>
      <c r="BT165" s="73">
        <v>45374.590277777781</v>
      </c>
      <c r="BU165" t="s">
        <v>226</v>
      </c>
      <c r="BV165" t="s">
        <v>318</v>
      </c>
      <c r="BW165" t="s">
        <v>235</v>
      </c>
      <c r="CH165" t="s">
        <v>229</v>
      </c>
      <c r="CI165" t="s">
        <v>103</v>
      </c>
      <c r="CJ165" t="s">
        <v>226</v>
      </c>
      <c r="CK165" t="s">
        <v>318</v>
      </c>
      <c r="CL165" t="s">
        <v>235</v>
      </c>
      <c r="CM165" t="s">
        <v>236</v>
      </c>
      <c r="CN165" t="s">
        <v>104</v>
      </c>
      <c r="CO165">
        <v>5900</v>
      </c>
      <c r="CP165">
        <v>42509118</v>
      </c>
      <c r="CQ165" s="73">
        <v>45374.590277777781</v>
      </c>
      <c r="CR165" t="s">
        <v>229</v>
      </c>
      <c r="CS165" t="s">
        <v>103</v>
      </c>
      <c r="CU165" t="s">
        <v>225</v>
      </c>
    </row>
    <row r="166" spans="1:99">
      <c r="A166" t="s">
        <v>111</v>
      </c>
      <c r="B166" t="s">
        <v>77</v>
      </c>
      <c r="J166" t="s">
        <v>225</v>
      </c>
      <c r="K166" t="s">
        <v>225</v>
      </c>
      <c r="M166" s="73">
        <v>45374.590277777781</v>
      </c>
      <c r="N166">
        <v>42509117</v>
      </c>
      <c r="O166">
        <v>4</v>
      </c>
      <c r="P166" t="s">
        <v>45</v>
      </c>
      <c r="Q166">
        <v>4</v>
      </c>
      <c r="R166" t="s">
        <v>45</v>
      </c>
      <c r="U166" t="s">
        <v>226</v>
      </c>
      <c r="V166" t="s">
        <v>318</v>
      </c>
      <c r="W166" t="s">
        <v>237</v>
      </c>
      <c r="X166" t="s">
        <v>229</v>
      </c>
      <c r="Y166" t="s">
        <v>111</v>
      </c>
      <c r="AD166" t="s">
        <v>45</v>
      </c>
      <c r="AE166">
        <v>4</v>
      </c>
      <c r="AF166">
        <v>42509117</v>
      </c>
      <c r="AG166" s="73">
        <v>45374.590277777781</v>
      </c>
      <c r="AH166" t="s">
        <v>226</v>
      </c>
      <c r="AI166" t="s">
        <v>318</v>
      </c>
      <c r="AJ166" t="s">
        <v>237</v>
      </c>
      <c r="AK166" t="s">
        <v>229</v>
      </c>
      <c r="AL166" t="s">
        <v>111</v>
      </c>
      <c r="AP166" t="s">
        <v>230</v>
      </c>
      <c r="AQ166" t="s">
        <v>231</v>
      </c>
      <c r="AT166" t="s">
        <v>232</v>
      </c>
      <c r="AU166">
        <v>-99</v>
      </c>
      <c r="AV166" t="s">
        <v>45</v>
      </c>
      <c r="AW166">
        <v>4</v>
      </c>
      <c r="AX166">
        <v>42509117</v>
      </c>
      <c r="AY166" s="73">
        <v>45374.590277777781</v>
      </c>
      <c r="AZ166" t="s">
        <v>226</v>
      </c>
      <c r="BA166" t="s">
        <v>318</v>
      </c>
      <c r="BB166" t="s">
        <v>237</v>
      </c>
      <c r="BC166" t="s">
        <v>229</v>
      </c>
      <c r="BD166" t="s">
        <v>111</v>
      </c>
      <c r="BI166" t="s">
        <v>233</v>
      </c>
      <c r="BJ166" t="s">
        <v>0</v>
      </c>
      <c r="BK166">
        <v>42509104</v>
      </c>
      <c r="BN166" t="s">
        <v>45</v>
      </c>
      <c r="BO166">
        <v>42509112</v>
      </c>
      <c r="BR166">
        <v>4</v>
      </c>
      <c r="BS166">
        <v>42509117</v>
      </c>
      <c r="BT166" s="73">
        <v>45374.590277777781</v>
      </c>
      <c r="BU166" t="s">
        <v>226</v>
      </c>
      <c r="BV166" t="s">
        <v>318</v>
      </c>
      <c r="BW166" t="s">
        <v>237</v>
      </c>
      <c r="CH166" t="s">
        <v>229</v>
      </c>
      <c r="CI166" t="s">
        <v>111</v>
      </c>
      <c r="CJ166" t="s">
        <v>226</v>
      </c>
      <c r="CK166" t="s">
        <v>318</v>
      </c>
      <c r="CL166" t="s">
        <v>237</v>
      </c>
      <c r="CM166" t="s">
        <v>236</v>
      </c>
      <c r="CN166" t="s">
        <v>45</v>
      </c>
      <c r="CO166">
        <v>4</v>
      </c>
      <c r="CP166">
        <v>42509117</v>
      </c>
      <c r="CQ166" s="73">
        <v>45374.590277777781</v>
      </c>
      <c r="CR166" t="s">
        <v>229</v>
      </c>
      <c r="CS166" t="s">
        <v>111</v>
      </c>
      <c r="CU166" t="s">
        <v>225</v>
      </c>
    </row>
    <row r="167" spans="1:99">
      <c r="A167" t="s">
        <v>52</v>
      </c>
      <c r="B167" t="s">
        <v>92</v>
      </c>
      <c r="J167" t="s">
        <v>225</v>
      </c>
      <c r="K167" t="s">
        <v>225</v>
      </c>
      <c r="M167" s="73">
        <v>45374.588888888888</v>
      </c>
      <c r="N167">
        <v>42509095</v>
      </c>
      <c r="O167">
        <v>-1650</v>
      </c>
      <c r="P167" t="s">
        <v>45</v>
      </c>
      <c r="Q167">
        <v>-1650</v>
      </c>
      <c r="R167" t="s">
        <v>45</v>
      </c>
      <c r="U167" t="s">
        <v>226</v>
      </c>
      <c r="V167" t="s">
        <v>319</v>
      </c>
      <c r="W167" t="s">
        <v>228</v>
      </c>
      <c r="X167" t="s">
        <v>229</v>
      </c>
      <c r="Y167" t="s">
        <v>52</v>
      </c>
      <c r="AD167" t="s">
        <v>45</v>
      </c>
      <c r="AE167">
        <v>-1650</v>
      </c>
      <c r="AF167">
        <v>42509095</v>
      </c>
      <c r="AG167" s="73">
        <v>45374.588888888888</v>
      </c>
      <c r="AH167" t="s">
        <v>226</v>
      </c>
      <c r="AI167" t="s">
        <v>319</v>
      </c>
      <c r="AJ167" t="s">
        <v>228</v>
      </c>
      <c r="AK167" t="s">
        <v>229</v>
      </c>
      <c r="AL167" t="s">
        <v>52</v>
      </c>
      <c r="AP167" t="s">
        <v>230</v>
      </c>
      <c r="AQ167" t="s">
        <v>231</v>
      </c>
      <c r="AT167" t="s">
        <v>232</v>
      </c>
      <c r="AU167">
        <v>-99</v>
      </c>
      <c r="AV167" t="s">
        <v>45</v>
      </c>
      <c r="AW167">
        <v>-1650</v>
      </c>
      <c r="AX167">
        <v>42509095</v>
      </c>
      <c r="AY167" s="73">
        <v>45374.588888888888</v>
      </c>
      <c r="AZ167" t="s">
        <v>226</v>
      </c>
      <c r="BA167" t="s">
        <v>319</v>
      </c>
      <c r="BB167" t="s">
        <v>228</v>
      </c>
      <c r="BC167" t="s">
        <v>229</v>
      </c>
      <c r="BD167" t="s">
        <v>52</v>
      </c>
      <c r="BI167" t="s">
        <v>233</v>
      </c>
      <c r="BJ167" t="s">
        <v>0</v>
      </c>
      <c r="BK167">
        <v>42509083</v>
      </c>
      <c r="BN167" t="s">
        <v>45</v>
      </c>
      <c r="BR167">
        <v>-1650</v>
      </c>
      <c r="BS167">
        <v>42509095</v>
      </c>
      <c r="BT167" s="73">
        <v>45374.588888888888</v>
      </c>
      <c r="BU167" t="s">
        <v>226</v>
      </c>
      <c r="BV167" t="s">
        <v>319</v>
      </c>
      <c r="BW167" t="s">
        <v>228</v>
      </c>
      <c r="CH167" t="s">
        <v>229</v>
      </c>
      <c r="CI167" t="s">
        <v>52</v>
      </c>
      <c r="CJ167" t="s">
        <v>226</v>
      </c>
      <c r="CK167" t="s">
        <v>319</v>
      </c>
      <c r="CL167" t="s">
        <v>228</v>
      </c>
      <c r="CM167" t="s">
        <v>234</v>
      </c>
      <c r="CN167" t="s">
        <v>45</v>
      </c>
      <c r="CO167">
        <v>-1650</v>
      </c>
      <c r="CP167">
        <v>42509095</v>
      </c>
      <c r="CQ167" s="73">
        <v>45374.588888888888</v>
      </c>
      <c r="CR167" t="s">
        <v>229</v>
      </c>
      <c r="CS167" t="s">
        <v>52</v>
      </c>
      <c r="CU167" t="s">
        <v>225</v>
      </c>
    </row>
    <row r="168" spans="1:99">
      <c r="A168" t="s">
        <v>101</v>
      </c>
      <c r="B168" t="s">
        <v>98</v>
      </c>
      <c r="J168" t="s">
        <v>225</v>
      </c>
      <c r="K168" t="s">
        <v>225</v>
      </c>
      <c r="M168" s="73">
        <v>45374.588888888888</v>
      </c>
      <c r="N168">
        <v>42509094</v>
      </c>
      <c r="O168">
        <v>-82.5</v>
      </c>
      <c r="P168" t="s">
        <v>73</v>
      </c>
      <c r="Q168">
        <v>-82.5</v>
      </c>
      <c r="R168" t="s">
        <v>73</v>
      </c>
      <c r="U168" t="s">
        <v>226</v>
      </c>
      <c r="V168" t="s">
        <v>319</v>
      </c>
      <c r="W168" t="s">
        <v>228</v>
      </c>
      <c r="X168" t="s">
        <v>229</v>
      </c>
      <c r="Y168" t="s">
        <v>101</v>
      </c>
      <c r="AD168" t="s">
        <v>73</v>
      </c>
      <c r="AE168">
        <v>-82.5</v>
      </c>
      <c r="AF168">
        <v>42509094</v>
      </c>
      <c r="AG168" s="73">
        <v>45374.588888888888</v>
      </c>
      <c r="AH168" t="s">
        <v>226</v>
      </c>
      <c r="AI168" t="s">
        <v>319</v>
      </c>
      <c r="AJ168" t="s">
        <v>228</v>
      </c>
      <c r="AK168" t="s">
        <v>229</v>
      </c>
      <c r="AL168" t="s">
        <v>101</v>
      </c>
      <c r="AP168" t="s">
        <v>230</v>
      </c>
      <c r="AQ168" t="s">
        <v>231</v>
      </c>
      <c r="AT168" t="s">
        <v>232</v>
      </c>
      <c r="AU168">
        <v>-99</v>
      </c>
      <c r="AV168" t="s">
        <v>73</v>
      </c>
      <c r="AW168">
        <v>-82.5</v>
      </c>
      <c r="AX168">
        <v>42509094</v>
      </c>
      <c r="AY168" s="73">
        <v>45374.588888888888</v>
      </c>
      <c r="AZ168" t="s">
        <v>226</v>
      </c>
      <c r="BA168" t="s">
        <v>319</v>
      </c>
      <c r="BB168" t="s">
        <v>228</v>
      </c>
      <c r="BC168" t="s">
        <v>229</v>
      </c>
      <c r="BD168" t="s">
        <v>101</v>
      </c>
      <c r="BI168" t="s">
        <v>233</v>
      </c>
      <c r="BJ168" t="s">
        <v>0</v>
      </c>
      <c r="BK168">
        <v>42509083</v>
      </c>
      <c r="BN168" t="s">
        <v>73</v>
      </c>
      <c r="BR168">
        <v>-82.5</v>
      </c>
      <c r="BS168">
        <v>42509094</v>
      </c>
      <c r="BT168" s="73">
        <v>45374.588888888888</v>
      </c>
      <c r="BU168" t="s">
        <v>226</v>
      </c>
      <c r="BV168" t="s">
        <v>319</v>
      </c>
      <c r="BW168" t="s">
        <v>228</v>
      </c>
      <c r="CH168" t="s">
        <v>229</v>
      </c>
      <c r="CI168" t="s">
        <v>101</v>
      </c>
      <c r="CJ168" t="s">
        <v>226</v>
      </c>
      <c r="CK168" t="s">
        <v>319</v>
      </c>
      <c r="CL168" t="s">
        <v>228</v>
      </c>
      <c r="CM168" t="s">
        <v>234</v>
      </c>
      <c r="CN168" t="s">
        <v>73</v>
      </c>
      <c r="CO168">
        <v>-82.5</v>
      </c>
      <c r="CP168">
        <v>42509094</v>
      </c>
      <c r="CQ168" s="73">
        <v>45374.588888888888</v>
      </c>
      <c r="CR168" t="s">
        <v>229</v>
      </c>
      <c r="CS168" t="s">
        <v>101</v>
      </c>
      <c r="CU168" t="s">
        <v>225</v>
      </c>
    </row>
    <row r="169" spans="1:99">
      <c r="A169" t="s">
        <v>107</v>
      </c>
      <c r="B169" t="s">
        <v>98</v>
      </c>
      <c r="J169" t="s">
        <v>225</v>
      </c>
      <c r="K169" t="s">
        <v>225</v>
      </c>
      <c r="M169" s="73">
        <v>45374.588888888888</v>
      </c>
      <c r="N169">
        <v>42509093</v>
      </c>
      <c r="O169">
        <v>1650</v>
      </c>
      <c r="P169" t="s">
        <v>104</v>
      </c>
      <c r="Q169">
        <v>1650</v>
      </c>
      <c r="R169" t="s">
        <v>104</v>
      </c>
      <c r="S169">
        <v>82.5</v>
      </c>
      <c r="T169" t="s">
        <v>73</v>
      </c>
      <c r="U169" t="s">
        <v>226</v>
      </c>
      <c r="V169" t="s">
        <v>319</v>
      </c>
      <c r="W169" t="s">
        <v>235</v>
      </c>
      <c r="X169" t="s">
        <v>229</v>
      </c>
      <c r="Y169" t="s">
        <v>107</v>
      </c>
      <c r="AD169" t="s">
        <v>104</v>
      </c>
      <c r="AE169">
        <v>1650</v>
      </c>
      <c r="AF169">
        <v>42509093</v>
      </c>
      <c r="AG169" s="73">
        <v>45374.588888888888</v>
      </c>
      <c r="AH169" t="s">
        <v>226</v>
      </c>
      <c r="AI169" t="s">
        <v>319</v>
      </c>
      <c r="AJ169" t="s">
        <v>235</v>
      </c>
      <c r="AK169" t="s">
        <v>229</v>
      </c>
      <c r="AL169" t="s">
        <v>107</v>
      </c>
      <c r="AP169" t="s">
        <v>230</v>
      </c>
      <c r="AQ169" t="s">
        <v>231</v>
      </c>
      <c r="AT169" t="s">
        <v>232</v>
      </c>
      <c r="AU169">
        <v>-99</v>
      </c>
      <c r="AV169" t="s">
        <v>104</v>
      </c>
      <c r="AW169">
        <v>1650</v>
      </c>
      <c r="AX169">
        <v>42509093</v>
      </c>
      <c r="AY169" s="73">
        <v>45374.588888888888</v>
      </c>
      <c r="AZ169" t="s">
        <v>226</v>
      </c>
      <c r="BA169" t="s">
        <v>319</v>
      </c>
      <c r="BB169" t="s">
        <v>235</v>
      </c>
      <c r="BC169" t="s">
        <v>229</v>
      </c>
      <c r="BD169" t="s">
        <v>107</v>
      </c>
      <c r="BI169" t="s">
        <v>233</v>
      </c>
      <c r="BJ169" t="s">
        <v>0</v>
      </c>
      <c r="BK169">
        <v>42509083</v>
      </c>
      <c r="BN169" t="s">
        <v>104</v>
      </c>
      <c r="BO169">
        <v>42509089</v>
      </c>
      <c r="BR169">
        <v>1650</v>
      </c>
      <c r="BS169">
        <v>42509093</v>
      </c>
      <c r="BT169" s="73">
        <v>45374.588888888888</v>
      </c>
      <c r="BU169" t="s">
        <v>226</v>
      </c>
      <c r="BV169" t="s">
        <v>319</v>
      </c>
      <c r="BW169" t="s">
        <v>235</v>
      </c>
      <c r="CH169" t="s">
        <v>229</v>
      </c>
      <c r="CI169" t="s">
        <v>107</v>
      </c>
      <c r="CJ169" t="s">
        <v>226</v>
      </c>
      <c r="CK169" t="s">
        <v>319</v>
      </c>
      <c r="CL169" t="s">
        <v>235</v>
      </c>
      <c r="CM169" t="s">
        <v>236</v>
      </c>
      <c r="CN169" t="s">
        <v>104</v>
      </c>
      <c r="CO169">
        <v>1650</v>
      </c>
      <c r="CP169">
        <v>42509093</v>
      </c>
      <c r="CQ169" s="73">
        <v>45374.588888888888</v>
      </c>
      <c r="CR169" t="s">
        <v>229</v>
      </c>
      <c r="CS169" t="s">
        <v>107</v>
      </c>
      <c r="CU169" t="s">
        <v>225</v>
      </c>
    </row>
    <row r="170" spans="1:99">
      <c r="A170" t="s">
        <v>42</v>
      </c>
      <c r="B170" t="s">
        <v>92</v>
      </c>
      <c r="J170" t="s">
        <v>225</v>
      </c>
      <c r="K170" t="s">
        <v>225</v>
      </c>
      <c r="M170" s="73">
        <v>45374.587500000001</v>
      </c>
      <c r="N170">
        <v>42509068</v>
      </c>
      <c r="O170">
        <v>-5566</v>
      </c>
      <c r="P170" t="s">
        <v>45</v>
      </c>
      <c r="Q170">
        <v>-5566</v>
      </c>
      <c r="R170" t="s">
        <v>45</v>
      </c>
      <c r="U170" t="s">
        <v>226</v>
      </c>
      <c r="V170" t="s">
        <v>320</v>
      </c>
      <c r="W170" t="s">
        <v>228</v>
      </c>
      <c r="X170" t="s">
        <v>229</v>
      </c>
      <c r="Y170" t="s">
        <v>42</v>
      </c>
      <c r="AD170" t="s">
        <v>45</v>
      </c>
      <c r="AE170">
        <v>-5566</v>
      </c>
      <c r="AF170">
        <v>42509068</v>
      </c>
      <c r="AG170" s="73">
        <v>45374.587500000001</v>
      </c>
      <c r="AH170" t="s">
        <v>226</v>
      </c>
      <c r="AI170" t="s">
        <v>320</v>
      </c>
      <c r="AJ170" t="s">
        <v>228</v>
      </c>
      <c r="AK170" t="s">
        <v>229</v>
      </c>
      <c r="AL170" t="s">
        <v>42</v>
      </c>
      <c r="AP170" t="s">
        <v>230</v>
      </c>
      <c r="AQ170" t="s">
        <v>231</v>
      </c>
      <c r="AT170" t="s">
        <v>232</v>
      </c>
      <c r="AU170">
        <v>-99</v>
      </c>
      <c r="AV170" t="s">
        <v>45</v>
      </c>
      <c r="AW170">
        <v>-5566</v>
      </c>
      <c r="AX170">
        <v>42509068</v>
      </c>
      <c r="AY170" s="73">
        <v>45374.587500000001</v>
      </c>
      <c r="AZ170" t="s">
        <v>226</v>
      </c>
      <c r="BA170" t="s">
        <v>320</v>
      </c>
      <c r="BB170" t="s">
        <v>228</v>
      </c>
      <c r="BC170" t="s">
        <v>229</v>
      </c>
      <c r="BD170" t="s">
        <v>42</v>
      </c>
      <c r="BI170" t="s">
        <v>233</v>
      </c>
      <c r="BJ170" t="s">
        <v>0</v>
      </c>
      <c r="BK170">
        <v>42509040</v>
      </c>
      <c r="BN170" t="s">
        <v>45</v>
      </c>
      <c r="BR170">
        <v>-5566</v>
      </c>
      <c r="BS170">
        <v>42509068</v>
      </c>
      <c r="BT170" s="73">
        <v>45374.587500000001</v>
      </c>
      <c r="BU170" t="s">
        <v>226</v>
      </c>
      <c r="BV170" t="s">
        <v>320</v>
      </c>
      <c r="BW170" t="s">
        <v>228</v>
      </c>
      <c r="CH170" t="s">
        <v>229</v>
      </c>
      <c r="CI170" t="s">
        <v>42</v>
      </c>
      <c r="CJ170" t="s">
        <v>226</v>
      </c>
      <c r="CK170" t="s">
        <v>320</v>
      </c>
      <c r="CL170" t="s">
        <v>228</v>
      </c>
      <c r="CM170" t="s">
        <v>234</v>
      </c>
      <c r="CN170" t="s">
        <v>45</v>
      </c>
      <c r="CO170">
        <v>-5566</v>
      </c>
      <c r="CP170">
        <v>42509068</v>
      </c>
      <c r="CQ170" s="73">
        <v>45374.587500000001</v>
      </c>
      <c r="CR170" t="s">
        <v>229</v>
      </c>
      <c r="CS170" t="s">
        <v>42</v>
      </c>
      <c r="CU170" t="s">
        <v>225</v>
      </c>
    </row>
    <row r="171" spans="1:99">
      <c r="A171" t="s">
        <v>99</v>
      </c>
      <c r="B171" t="s">
        <v>98</v>
      </c>
      <c r="J171" t="s">
        <v>225</v>
      </c>
      <c r="K171" t="s">
        <v>225</v>
      </c>
      <c r="M171" s="73">
        <v>45374.587500000001</v>
      </c>
      <c r="N171">
        <v>42509067</v>
      </c>
      <c r="O171">
        <v>-278</v>
      </c>
      <c r="P171" t="s">
        <v>73</v>
      </c>
      <c r="Q171">
        <v>-278</v>
      </c>
      <c r="R171" t="s">
        <v>73</v>
      </c>
      <c r="U171" t="s">
        <v>226</v>
      </c>
      <c r="V171" t="s">
        <v>320</v>
      </c>
      <c r="W171" t="s">
        <v>228</v>
      </c>
      <c r="X171" t="s">
        <v>229</v>
      </c>
      <c r="Y171" t="s">
        <v>99</v>
      </c>
      <c r="AD171" t="s">
        <v>73</v>
      </c>
      <c r="AE171">
        <v>-278</v>
      </c>
      <c r="AF171">
        <v>42509067</v>
      </c>
      <c r="AG171" s="73">
        <v>45374.587500000001</v>
      </c>
      <c r="AH171" t="s">
        <v>226</v>
      </c>
      <c r="AI171" t="s">
        <v>320</v>
      </c>
      <c r="AJ171" t="s">
        <v>228</v>
      </c>
      <c r="AK171" t="s">
        <v>229</v>
      </c>
      <c r="AL171" t="s">
        <v>99</v>
      </c>
      <c r="AP171" t="s">
        <v>230</v>
      </c>
      <c r="AQ171" t="s">
        <v>231</v>
      </c>
      <c r="AT171" t="s">
        <v>232</v>
      </c>
      <c r="AU171">
        <v>-99</v>
      </c>
      <c r="AV171" t="s">
        <v>73</v>
      </c>
      <c r="AW171">
        <v>-278</v>
      </c>
      <c r="AX171">
        <v>42509067</v>
      </c>
      <c r="AY171" s="73">
        <v>45374.587500000001</v>
      </c>
      <c r="AZ171" t="s">
        <v>226</v>
      </c>
      <c r="BA171" t="s">
        <v>320</v>
      </c>
      <c r="BB171" t="s">
        <v>228</v>
      </c>
      <c r="BC171" t="s">
        <v>229</v>
      </c>
      <c r="BD171" t="s">
        <v>99</v>
      </c>
      <c r="BI171" t="s">
        <v>233</v>
      </c>
      <c r="BJ171" t="s">
        <v>0</v>
      </c>
      <c r="BK171">
        <v>42509040</v>
      </c>
      <c r="BN171" t="s">
        <v>73</v>
      </c>
      <c r="BR171">
        <v>-278</v>
      </c>
      <c r="BS171">
        <v>42509067</v>
      </c>
      <c r="BT171" s="73">
        <v>45374.587500000001</v>
      </c>
      <c r="BU171" t="s">
        <v>226</v>
      </c>
      <c r="BV171" t="s">
        <v>320</v>
      </c>
      <c r="BW171" t="s">
        <v>228</v>
      </c>
      <c r="CH171" t="s">
        <v>229</v>
      </c>
      <c r="CI171" t="s">
        <v>99</v>
      </c>
      <c r="CJ171" t="s">
        <v>226</v>
      </c>
      <c r="CK171" t="s">
        <v>320</v>
      </c>
      <c r="CL171" t="s">
        <v>228</v>
      </c>
      <c r="CM171" t="s">
        <v>234</v>
      </c>
      <c r="CN171" t="s">
        <v>73</v>
      </c>
      <c r="CO171">
        <v>-278</v>
      </c>
      <c r="CP171">
        <v>42509067</v>
      </c>
      <c r="CQ171" s="73">
        <v>45374.587500000001</v>
      </c>
      <c r="CR171" t="s">
        <v>229</v>
      </c>
      <c r="CS171" t="s">
        <v>99</v>
      </c>
      <c r="CU171" t="s">
        <v>225</v>
      </c>
    </row>
    <row r="172" spans="1:99">
      <c r="A172" t="s">
        <v>103</v>
      </c>
      <c r="B172" t="s">
        <v>98</v>
      </c>
      <c r="J172" t="s">
        <v>225</v>
      </c>
      <c r="K172" t="s">
        <v>225</v>
      </c>
      <c r="M172" s="73">
        <v>45374.587500000001</v>
      </c>
      <c r="N172">
        <v>42509066</v>
      </c>
      <c r="O172">
        <v>5560</v>
      </c>
      <c r="P172" t="s">
        <v>104</v>
      </c>
      <c r="Q172">
        <v>5560</v>
      </c>
      <c r="R172" t="s">
        <v>104</v>
      </c>
      <c r="S172">
        <v>278</v>
      </c>
      <c r="T172" t="s">
        <v>73</v>
      </c>
      <c r="U172" t="s">
        <v>226</v>
      </c>
      <c r="V172" t="s">
        <v>320</v>
      </c>
      <c r="W172" t="s">
        <v>235</v>
      </c>
      <c r="X172" t="s">
        <v>229</v>
      </c>
      <c r="Y172" t="s">
        <v>103</v>
      </c>
      <c r="AD172" t="s">
        <v>104</v>
      </c>
      <c r="AE172">
        <v>5560</v>
      </c>
      <c r="AF172">
        <v>42509066</v>
      </c>
      <c r="AG172" s="73">
        <v>45374.587500000001</v>
      </c>
      <c r="AH172" t="s">
        <v>226</v>
      </c>
      <c r="AI172" t="s">
        <v>320</v>
      </c>
      <c r="AJ172" t="s">
        <v>235</v>
      </c>
      <c r="AK172" t="s">
        <v>229</v>
      </c>
      <c r="AL172" t="s">
        <v>103</v>
      </c>
      <c r="AP172" t="s">
        <v>230</v>
      </c>
      <c r="AQ172" t="s">
        <v>231</v>
      </c>
      <c r="AT172" t="s">
        <v>232</v>
      </c>
      <c r="AU172">
        <v>-99</v>
      </c>
      <c r="AV172" t="s">
        <v>104</v>
      </c>
      <c r="AW172">
        <v>5560</v>
      </c>
      <c r="AX172">
        <v>42509066</v>
      </c>
      <c r="AY172" s="73">
        <v>45374.587500000001</v>
      </c>
      <c r="AZ172" t="s">
        <v>226</v>
      </c>
      <c r="BA172" t="s">
        <v>320</v>
      </c>
      <c r="BB172" t="s">
        <v>235</v>
      </c>
      <c r="BC172" t="s">
        <v>229</v>
      </c>
      <c r="BD172" t="s">
        <v>103</v>
      </c>
      <c r="BI172" t="s">
        <v>233</v>
      </c>
      <c r="BJ172" t="s">
        <v>0</v>
      </c>
      <c r="BK172">
        <v>42509040</v>
      </c>
      <c r="BN172" t="s">
        <v>104</v>
      </c>
      <c r="BO172">
        <v>42509058</v>
      </c>
      <c r="BR172">
        <v>5560</v>
      </c>
      <c r="BS172">
        <v>42509066</v>
      </c>
      <c r="BT172" s="73">
        <v>45374.587500000001</v>
      </c>
      <c r="BU172" t="s">
        <v>226</v>
      </c>
      <c r="BV172" t="s">
        <v>320</v>
      </c>
      <c r="BW172" t="s">
        <v>235</v>
      </c>
      <c r="CH172" t="s">
        <v>229</v>
      </c>
      <c r="CI172" t="s">
        <v>103</v>
      </c>
      <c r="CJ172" t="s">
        <v>226</v>
      </c>
      <c r="CK172" t="s">
        <v>320</v>
      </c>
      <c r="CL172" t="s">
        <v>235</v>
      </c>
      <c r="CM172" t="s">
        <v>236</v>
      </c>
      <c r="CN172" t="s">
        <v>104</v>
      </c>
      <c r="CO172">
        <v>5560</v>
      </c>
      <c r="CP172">
        <v>42509066</v>
      </c>
      <c r="CQ172" s="73">
        <v>45374.587500000001</v>
      </c>
      <c r="CR172" t="s">
        <v>229</v>
      </c>
      <c r="CS172" t="s">
        <v>103</v>
      </c>
      <c r="CU172" t="s">
        <v>225</v>
      </c>
    </row>
    <row r="173" spans="1:99">
      <c r="A173" t="s">
        <v>111</v>
      </c>
      <c r="B173" t="s">
        <v>77</v>
      </c>
      <c r="J173" t="s">
        <v>225</v>
      </c>
      <c r="K173" t="s">
        <v>225</v>
      </c>
      <c r="M173" s="73">
        <v>45374.587500000001</v>
      </c>
      <c r="N173">
        <v>42509065</v>
      </c>
      <c r="O173">
        <v>6</v>
      </c>
      <c r="P173" t="s">
        <v>45</v>
      </c>
      <c r="Q173">
        <v>6</v>
      </c>
      <c r="R173" t="s">
        <v>45</v>
      </c>
      <c r="U173" t="s">
        <v>226</v>
      </c>
      <c r="V173" t="s">
        <v>320</v>
      </c>
      <c r="W173" t="s">
        <v>237</v>
      </c>
      <c r="X173" t="s">
        <v>229</v>
      </c>
      <c r="Y173" t="s">
        <v>111</v>
      </c>
      <c r="AD173" t="s">
        <v>45</v>
      </c>
      <c r="AE173">
        <v>6</v>
      </c>
      <c r="AF173">
        <v>42509065</v>
      </c>
      <c r="AG173" s="73">
        <v>45374.587500000001</v>
      </c>
      <c r="AH173" t="s">
        <v>226</v>
      </c>
      <c r="AI173" t="s">
        <v>320</v>
      </c>
      <c r="AJ173" t="s">
        <v>237</v>
      </c>
      <c r="AK173" t="s">
        <v>229</v>
      </c>
      <c r="AL173" t="s">
        <v>111</v>
      </c>
      <c r="AP173" t="s">
        <v>230</v>
      </c>
      <c r="AQ173" t="s">
        <v>231</v>
      </c>
      <c r="AT173" t="s">
        <v>232</v>
      </c>
      <c r="AU173">
        <v>-99</v>
      </c>
      <c r="AV173" t="s">
        <v>45</v>
      </c>
      <c r="AW173">
        <v>6</v>
      </c>
      <c r="AX173">
        <v>42509065</v>
      </c>
      <c r="AY173" s="73">
        <v>45374.587500000001</v>
      </c>
      <c r="AZ173" t="s">
        <v>226</v>
      </c>
      <c r="BA173" t="s">
        <v>320</v>
      </c>
      <c r="BB173" t="s">
        <v>237</v>
      </c>
      <c r="BC173" t="s">
        <v>229</v>
      </c>
      <c r="BD173" t="s">
        <v>111</v>
      </c>
      <c r="BI173" t="s">
        <v>233</v>
      </c>
      <c r="BJ173" t="s">
        <v>0</v>
      </c>
      <c r="BK173">
        <v>42509040</v>
      </c>
      <c r="BN173" t="s">
        <v>45</v>
      </c>
      <c r="BO173">
        <v>42509060</v>
      </c>
      <c r="BR173">
        <v>6</v>
      </c>
      <c r="BS173">
        <v>42509065</v>
      </c>
      <c r="BT173" s="73">
        <v>45374.587500000001</v>
      </c>
      <c r="BU173" t="s">
        <v>226</v>
      </c>
      <c r="BV173" t="s">
        <v>320</v>
      </c>
      <c r="BW173" t="s">
        <v>237</v>
      </c>
      <c r="CH173" t="s">
        <v>229</v>
      </c>
      <c r="CI173" t="s">
        <v>111</v>
      </c>
      <c r="CJ173" t="s">
        <v>226</v>
      </c>
      <c r="CK173" t="s">
        <v>320</v>
      </c>
      <c r="CL173" t="s">
        <v>237</v>
      </c>
      <c r="CM173" t="s">
        <v>236</v>
      </c>
      <c r="CN173" t="s">
        <v>45</v>
      </c>
      <c r="CO173">
        <v>6</v>
      </c>
      <c r="CP173">
        <v>42509065</v>
      </c>
      <c r="CQ173" s="73">
        <v>45374.587500000001</v>
      </c>
      <c r="CR173" t="s">
        <v>229</v>
      </c>
      <c r="CS173" t="s">
        <v>111</v>
      </c>
      <c r="CU173" t="s">
        <v>225</v>
      </c>
    </row>
    <row r="174" spans="1:99">
      <c r="A174" t="s">
        <v>42</v>
      </c>
      <c r="B174" t="s">
        <v>92</v>
      </c>
      <c r="J174" t="s">
        <v>225</v>
      </c>
      <c r="K174" t="s">
        <v>225</v>
      </c>
      <c r="M174" s="73">
        <v>45374.572835648149</v>
      </c>
      <c r="N174">
        <v>42494013</v>
      </c>
      <c r="O174">
        <v>-400</v>
      </c>
      <c r="P174" t="s">
        <v>45</v>
      </c>
      <c r="Q174">
        <v>-400</v>
      </c>
      <c r="R174" t="s">
        <v>45</v>
      </c>
      <c r="U174" t="s">
        <v>226</v>
      </c>
      <c r="V174" t="s">
        <v>321</v>
      </c>
      <c r="W174" t="s">
        <v>228</v>
      </c>
      <c r="X174" t="s">
        <v>229</v>
      </c>
      <c r="Y174" t="s">
        <v>42</v>
      </c>
      <c r="AD174" t="s">
        <v>45</v>
      </c>
      <c r="AE174">
        <v>-400</v>
      </c>
      <c r="AF174">
        <v>42494013</v>
      </c>
      <c r="AG174" s="73">
        <v>45374.572835648149</v>
      </c>
      <c r="AH174" t="s">
        <v>226</v>
      </c>
      <c r="AI174" t="s">
        <v>321</v>
      </c>
      <c r="AJ174" t="s">
        <v>228</v>
      </c>
      <c r="AK174" t="s">
        <v>229</v>
      </c>
      <c r="AL174" t="s">
        <v>42</v>
      </c>
      <c r="AP174" t="s">
        <v>230</v>
      </c>
      <c r="AQ174" t="s">
        <v>231</v>
      </c>
      <c r="AT174" t="s">
        <v>232</v>
      </c>
      <c r="AU174">
        <v>-99</v>
      </c>
      <c r="AV174" t="s">
        <v>45</v>
      </c>
      <c r="AW174">
        <v>-400</v>
      </c>
      <c r="AX174">
        <v>42494013</v>
      </c>
      <c r="AY174" s="73">
        <v>45374.572835648149</v>
      </c>
      <c r="AZ174" t="s">
        <v>226</v>
      </c>
      <c r="BA174" t="s">
        <v>321</v>
      </c>
      <c r="BB174" t="s">
        <v>228</v>
      </c>
      <c r="BC174" t="s">
        <v>229</v>
      </c>
      <c r="BD174" t="s">
        <v>42</v>
      </c>
      <c r="BI174" t="s">
        <v>233</v>
      </c>
      <c r="BJ174" t="s">
        <v>0</v>
      </c>
      <c r="BK174">
        <v>42494001</v>
      </c>
      <c r="BN174" t="s">
        <v>45</v>
      </c>
      <c r="BR174">
        <v>-400</v>
      </c>
      <c r="BS174">
        <v>42494013</v>
      </c>
      <c r="BT174" s="73">
        <v>45374.572835648149</v>
      </c>
      <c r="BU174" t="s">
        <v>226</v>
      </c>
      <c r="BV174" t="s">
        <v>321</v>
      </c>
      <c r="BW174" t="s">
        <v>228</v>
      </c>
      <c r="CH174" t="s">
        <v>229</v>
      </c>
      <c r="CI174" t="s">
        <v>42</v>
      </c>
      <c r="CJ174" t="s">
        <v>226</v>
      </c>
      <c r="CK174" t="s">
        <v>321</v>
      </c>
      <c r="CL174" t="s">
        <v>228</v>
      </c>
      <c r="CM174" t="s">
        <v>234</v>
      </c>
      <c r="CN174" t="s">
        <v>45</v>
      </c>
      <c r="CO174">
        <v>-400</v>
      </c>
      <c r="CP174">
        <v>42494013</v>
      </c>
      <c r="CQ174" s="73">
        <v>45374.572835648149</v>
      </c>
      <c r="CR174" t="s">
        <v>229</v>
      </c>
      <c r="CS174" t="s">
        <v>42</v>
      </c>
      <c r="CU174" t="s">
        <v>225</v>
      </c>
    </row>
    <row r="175" spans="1:99">
      <c r="A175" t="s">
        <v>99</v>
      </c>
      <c r="B175" t="s">
        <v>98</v>
      </c>
      <c r="J175" t="s">
        <v>225</v>
      </c>
      <c r="K175" t="s">
        <v>225</v>
      </c>
      <c r="M175" s="73">
        <v>45374.572835648149</v>
      </c>
      <c r="N175">
        <v>42494012</v>
      </c>
      <c r="O175">
        <v>-20</v>
      </c>
      <c r="P175" t="s">
        <v>73</v>
      </c>
      <c r="Q175">
        <v>-20</v>
      </c>
      <c r="R175" t="s">
        <v>73</v>
      </c>
      <c r="U175" t="s">
        <v>226</v>
      </c>
      <c r="V175" t="s">
        <v>321</v>
      </c>
      <c r="W175" t="s">
        <v>228</v>
      </c>
      <c r="X175" t="s">
        <v>229</v>
      </c>
      <c r="Y175" t="s">
        <v>99</v>
      </c>
      <c r="AD175" t="s">
        <v>73</v>
      </c>
      <c r="AE175">
        <v>-20</v>
      </c>
      <c r="AF175">
        <v>42494012</v>
      </c>
      <c r="AG175" s="73">
        <v>45374.572835648149</v>
      </c>
      <c r="AH175" t="s">
        <v>226</v>
      </c>
      <c r="AI175" t="s">
        <v>321</v>
      </c>
      <c r="AJ175" t="s">
        <v>228</v>
      </c>
      <c r="AK175" t="s">
        <v>229</v>
      </c>
      <c r="AL175" t="s">
        <v>99</v>
      </c>
      <c r="AP175" t="s">
        <v>230</v>
      </c>
      <c r="AQ175" t="s">
        <v>231</v>
      </c>
      <c r="AT175" t="s">
        <v>232</v>
      </c>
      <c r="AU175">
        <v>-99</v>
      </c>
      <c r="AV175" t="s">
        <v>73</v>
      </c>
      <c r="AW175">
        <v>-20</v>
      </c>
      <c r="AX175">
        <v>42494012</v>
      </c>
      <c r="AY175" s="73">
        <v>45374.572835648149</v>
      </c>
      <c r="AZ175" t="s">
        <v>226</v>
      </c>
      <c r="BA175" t="s">
        <v>321</v>
      </c>
      <c r="BB175" t="s">
        <v>228</v>
      </c>
      <c r="BC175" t="s">
        <v>229</v>
      </c>
      <c r="BD175" t="s">
        <v>99</v>
      </c>
      <c r="BI175" t="s">
        <v>233</v>
      </c>
      <c r="BJ175" t="s">
        <v>0</v>
      </c>
      <c r="BK175">
        <v>42494001</v>
      </c>
      <c r="BN175" t="s">
        <v>73</v>
      </c>
      <c r="BR175">
        <v>-20</v>
      </c>
      <c r="BS175">
        <v>42494012</v>
      </c>
      <c r="BT175" s="73">
        <v>45374.572835648149</v>
      </c>
      <c r="BU175" t="s">
        <v>226</v>
      </c>
      <c r="BV175" t="s">
        <v>321</v>
      </c>
      <c r="BW175" t="s">
        <v>228</v>
      </c>
      <c r="CH175" t="s">
        <v>229</v>
      </c>
      <c r="CI175" t="s">
        <v>99</v>
      </c>
      <c r="CJ175" t="s">
        <v>226</v>
      </c>
      <c r="CK175" t="s">
        <v>321</v>
      </c>
      <c r="CL175" t="s">
        <v>228</v>
      </c>
      <c r="CM175" t="s">
        <v>234</v>
      </c>
      <c r="CN175" t="s">
        <v>73</v>
      </c>
      <c r="CO175">
        <v>-20</v>
      </c>
      <c r="CP175">
        <v>42494012</v>
      </c>
      <c r="CQ175" s="73">
        <v>45374.572835648149</v>
      </c>
      <c r="CR175" t="s">
        <v>229</v>
      </c>
      <c r="CS175" t="s">
        <v>99</v>
      </c>
      <c r="CU175" t="s">
        <v>225</v>
      </c>
    </row>
    <row r="176" spans="1:99">
      <c r="A176" t="s">
        <v>103</v>
      </c>
      <c r="B176" t="s">
        <v>98</v>
      </c>
      <c r="J176" t="s">
        <v>225</v>
      </c>
      <c r="K176" t="s">
        <v>225</v>
      </c>
      <c r="M176" s="73">
        <v>45374.572835648149</v>
      </c>
      <c r="N176">
        <v>42494011</v>
      </c>
      <c r="O176">
        <v>400</v>
      </c>
      <c r="P176" t="s">
        <v>104</v>
      </c>
      <c r="Q176">
        <v>400</v>
      </c>
      <c r="R176" t="s">
        <v>104</v>
      </c>
      <c r="S176">
        <v>20</v>
      </c>
      <c r="T176" t="s">
        <v>73</v>
      </c>
      <c r="U176" t="s">
        <v>226</v>
      </c>
      <c r="V176" t="s">
        <v>321</v>
      </c>
      <c r="W176" t="s">
        <v>235</v>
      </c>
      <c r="X176" t="s">
        <v>229</v>
      </c>
      <c r="Y176" t="s">
        <v>103</v>
      </c>
      <c r="AD176" t="s">
        <v>104</v>
      </c>
      <c r="AE176">
        <v>400</v>
      </c>
      <c r="AF176">
        <v>42494011</v>
      </c>
      <c r="AG176" s="73">
        <v>45374.572835648149</v>
      </c>
      <c r="AH176" t="s">
        <v>226</v>
      </c>
      <c r="AI176" t="s">
        <v>321</v>
      </c>
      <c r="AJ176" t="s">
        <v>235</v>
      </c>
      <c r="AK176" t="s">
        <v>229</v>
      </c>
      <c r="AL176" t="s">
        <v>103</v>
      </c>
      <c r="AP176" t="s">
        <v>230</v>
      </c>
      <c r="AQ176" t="s">
        <v>231</v>
      </c>
      <c r="AT176" t="s">
        <v>232</v>
      </c>
      <c r="AU176">
        <v>-99</v>
      </c>
      <c r="AV176" t="s">
        <v>104</v>
      </c>
      <c r="AW176">
        <v>400</v>
      </c>
      <c r="AX176">
        <v>42494011</v>
      </c>
      <c r="AY176" s="73">
        <v>45374.572835648149</v>
      </c>
      <c r="AZ176" t="s">
        <v>226</v>
      </c>
      <c r="BA176" t="s">
        <v>321</v>
      </c>
      <c r="BB176" t="s">
        <v>235</v>
      </c>
      <c r="BC176" t="s">
        <v>229</v>
      </c>
      <c r="BD176" t="s">
        <v>103</v>
      </c>
      <c r="BI176" t="s">
        <v>233</v>
      </c>
      <c r="BJ176" t="s">
        <v>0</v>
      </c>
      <c r="BK176">
        <v>42494001</v>
      </c>
      <c r="BN176" t="s">
        <v>104</v>
      </c>
      <c r="BO176">
        <v>42494007</v>
      </c>
      <c r="BR176">
        <v>400</v>
      </c>
      <c r="BS176">
        <v>42494011</v>
      </c>
      <c r="BT176" s="73">
        <v>45374.572835648149</v>
      </c>
      <c r="BU176" t="s">
        <v>226</v>
      </c>
      <c r="BV176" t="s">
        <v>321</v>
      </c>
      <c r="BW176" t="s">
        <v>235</v>
      </c>
      <c r="CH176" t="s">
        <v>229</v>
      </c>
      <c r="CI176" t="s">
        <v>103</v>
      </c>
      <c r="CJ176" t="s">
        <v>226</v>
      </c>
      <c r="CK176" t="s">
        <v>321</v>
      </c>
      <c r="CL176" t="s">
        <v>235</v>
      </c>
      <c r="CM176" t="s">
        <v>236</v>
      </c>
      <c r="CN176" t="s">
        <v>104</v>
      </c>
      <c r="CO176">
        <v>400</v>
      </c>
      <c r="CP176">
        <v>42494011</v>
      </c>
      <c r="CQ176" s="73">
        <v>45374.572835648149</v>
      </c>
      <c r="CR176" t="s">
        <v>229</v>
      </c>
      <c r="CS176" t="s">
        <v>103</v>
      </c>
      <c r="CU176" t="s">
        <v>225</v>
      </c>
    </row>
    <row r="177" spans="1:99">
      <c r="A177" t="s">
        <v>52</v>
      </c>
      <c r="B177" t="s">
        <v>92</v>
      </c>
      <c r="J177" t="s">
        <v>225</v>
      </c>
      <c r="K177" t="s">
        <v>225</v>
      </c>
      <c r="M177" s="73">
        <v>45374.568622685183</v>
      </c>
      <c r="N177">
        <v>42493935</v>
      </c>
      <c r="O177">
        <v>-400</v>
      </c>
      <c r="P177" t="s">
        <v>45</v>
      </c>
      <c r="Q177">
        <v>-400</v>
      </c>
      <c r="R177" t="s">
        <v>45</v>
      </c>
      <c r="U177" t="s">
        <v>226</v>
      </c>
      <c r="V177" t="s">
        <v>322</v>
      </c>
      <c r="W177" t="s">
        <v>228</v>
      </c>
      <c r="X177" t="s">
        <v>229</v>
      </c>
      <c r="Y177" t="s">
        <v>52</v>
      </c>
      <c r="AD177" t="s">
        <v>45</v>
      </c>
      <c r="AE177">
        <v>-400</v>
      </c>
      <c r="AF177">
        <v>42493935</v>
      </c>
      <c r="AG177" s="73">
        <v>45374.568622685183</v>
      </c>
      <c r="AH177" t="s">
        <v>226</v>
      </c>
      <c r="AI177" t="s">
        <v>322</v>
      </c>
      <c r="AJ177" t="s">
        <v>228</v>
      </c>
      <c r="AK177" t="s">
        <v>229</v>
      </c>
      <c r="AL177" t="s">
        <v>52</v>
      </c>
      <c r="AP177" t="s">
        <v>230</v>
      </c>
      <c r="AQ177" t="s">
        <v>231</v>
      </c>
      <c r="AT177" t="s">
        <v>232</v>
      </c>
      <c r="AU177">
        <v>-99</v>
      </c>
      <c r="AV177" t="s">
        <v>45</v>
      </c>
      <c r="AW177">
        <v>-400</v>
      </c>
      <c r="AX177">
        <v>42493935</v>
      </c>
      <c r="AY177" s="73">
        <v>45374.568622685183</v>
      </c>
      <c r="AZ177" t="s">
        <v>226</v>
      </c>
      <c r="BA177" t="s">
        <v>322</v>
      </c>
      <c r="BB177" t="s">
        <v>228</v>
      </c>
      <c r="BC177" t="s">
        <v>229</v>
      </c>
      <c r="BD177" t="s">
        <v>52</v>
      </c>
      <c r="BI177" t="s">
        <v>233</v>
      </c>
      <c r="BJ177" t="s">
        <v>0</v>
      </c>
      <c r="BK177">
        <v>42493922</v>
      </c>
      <c r="BN177" t="s">
        <v>45</v>
      </c>
      <c r="BR177">
        <v>-400</v>
      </c>
      <c r="BS177">
        <v>42493935</v>
      </c>
      <c r="BT177" s="73">
        <v>45374.568622685183</v>
      </c>
      <c r="BU177" t="s">
        <v>226</v>
      </c>
      <c r="BV177" t="s">
        <v>322</v>
      </c>
      <c r="BW177" t="s">
        <v>228</v>
      </c>
      <c r="CH177" t="s">
        <v>229</v>
      </c>
      <c r="CI177" t="s">
        <v>52</v>
      </c>
      <c r="CJ177" t="s">
        <v>226</v>
      </c>
      <c r="CK177" t="s">
        <v>322</v>
      </c>
      <c r="CL177" t="s">
        <v>228</v>
      </c>
      <c r="CM177" t="s">
        <v>234</v>
      </c>
      <c r="CN177" t="s">
        <v>45</v>
      </c>
      <c r="CO177">
        <v>-400</v>
      </c>
      <c r="CP177">
        <v>42493935</v>
      </c>
      <c r="CQ177" s="73">
        <v>45374.568622685183</v>
      </c>
      <c r="CR177" t="s">
        <v>229</v>
      </c>
      <c r="CS177" t="s">
        <v>52</v>
      </c>
      <c r="CU177" t="s">
        <v>225</v>
      </c>
    </row>
    <row r="178" spans="1:99">
      <c r="A178" t="s">
        <v>101</v>
      </c>
      <c r="B178" t="s">
        <v>98</v>
      </c>
      <c r="J178" t="s">
        <v>225</v>
      </c>
      <c r="K178" t="s">
        <v>225</v>
      </c>
      <c r="M178" s="73">
        <v>45374.568622685183</v>
      </c>
      <c r="N178">
        <v>42493934</v>
      </c>
      <c r="O178">
        <v>-20</v>
      </c>
      <c r="P178" t="s">
        <v>73</v>
      </c>
      <c r="Q178">
        <v>-20</v>
      </c>
      <c r="R178" t="s">
        <v>73</v>
      </c>
      <c r="U178" t="s">
        <v>226</v>
      </c>
      <c r="V178" t="s">
        <v>322</v>
      </c>
      <c r="W178" t="s">
        <v>228</v>
      </c>
      <c r="X178" t="s">
        <v>229</v>
      </c>
      <c r="Y178" t="s">
        <v>101</v>
      </c>
      <c r="AD178" t="s">
        <v>73</v>
      </c>
      <c r="AE178">
        <v>-20</v>
      </c>
      <c r="AF178">
        <v>42493934</v>
      </c>
      <c r="AG178" s="73">
        <v>45374.568622685183</v>
      </c>
      <c r="AH178" t="s">
        <v>226</v>
      </c>
      <c r="AI178" t="s">
        <v>322</v>
      </c>
      <c r="AJ178" t="s">
        <v>228</v>
      </c>
      <c r="AK178" t="s">
        <v>229</v>
      </c>
      <c r="AL178" t="s">
        <v>101</v>
      </c>
      <c r="AP178" t="s">
        <v>230</v>
      </c>
      <c r="AQ178" t="s">
        <v>231</v>
      </c>
      <c r="AT178" t="s">
        <v>232</v>
      </c>
      <c r="AU178">
        <v>-99</v>
      </c>
      <c r="AV178" t="s">
        <v>73</v>
      </c>
      <c r="AW178">
        <v>-20</v>
      </c>
      <c r="AX178">
        <v>42493934</v>
      </c>
      <c r="AY178" s="73">
        <v>45374.568622685183</v>
      </c>
      <c r="AZ178" t="s">
        <v>226</v>
      </c>
      <c r="BA178" t="s">
        <v>322</v>
      </c>
      <c r="BB178" t="s">
        <v>228</v>
      </c>
      <c r="BC178" t="s">
        <v>229</v>
      </c>
      <c r="BD178" t="s">
        <v>101</v>
      </c>
      <c r="BI178" t="s">
        <v>233</v>
      </c>
      <c r="BJ178" t="s">
        <v>0</v>
      </c>
      <c r="BK178">
        <v>42493922</v>
      </c>
      <c r="BN178" t="s">
        <v>73</v>
      </c>
      <c r="BR178">
        <v>-20</v>
      </c>
      <c r="BS178">
        <v>42493934</v>
      </c>
      <c r="BT178" s="73">
        <v>45374.568622685183</v>
      </c>
      <c r="BU178" t="s">
        <v>226</v>
      </c>
      <c r="BV178" t="s">
        <v>322</v>
      </c>
      <c r="BW178" t="s">
        <v>228</v>
      </c>
      <c r="CH178" t="s">
        <v>229</v>
      </c>
      <c r="CI178" t="s">
        <v>101</v>
      </c>
      <c r="CJ178" t="s">
        <v>226</v>
      </c>
      <c r="CK178" t="s">
        <v>322</v>
      </c>
      <c r="CL178" t="s">
        <v>228</v>
      </c>
      <c r="CM178" t="s">
        <v>234</v>
      </c>
      <c r="CN178" t="s">
        <v>73</v>
      </c>
      <c r="CO178">
        <v>-20</v>
      </c>
      <c r="CP178">
        <v>42493934</v>
      </c>
      <c r="CQ178" s="73">
        <v>45374.568622685183</v>
      </c>
      <c r="CR178" t="s">
        <v>229</v>
      </c>
      <c r="CS178" t="s">
        <v>101</v>
      </c>
      <c r="CU178" t="s">
        <v>225</v>
      </c>
    </row>
    <row r="179" spans="1:99">
      <c r="A179" t="s">
        <v>107</v>
      </c>
      <c r="B179" t="s">
        <v>98</v>
      </c>
      <c r="J179" t="s">
        <v>225</v>
      </c>
      <c r="K179" t="s">
        <v>225</v>
      </c>
      <c r="M179" s="73">
        <v>45374.568622685183</v>
      </c>
      <c r="N179">
        <v>42493933</v>
      </c>
      <c r="O179">
        <v>400</v>
      </c>
      <c r="P179" t="s">
        <v>104</v>
      </c>
      <c r="Q179">
        <v>400</v>
      </c>
      <c r="R179" t="s">
        <v>104</v>
      </c>
      <c r="S179">
        <v>20</v>
      </c>
      <c r="T179" t="s">
        <v>73</v>
      </c>
      <c r="U179" t="s">
        <v>226</v>
      </c>
      <c r="V179" t="s">
        <v>322</v>
      </c>
      <c r="W179" t="s">
        <v>235</v>
      </c>
      <c r="X179" t="s">
        <v>229</v>
      </c>
      <c r="Y179" t="s">
        <v>107</v>
      </c>
      <c r="AD179" t="s">
        <v>104</v>
      </c>
      <c r="AE179">
        <v>400</v>
      </c>
      <c r="AF179">
        <v>42493933</v>
      </c>
      <c r="AG179" s="73">
        <v>45374.568622685183</v>
      </c>
      <c r="AH179" t="s">
        <v>226</v>
      </c>
      <c r="AI179" t="s">
        <v>322</v>
      </c>
      <c r="AJ179" t="s">
        <v>235</v>
      </c>
      <c r="AK179" t="s">
        <v>229</v>
      </c>
      <c r="AL179" t="s">
        <v>107</v>
      </c>
      <c r="AP179" t="s">
        <v>230</v>
      </c>
      <c r="AQ179" t="s">
        <v>231</v>
      </c>
      <c r="AT179" t="s">
        <v>232</v>
      </c>
      <c r="AU179">
        <v>-99</v>
      </c>
      <c r="AV179" t="s">
        <v>104</v>
      </c>
      <c r="AW179">
        <v>400</v>
      </c>
      <c r="AX179">
        <v>42493933</v>
      </c>
      <c r="AY179" s="73">
        <v>45374.568622685183</v>
      </c>
      <c r="AZ179" t="s">
        <v>226</v>
      </c>
      <c r="BA179" t="s">
        <v>322</v>
      </c>
      <c r="BB179" t="s">
        <v>235</v>
      </c>
      <c r="BC179" t="s">
        <v>229</v>
      </c>
      <c r="BD179" t="s">
        <v>107</v>
      </c>
      <c r="BI179" t="s">
        <v>233</v>
      </c>
      <c r="BJ179" t="s">
        <v>0</v>
      </c>
      <c r="BK179">
        <v>42493922</v>
      </c>
      <c r="BN179" t="s">
        <v>104</v>
      </c>
      <c r="BO179">
        <v>42493929</v>
      </c>
      <c r="BR179">
        <v>400</v>
      </c>
      <c r="BS179">
        <v>42493933</v>
      </c>
      <c r="BT179" s="73">
        <v>45374.568622685183</v>
      </c>
      <c r="BU179" t="s">
        <v>226</v>
      </c>
      <c r="BV179" t="s">
        <v>322</v>
      </c>
      <c r="BW179" t="s">
        <v>235</v>
      </c>
      <c r="CH179" t="s">
        <v>229</v>
      </c>
      <c r="CI179" t="s">
        <v>107</v>
      </c>
      <c r="CJ179" t="s">
        <v>226</v>
      </c>
      <c r="CK179" t="s">
        <v>322</v>
      </c>
      <c r="CL179" t="s">
        <v>235</v>
      </c>
      <c r="CM179" t="s">
        <v>236</v>
      </c>
      <c r="CN179" t="s">
        <v>104</v>
      </c>
      <c r="CO179">
        <v>400</v>
      </c>
      <c r="CP179">
        <v>42493933</v>
      </c>
      <c r="CQ179" s="73">
        <v>45374.568622685183</v>
      </c>
      <c r="CR179" t="s">
        <v>229</v>
      </c>
      <c r="CS179" t="s">
        <v>107</v>
      </c>
      <c r="CU179" t="s">
        <v>225</v>
      </c>
    </row>
    <row r="180" spans="1:99">
      <c r="A180" t="s">
        <v>46</v>
      </c>
      <c r="B180" t="s">
        <v>92</v>
      </c>
      <c r="J180" t="s">
        <v>225</v>
      </c>
      <c r="K180" t="s">
        <v>225</v>
      </c>
      <c r="M180" s="73">
        <v>45374.566122685188</v>
      </c>
      <c r="N180">
        <v>42493877</v>
      </c>
      <c r="O180">
        <v>-250</v>
      </c>
      <c r="P180" t="s">
        <v>45</v>
      </c>
      <c r="Q180">
        <v>-250</v>
      </c>
      <c r="R180" t="s">
        <v>45</v>
      </c>
      <c r="U180" t="s">
        <v>226</v>
      </c>
      <c r="V180" t="s">
        <v>323</v>
      </c>
      <c r="W180" t="s">
        <v>228</v>
      </c>
      <c r="X180" t="s">
        <v>229</v>
      </c>
      <c r="Y180" t="s">
        <v>46</v>
      </c>
      <c r="AD180" t="s">
        <v>45</v>
      </c>
      <c r="AE180">
        <v>-250</v>
      </c>
      <c r="AF180">
        <v>42493877</v>
      </c>
      <c r="AG180" s="73">
        <v>45374.566122685188</v>
      </c>
      <c r="AH180" t="s">
        <v>226</v>
      </c>
      <c r="AI180" t="s">
        <v>323</v>
      </c>
      <c r="AJ180" t="s">
        <v>228</v>
      </c>
      <c r="AK180" t="s">
        <v>229</v>
      </c>
      <c r="AL180" t="s">
        <v>46</v>
      </c>
      <c r="AP180" t="s">
        <v>230</v>
      </c>
      <c r="AQ180" t="s">
        <v>231</v>
      </c>
      <c r="AT180" t="s">
        <v>232</v>
      </c>
      <c r="AU180">
        <v>-99</v>
      </c>
      <c r="AV180" t="s">
        <v>45</v>
      </c>
      <c r="AW180">
        <v>-250</v>
      </c>
      <c r="AX180">
        <v>42493877</v>
      </c>
      <c r="AY180" s="73">
        <v>45374.566122685188</v>
      </c>
      <c r="AZ180" t="s">
        <v>226</v>
      </c>
      <c r="BA180" t="s">
        <v>323</v>
      </c>
      <c r="BB180" t="s">
        <v>228</v>
      </c>
      <c r="BC180" t="s">
        <v>229</v>
      </c>
      <c r="BD180" t="s">
        <v>46</v>
      </c>
      <c r="BI180" t="s">
        <v>233</v>
      </c>
      <c r="BJ180" t="s">
        <v>0</v>
      </c>
      <c r="BK180">
        <v>42493846</v>
      </c>
      <c r="BN180" t="s">
        <v>45</v>
      </c>
      <c r="BR180">
        <v>-250</v>
      </c>
      <c r="BS180">
        <v>42493877</v>
      </c>
      <c r="BT180" s="73">
        <v>45374.566122685188</v>
      </c>
      <c r="BU180" t="s">
        <v>226</v>
      </c>
      <c r="BV180" t="s">
        <v>323</v>
      </c>
      <c r="BW180" t="s">
        <v>228</v>
      </c>
      <c r="CH180" t="s">
        <v>229</v>
      </c>
      <c r="CI180" t="s">
        <v>46</v>
      </c>
      <c r="CJ180" t="s">
        <v>226</v>
      </c>
      <c r="CK180" t="s">
        <v>323</v>
      </c>
      <c r="CL180" t="s">
        <v>228</v>
      </c>
      <c r="CM180" t="s">
        <v>234</v>
      </c>
      <c r="CN180" t="s">
        <v>45</v>
      </c>
      <c r="CO180">
        <v>-250</v>
      </c>
      <c r="CP180">
        <v>42493877</v>
      </c>
      <c r="CQ180" s="73">
        <v>45374.566122685188</v>
      </c>
      <c r="CR180" t="s">
        <v>229</v>
      </c>
      <c r="CS180" t="s">
        <v>46</v>
      </c>
      <c r="CU180" t="s">
        <v>225</v>
      </c>
    </row>
    <row r="181" spans="1:99">
      <c r="A181" t="s">
        <v>93</v>
      </c>
      <c r="B181" t="s">
        <v>98</v>
      </c>
      <c r="J181" t="s">
        <v>225</v>
      </c>
      <c r="K181" t="s">
        <v>225</v>
      </c>
      <c r="M181" s="73">
        <v>45374.566122685188</v>
      </c>
      <c r="N181">
        <v>42493876</v>
      </c>
      <c r="O181">
        <v>-12.5</v>
      </c>
      <c r="P181" t="s">
        <v>73</v>
      </c>
      <c r="Q181">
        <v>-12.5</v>
      </c>
      <c r="R181" t="s">
        <v>73</v>
      </c>
      <c r="U181" t="s">
        <v>226</v>
      </c>
      <c r="V181" t="s">
        <v>323</v>
      </c>
      <c r="W181" t="s">
        <v>228</v>
      </c>
      <c r="X181" t="s">
        <v>229</v>
      </c>
      <c r="Y181" t="s">
        <v>93</v>
      </c>
      <c r="AD181" t="s">
        <v>73</v>
      </c>
      <c r="AE181">
        <v>-12.5</v>
      </c>
      <c r="AF181">
        <v>42493876</v>
      </c>
      <c r="AG181" s="73">
        <v>45374.566122685188</v>
      </c>
      <c r="AH181" t="s">
        <v>226</v>
      </c>
      <c r="AI181" t="s">
        <v>323</v>
      </c>
      <c r="AJ181" t="s">
        <v>228</v>
      </c>
      <c r="AK181" t="s">
        <v>229</v>
      </c>
      <c r="AL181" t="s">
        <v>93</v>
      </c>
      <c r="AP181" t="s">
        <v>230</v>
      </c>
      <c r="AQ181" t="s">
        <v>231</v>
      </c>
      <c r="AT181" t="s">
        <v>232</v>
      </c>
      <c r="AU181">
        <v>-99</v>
      </c>
      <c r="AV181" t="s">
        <v>73</v>
      </c>
      <c r="AW181">
        <v>-12.5</v>
      </c>
      <c r="AX181">
        <v>42493876</v>
      </c>
      <c r="AY181" s="73">
        <v>45374.566122685188</v>
      </c>
      <c r="AZ181" t="s">
        <v>226</v>
      </c>
      <c r="BA181" t="s">
        <v>323</v>
      </c>
      <c r="BB181" t="s">
        <v>228</v>
      </c>
      <c r="BC181" t="s">
        <v>229</v>
      </c>
      <c r="BD181" t="s">
        <v>93</v>
      </c>
      <c r="BI181" t="s">
        <v>233</v>
      </c>
      <c r="BJ181" t="s">
        <v>0</v>
      </c>
      <c r="BK181">
        <v>42493846</v>
      </c>
      <c r="BN181" t="s">
        <v>73</v>
      </c>
      <c r="BR181">
        <v>-12.5</v>
      </c>
      <c r="BS181">
        <v>42493876</v>
      </c>
      <c r="BT181" s="73">
        <v>45374.566122685188</v>
      </c>
      <c r="BU181" t="s">
        <v>226</v>
      </c>
      <c r="BV181" t="s">
        <v>323</v>
      </c>
      <c r="BW181" t="s">
        <v>228</v>
      </c>
      <c r="CH181" t="s">
        <v>229</v>
      </c>
      <c r="CI181" t="s">
        <v>93</v>
      </c>
      <c r="CJ181" t="s">
        <v>226</v>
      </c>
      <c r="CK181" t="s">
        <v>323</v>
      </c>
      <c r="CL181" t="s">
        <v>228</v>
      </c>
      <c r="CM181" t="s">
        <v>234</v>
      </c>
      <c r="CN181" t="s">
        <v>73</v>
      </c>
      <c r="CO181">
        <v>-12.5</v>
      </c>
      <c r="CP181">
        <v>42493876</v>
      </c>
      <c r="CQ181" s="73">
        <v>45374.566122685188</v>
      </c>
      <c r="CR181" t="s">
        <v>229</v>
      </c>
      <c r="CS181" t="s">
        <v>93</v>
      </c>
      <c r="CU181" t="s">
        <v>225</v>
      </c>
    </row>
    <row r="182" spans="1:99">
      <c r="A182" t="s">
        <v>108</v>
      </c>
      <c r="B182" t="s">
        <v>98</v>
      </c>
      <c r="J182" t="s">
        <v>225</v>
      </c>
      <c r="K182" t="s">
        <v>225</v>
      </c>
      <c r="M182" s="73">
        <v>45374.566122685188</v>
      </c>
      <c r="N182">
        <v>42493875</v>
      </c>
      <c r="O182">
        <v>250</v>
      </c>
      <c r="P182" t="s">
        <v>104</v>
      </c>
      <c r="Q182">
        <v>250</v>
      </c>
      <c r="R182" t="s">
        <v>104</v>
      </c>
      <c r="S182">
        <v>12.5</v>
      </c>
      <c r="T182" t="s">
        <v>73</v>
      </c>
      <c r="U182" t="s">
        <v>226</v>
      </c>
      <c r="V182" t="s">
        <v>323</v>
      </c>
      <c r="W182" t="s">
        <v>235</v>
      </c>
      <c r="X182" t="s">
        <v>229</v>
      </c>
      <c r="Y182" t="s">
        <v>108</v>
      </c>
      <c r="AD182" t="s">
        <v>104</v>
      </c>
      <c r="AE182">
        <v>250</v>
      </c>
      <c r="AF182">
        <v>42493875</v>
      </c>
      <c r="AG182" s="73">
        <v>45374.566122685188</v>
      </c>
      <c r="AH182" t="s">
        <v>226</v>
      </c>
      <c r="AI182" t="s">
        <v>323</v>
      </c>
      <c r="AJ182" t="s">
        <v>235</v>
      </c>
      <c r="AK182" t="s">
        <v>229</v>
      </c>
      <c r="AL182" t="s">
        <v>108</v>
      </c>
      <c r="AP182" t="s">
        <v>230</v>
      </c>
      <c r="AQ182" t="s">
        <v>231</v>
      </c>
      <c r="AT182" t="s">
        <v>232</v>
      </c>
      <c r="AU182">
        <v>-99</v>
      </c>
      <c r="AV182" t="s">
        <v>104</v>
      </c>
      <c r="AW182">
        <v>250</v>
      </c>
      <c r="AX182">
        <v>42493875</v>
      </c>
      <c r="AY182" s="73">
        <v>45374.566122685188</v>
      </c>
      <c r="AZ182" t="s">
        <v>226</v>
      </c>
      <c r="BA182" t="s">
        <v>323</v>
      </c>
      <c r="BB182" t="s">
        <v>235</v>
      </c>
      <c r="BC182" t="s">
        <v>229</v>
      </c>
      <c r="BD182" t="s">
        <v>108</v>
      </c>
      <c r="BI182" t="s">
        <v>233</v>
      </c>
      <c r="BJ182" t="s">
        <v>0</v>
      </c>
      <c r="BK182">
        <v>42493846</v>
      </c>
      <c r="BN182" t="s">
        <v>104</v>
      </c>
      <c r="BO182">
        <v>42493860</v>
      </c>
      <c r="BR182">
        <v>250</v>
      </c>
      <c r="BS182">
        <v>42493875</v>
      </c>
      <c r="BT182" s="73">
        <v>45374.566122685188</v>
      </c>
      <c r="BU182" t="s">
        <v>226</v>
      </c>
      <c r="BV182" t="s">
        <v>323</v>
      </c>
      <c r="BW182" t="s">
        <v>235</v>
      </c>
      <c r="CH182" t="s">
        <v>229</v>
      </c>
      <c r="CI182" t="s">
        <v>108</v>
      </c>
      <c r="CJ182" t="s">
        <v>226</v>
      </c>
      <c r="CK182" t="s">
        <v>323</v>
      </c>
      <c r="CL182" t="s">
        <v>235</v>
      </c>
      <c r="CM182" t="s">
        <v>236</v>
      </c>
      <c r="CN182" t="s">
        <v>104</v>
      </c>
      <c r="CO182">
        <v>250</v>
      </c>
      <c r="CP182">
        <v>42493875</v>
      </c>
      <c r="CQ182" s="73">
        <v>45374.566122685188</v>
      </c>
      <c r="CR182" t="s">
        <v>229</v>
      </c>
      <c r="CS182" t="s">
        <v>108</v>
      </c>
      <c r="CU182" t="s">
        <v>225</v>
      </c>
    </row>
    <row r="183" spans="1:99">
      <c r="A183" t="s">
        <v>42</v>
      </c>
      <c r="B183" t="s">
        <v>92</v>
      </c>
      <c r="J183" t="s">
        <v>225</v>
      </c>
      <c r="K183" t="s">
        <v>225</v>
      </c>
      <c r="M183" s="73">
        <v>45374.25</v>
      </c>
      <c r="N183">
        <v>42495054</v>
      </c>
      <c r="O183">
        <v>-3924</v>
      </c>
      <c r="P183" t="s">
        <v>45</v>
      </c>
      <c r="Q183">
        <v>-3924</v>
      </c>
      <c r="R183" t="s">
        <v>45</v>
      </c>
      <c r="U183" t="s">
        <v>226</v>
      </c>
      <c r="V183" t="s">
        <v>324</v>
      </c>
      <c r="W183" t="s">
        <v>228</v>
      </c>
      <c r="X183" t="s">
        <v>229</v>
      </c>
      <c r="Y183" t="s">
        <v>42</v>
      </c>
      <c r="AD183" t="s">
        <v>45</v>
      </c>
      <c r="AE183">
        <v>-3924</v>
      </c>
      <c r="AF183">
        <v>42495054</v>
      </c>
      <c r="AG183" s="73">
        <v>45374.25</v>
      </c>
      <c r="AH183" t="s">
        <v>226</v>
      </c>
      <c r="AI183" t="s">
        <v>324</v>
      </c>
      <c r="AJ183" t="s">
        <v>228</v>
      </c>
      <c r="AK183" t="s">
        <v>229</v>
      </c>
      <c r="AL183" t="s">
        <v>42</v>
      </c>
      <c r="AP183" t="s">
        <v>230</v>
      </c>
      <c r="AQ183" t="s">
        <v>231</v>
      </c>
      <c r="AT183" t="s">
        <v>232</v>
      </c>
      <c r="AU183">
        <v>-99</v>
      </c>
      <c r="AV183" t="s">
        <v>45</v>
      </c>
      <c r="AW183">
        <v>-3924</v>
      </c>
      <c r="AX183">
        <v>42495054</v>
      </c>
      <c r="AY183" s="73">
        <v>45374.25</v>
      </c>
      <c r="AZ183" t="s">
        <v>226</v>
      </c>
      <c r="BA183" t="s">
        <v>324</v>
      </c>
      <c r="BB183" t="s">
        <v>228</v>
      </c>
      <c r="BC183" t="s">
        <v>229</v>
      </c>
      <c r="BD183" t="s">
        <v>42</v>
      </c>
      <c r="BI183" t="s">
        <v>233</v>
      </c>
      <c r="BJ183" t="s">
        <v>0</v>
      </c>
      <c r="BK183">
        <v>42494649</v>
      </c>
      <c r="BN183" t="s">
        <v>45</v>
      </c>
      <c r="BR183">
        <v>-3924</v>
      </c>
      <c r="BS183">
        <v>42495054</v>
      </c>
      <c r="BT183" s="73">
        <v>45374.25</v>
      </c>
      <c r="BU183" t="s">
        <v>226</v>
      </c>
      <c r="BV183" t="s">
        <v>324</v>
      </c>
      <c r="BW183" t="s">
        <v>228</v>
      </c>
      <c r="CH183" t="s">
        <v>229</v>
      </c>
      <c r="CI183" t="s">
        <v>42</v>
      </c>
      <c r="CJ183" t="s">
        <v>226</v>
      </c>
      <c r="CK183" t="s">
        <v>324</v>
      </c>
      <c r="CL183" t="s">
        <v>228</v>
      </c>
      <c r="CM183" t="s">
        <v>234</v>
      </c>
      <c r="CN183" t="s">
        <v>45</v>
      </c>
      <c r="CO183">
        <v>-3924</v>
      </c>
      <c r="CP183">
        <v>42495054</v>
      </c>
      <c r="CQ183" s="73">
        <v>45374.25</v>
      </c>
      <c r="CR183" t="s">
        <v>229</v>
      </c>
      <c r="CS183" t="s">
        <v>42</v>
      </c>
      <c r="CU183" t="s">
        <v>225</v>
      </c>
    </row>
    <row r="184" spans="1:99">
      <c r="A184" t="s">
        <v>99</v>
      </c>
      <c r="B184" t="s">
        <v>98</v>
      </c>
      <c r="J184" t="s">
        <v>225</v>
      </c>
      <c r="K184" t="s">
        <v>225</v>
      </c>
      <c r="M184" s="73">
        <v>45374.25</v>
      </c>
      <c r="N184">
        <v>42495053</v>
      </c>
      <c r="O184">
        <v>-196</v>
      </c>
      <c r="P184" t="s">
        <v>73</v>
      </c>
      <c r="Q184">
        <v>-196</v>
      </c>
      <c r="R184" t="s">
        <v>73</v>
      </c>
      <c r="U184" t="s">
        <v>226</v>
      </c>
      <c r="V184" t="s">
        <v>324</v>
      </c>
      <c r="W184" t="s">
        <v>228</v>
      </c>
      <c r="X184" t="s">
        <v>229</v>
      </c>
      <c r="Y184" t="s">
        <v>99</v>
      </c>
      <c r="AD184" t="s">
        <v>73</v>
      </c>
      <c r="AE184">
        <v>-196</v>
      </c>
      <c r="AF184">
        <v>42495053</v>
      </c>
      <c r="AG184" s="73">
        <v>45374.25</v>
      </c>
      <c r="AH184" t="s">
        <v>226</v>
      </c>
      <c r="AI184" t="s">
        <v>324</v>
      </c>
      <c r="AJ184" t="s">
        <v>228</v>
      </c>
      <c r="AK184" t="s">
        <v>229</v>
      </c>
      <c r="AL184" t="s">
        <v>99</v>
      </c>
      <c r="AP184" t="s">
        <v>230</v>
      </c>
      <c r="AQ184" t="s">
        <v>231</v>
      </c>
      <c r="AT184" t="s">
        <v>232</v>
      </c>
      <c r="AU184">
        <v>-99</v>
      </c>
      <c r="AV184" t="s">
        <v>73</v>
      </c>
      <c r="AW184">
        <v>-196</v>
      </c>
      <c r="AX184">
        <v>42495053</v>
      </c>
      <c r="AY184" s="73">
        <v>45374.25</v>
      </c>
      <c r="AZ184" t="s">
        <v>226</v>
      </c>
      <c r="BA184" t="s">
        <v>324</v>
      </c>
      <c r="BB184" t="s">
        <v>228</v>
      </c>
      <c r="BC184" t="s">
        <v>229</v>
      </c>
      <c r="BD184" t="s">
        <v>99</v>
      </c>
      <c r="BI184" t="s">
        <v>233</v>
      </c>
      <c r="BJ184" t="s">
        <v>0</v>
      </c>
      <c r="BK184">
        <v>42494649</v>
      </c>
      <c r="BN184" t="s">
        <v>73</v>
      </c>
      <c r="BR184">
        <v>-196</v>
      </c>
      <c r="BS184">
        <v>42495053</v>
      </c>
      <c r="BT184" s="73">
        <v>45374.25</v>
      </c>
      <c r="BU184" t="s">
        <v>226</v>
      </c>
      <c r="BV184" t="s">
        <v>324</v>
      </c>
      <c r="BW184" t="s">
        <v>228</v>
      </c>
      <c r="CH184" t="s">
        <v>229</v>
      </c>
      <c r="CI184" t="s">
        <v>99</v>
      </c>
      <c r="CJ184" t="s">
        <v>226</v>
      </c>
      <c r="CK184" t="s">
        <v>324</v>
      </c>
      <c r="CL184" t="s">
        <v>228</v>
      </c>
      <c r="CM184" t="s">
        <v>234</v>
      </c>
      <c r="CN184" t="s">
        <v>73</v>
      </c>
      <c r="CO184">
        <v>-196</v>
      </c>
      <c r="CP184">
        <v>42495053</v>
      </c>
      <c r="CQ184" s="73">
        <v>45374.25</v>
      </c>
      <c r="CR184" t="s">
        <v>229</v>
      </c>
      <c r="CS184" t="s">
        <v>99</v>
      </c>
      <c r="CU184" t="s">
        <v>225</v>
      </c>
    </row>
    <row r="185" spans="1:99">
      <c r="A185" t="s">
        <v>103</v>
      </c>
      <c r="B185" t="s">
        <v>98</v>
      </c>
      <c r="J185" t="s">
        <v>225</v>
      </c>
      <c r="K185" t="s">
        <v>225</v>
      </c>
      <c r="M185" s="73">
        <v>45374.25</v>
      </c>
      <c r="N185">
        <v>42495052</v>
      </c>
      <c r="O185">
        <v>3920</v>
      </c>
      <c r="P185" t="s">
        <v>104</v>
      </c>
      <c r="Q185">
        <v>3920</v>
      </c>
      <c r="R185" t="s">
        <v>104</v>
      </c>
      <c r="S185">
        <v>196</v>
      </c>
      <c r="T185" t="s">
        <v>73</v>
      </c>
      <c r="U185" t="s">
        <v>226</v>
      </c>
      <c r="V185" t="s">
        <v>324</v>
      </c>
      <c r="W185" t="s">
        <v>235</v>
      </c>
      <c r="X185" t="s">
        <v>229</v>
      </c>
      <c r="Y185" t="s">
        <v>103</v>
      </c>
      <c r="AD185" t="s">
        <v>104</v>
      </c>
      <c r="AE185">
        <v>3920</v>
      </c>
      <c r="AF185">
        <v>42495052</v>
      </c>
      <c r="AG185" s="73">
        <v>45374.25</v>
      </c>
      <c r="AH185" t="s">
        <v>226</v>
      </c>
      <c r="AI185" t="s">
        <v>324</v>
      </c>
      <c r="AJ185" t="s">
        <v>235</v>
      </c>
      <c r="AK185" t="s">
        <v>229</v>
      </c>
      <c r="AL185" t="s">
        <v>103</v>
      </c>
      <c r="AP185" t="s">
        <v>230</v>
      </c>
      <c r="AQ185" t="s">
        <v>231</v>
      </c>
      <c r="AT185" t="s">
        <v>232</v>
      </c>
      <c r="AU185">
        <v>-99</v>
      </c>
      <c r="AV185" t="s">
        <v>104</v>
      </c>
      <c r="AW185">
        <v>3920</v>
      </c>
      <c r="AX185">
        <v>42495052</v>
      </c>
      <c r="AY185" s="73">
        <v>45374.25</v>
      </c>
      <c r="AZ185" t="s">
        <v>226</v>
      </c>
      <c r="BA185" t="s">
        <v>324</v>
      </c>
      <c r="BB185" t="s">
        <v>235</v>
      </c>
      <c r="BC185" t="s">
        <v>229</v>
      </c>
      <c r="BD185" t="s">
        <v>103</v>
      </c>
      <c r="BI185" t="s">
        <v>233</v>
      </c>
      <c r="BJ185" t="s">
        <v>0</v>
      </c>
      <c r="BK185">
        <v>42494649</v>
      </c>
      <c r="BN185" t="s">
        <v>104</v>
      </c>
      <c r="BO185">
        <v>42494664</v>
      </c>
      <c r="BR185">
        <v>3920</v>
      </c>
      <c r="BS185">
        <v>42495052</v>
      </c>
      <c r="BT185" s="73">
        <v>45374.25</v>
      </c>
      <c r="BU185" t="s">
        <v>226</v>
      </c>
      <c r="BV185" t="s">
        <v>324</v>
      </c>
      <c r="BW185" t="s">
        <v>235</v>
      </c>
      <c r="CH185" t="s">
        <v>229</v>
      </c>
      <c r="CI185" t="s">
        <v>103</v>
      </c>
      <c r="CJ185" t="s">
        <v>226</v>
      </c>
      <c r="CK185" t="s">
        <v>324</v>
      </c>
      <c r="CL185" t="s">
        <v>235</v>
      </c>
      <c r="CM185" t="s">
        <v>236</v>
      </c>
      <c r="CN185" t="s">
        <v>104</v>
      </c>
      <c r="CO185">
        <v>3920</v>
      </c>
      <c r="CP185">
        <v>42495052</v>
      </c>
      <c r="CQ185" s="73">
        <v>45374.25</v>
      </c>
      <c r="CR185" t="s">
        <v>229</v>
      </c>
      <c r="CS185" t="s">
        <v>103</v>
      </c>
      <c r="CU185" t="s">
        <v>225</v>
      </c>
    </row>
    <row r="186" spans="1:99">
      <c r="A186" t="s">
        <v>111</v>
      </c>
      <c r="B186" t="s">
        <v>77</v>
      </c>
      <c r="J186" t="s">
        <v>225</v>
      </c>
      <c r="K186" t="s">
        <v>225</v>
      </c>
      <c r="M186" s="73">
        <v>45374.25</v>
      </c>
      <c r="N186">
        <v>42495051</v>
      </c>
      <c r="O186">
        <v>4</v>
      </c>
      <c r="P186" t="s">
        <v>45</v>
      </c>
      <c r="Q186">
        <v>4</v>
      </c>
      <c r="R186" t="s">
        <v>45</v>
      </c>
      <c r="U186" t="s">
        <v>226</v>
      </c>
      <c r="V186" t="s">
        <v>324</v>
      </c>
      <c r="W186" t="s">
        <v>237</v>
      </c>
      <c r="X186" t="s">
        <v>229</v>
      </c>
      <c r="Y186" t="s">
        <v>111</v>
      </c>
      <c r="AD186" t="s">
        <v>45</v>
      </c>
      <c r="AE186">
        <v>4</v>
      </c>
      <c r="AF186">
        <v>42495051</v>
      </c>
      <c r="AG186" s="73">
        <v>45374.25</v>
      </c>
      <c r="AH186" t="s">
        <v>226</v>
      </c>
      <c r="AI186" t="s">
        <v>324</v>
      </c>
      <c r="AJ186" t="s">
        <v>237</v>
      </c>
      <c r="AK186" t="s">
        <v>229</v>
      </c>
      <c r="AL186" t="s">
        <v>111</v>
      </c>
      <c r="AP186" t="s">
        <v>230</v>
      </c>
      <c r="AQ186" t="s">
        <v>231</v>
      </c>
      <c r="AT186" t="s">
        <v>232</v>
      </c>
      <c r="AU186">
        <v>-99</v>
      </c>
      <c r="AV186" t="s">
        <v>45</v>
      </c>
      <c r="AW186">
        <v>4</v>
      </c>
      <c r="AX186">
        <v>42495051</v>
      </c>
      <c r="AY186" s="73">
        <v>45374.25</v>
      </c>
      <c r="AZ186" t="s">
        <v>226</v>
      </c>
      <c r="BA186" t="s">
        <v>324</v>
      </c>
      <c r="BB186" t="s">
        <v>237</v>
      </c>
      <c r="BC186" t="s">
        <v>229</v>
      </c>
      <c r="BD186" t="s">
        <v>111</v>
      </c>
      <c r="BI186" t="s">
        <v>233</v>
      </c>
      <c r="BJ186" t="s">
        <v>0</v>
      </c>
      <c r="BK186">
        <v>42494649</v>
      </c>
      <c r="BN186" t="s">
        <v>45</v>
      </c>
      <c r="BO186">
        <v>42494666</v>
      </c>
      <c r="BR186">
        <v>4</v>
      </c>
      <c r="BS186">
        <v>42495051</v>
      </c>
      <c r="BT186" s="73">
        <v>45374.25</v>
      </c>
      <c r="BU186" t="s">
        <v>226</v>
      </c>
      <c r="BV186" t="s">
        <v>324</v>
      </c>
      <c r="BW186" t="s">
        <v>237</v>
      </c>
      <c r="CH186" t="s">
        <v>229</v>
      </c>
      <c r="CI186" t="s">
        <v>111</v>
      </c>
      <c r="CJ186" t="s">
        <v>226</v>
      </c>
      <c r="CK186" t="s">
        <v>324</v>
      </c>
      <c r="CL186" t="s">
        <v>237</v>
      </c>
      <c r="CM186" t="s">
        <v>236</v>
      </c>
      <c r="CN186" t="s">
        <v>45</v>
      </c>
      <c r="CO186">
        <v>4</v>
      </c>
      <c r="CP186">
        <v>42495051</v>
      </c>
      <c r="CQ186" s="73">
        <v>45374.25</v>
      </c>
      <c r="CR186" t="s">
        <v>229</v>
      </c>
      <c r="CS186" t="s">
        <v>111</v>
      </c>
      <c r="CU186" t="s">
        <v>225</v>
      </c>
    </row>
    <row r="187" spans="1:99">
      <c r="A187" t="s">
        <v>42</v>
      </c>
      <c r="B187" t="s">
        <v>92</v>
      </c>
      <c r="J187" t="s">
        <v>225</v>
      </c>
      <c r="K187" t="s">
        <v>225</v>
      </c>
      <c r="M187" s="73">
        <v>45373.939583333333</v>
      </c>
      <c r="N187">
        <v>42488375</v>
      </c>
      <c r="O187">
        <v>-5084</v>
      </c>
      <c r="P187" t="s">
        <v>45</v>
      </c>
      <c r="Q187">
        <v>-5084</v>
      </c>
      <c r="R187" t="s">
        <v>45</v>
      </c>
      <c r="U187" t="s">
        <v>226</v>
      </c>
      <c r="V187" t="s">
        <v>325</v>
      </c>
      <c r="W187" t="s">
        <v>228</v>
      </c>
      <c r="X187" t="s">
        <v>229</v>
      </c>
      <c r="Y187" t="s">
        <v>42</v>
      </c>
      <c r="AD187" t="s">
        <v>45</v>
      </c>
      <c r="AE187">
        <v>-5084</v>
      </c>
      <c r="AF187">
        <v>42488375</v>
      </c>
      <c r="AG187" s="73">
        <v>45373.939583333333</v>
      </c>
      <c r="AH187" t="s">
        <v>226</v>
      </c>
      <c r="AI187" t="s">
        <v>325</v>
      </c>
      <c r="AJ187" t="s">
        <v>228</v>
      </c>
      <c r="AK187" t="s">
        <v>229</v>
      </c>
      <c r="AL187" t="s">
        <v>42</v>
      </c>
      <c r="AP187" t="s">
        <v>230</v>
      </c>
      <c r="AQ187" t="s">
        <v>231</v>
      </c>
      <c r="AT187" t="s">
        <v>232</v>
      </c>
      <c r="AU187">
        <v>-99</v>
      </c>
      <c r="AV187" t="s">
        <v>45</v>
      </c>
      <c r="AW187">
        <v>-5084</v>
      </c>
      <c r="AX187">
        <v>42488375</v>
      </c>
      <c r="AY187" s="73">
        <v>45373.939583333333</v>
      </c>
      <c r="AZ187" t="s">
        <v>226</v>
      </c>
      <c r="BA187" t="s">
        <v>325</v>
      </c>
      <c r="BB187" t="s">
        <v>228</v>
      </c>
      <c r="BC187" t="s">
        <v>229</v>
      </c>
      <c r="BD187" t="s">
        <v>42</v>
      </c>
      <c r="BI187" t="s">
        <v>233</v>
      </c>
      <c r="BJ187" t="s">
        <v>0</v>
      </c>
      <c r="BK187">
        <v>42488359</v>
      </c>
      <c r="BN187" t="s">
        <v>45</v>
      </c>
      <c r="BR187">
        <v>-5084</v>
      </c>
      <c r="BS187">
        <v>42488375</v>
      </c>
      <c r="BT187" s="73">
        <v>45373.939583333333</v>
      </c>
      <c r="BU187" t="s">
        <v>226</v>
      </c>
      <c r="BV187" t="s">
        <v>325</v>
      </c>
      <c r="BW187" t="s">
        <v>228</v>
      </c>
      <c r="CH187" t="s">
        <v>229</v>
      </c>
      <c r="CI187" t="s">
        <v>42</v>
      </c>
      <c r="CJ187" t="s">
        <v>226</v>
      </c>
      <c r="CK187" t="s">
        <v>325</v>
      </c>
      <c r="CL187" t="s">
        <v>228</v>
      </c>
      <c r="CM187" t="s">
        <v>234</v>
      </c>
      <c r="CN187" t="s">
        <v>45</v>
      </c>
      <c r="CO187">
        <v>-5084</v>
      </c>
      <c r="CP187">
        <v>42488375</v>
      </c>
      <c r="CQ187" s="73">
        <v>45373.939583333333</v>
      </c>
      <c r="CR187" t="s">
        <v>229</v>
      </c>
      <c r="CS187" t="s">
        <v>42</v>
      </c>
      <c r="CU187" t="s">
        <v>225</v>
      </c>
    </row>
    <row r="188" spans="1:99">
      <c r="A188" t="s">
        <v>99</v>
      </c>
      <c r="B188" t="s">
        <v>98</v>
      </c>
      <c r="J188" t="s">
        <v>225</v>
      </c>
      <c r="K188" t="s">
        <v>225</v>
      </c>
      <c r="M188" s="73">
        <v>45373.939583333333</v>
      </c>
      <c r="N188">
        <v>42488374</v>
      </c>
      <c r="O188">
        <v>-254</v>
      </c>
      <c r="P188" t="s">
        <v>73</v>
      </c>
      <c r="Q188">
        <v>-254</v>
      </c>
      <c r="R188" t="s">
        <v>73</v>
      </c>
      <c r="U188" t="s">
        <v>226</v>
      </c>
      <c r="V188" t="s">
        <v>325</v>
      </c>
      <c r="W188" t="s">
        <v>228</v>
      </c>
      <c r="X188" t="s">
        <v>229</v>
      </c>
      <c r="Y188" t="s">
        <v>99</v>
      </c>
      <c r="AD188" t="s">
        <v>73</v>
      </c>
      <c r="AE188">
        <v>-254</v>
      </c>
      <c r="AF188">
        <v>42488374</v>
      </c>
      <c r="AG188" s="73">
        <v>45373.939583333333</v>
      </c>
      <c r="AH188" t="s">
        <v>226</v>
      </c>
      <c r="AI188" t="s">
        <v>325</v>
      </c>
      <c r="AJ188" t="s">
        <v>228</v>
      </c>
      <c r="AK188" t="s">
        <v>229</v>
      </c>
      <c r="AL188" t="s">
        <v>99</v>
      </c>
      <c r="AP188" t="s">
        <v>230</v>
      </c>
      <c r="AQ188" t="s">
        <v>231</v>
      </c>
      <c r="AT188" t="s">
        <v>232</v>
      </c>
      <c r="AU188">
        <v>-99</v>
      </c>
      <c r="AV188" t="s">
        <v>73</v>
      </c>
      <c r="AW188">
        <v>-254</v>
      </c>
      <c r="AX188">
        <v>42488374</v>
      </c>
      <c r="AY188" s="73">
        <v>45373.939583333333</v>
      </c>
      <c r="AZ188" t="s">
        <v>226</v>
      </c>
      <c r="BA188" t="s">
        <v>325</v>
      </c>
      <c r="BB188" t="s">
        <v>228</v>
      </c>
      <c r="BC188" t="s">
        <v>229</v>
      </c>
      <c r="BD188" t="s">
        <v>99</v>
      </c>
      <c r="BI188" t="s">
        <v>233</v>
      </c>
      <c r="BJ188" t="s">
        <v>0</v>
      </c>
      <c r="BK188">
        <v>42488359</v>
      </c>
      <c r="BN188" t="s">
        <v>73</v>
      </c>
      <c r="BR188">
        <v>-254</v>
      </c>
      <c r="BS188">
        <v>42488374</v>
      </c>
      <c r="BT188" s="73">
        <v>45373.939583333333</v>
      </c>
      <c r="BU188" t="s">
        <v>226</v>
      </c>
      <c r="BV188" t="s">
        <v>325</v>
      </c>
      <c r="BW188" t="s">
        <v>228</v>
      </c>
      <c r="CH188" t="s">
        <v>229</v>
      </c>
      <c r="CI188" t="s">
        <v>99</v>
      </c>
      <c r="CJ188" t="s">
        <v>226</v>
      </c>
      <c r="CK188" t="s">
        <v>325</v>
      </c>
      <c r="CL188" t="s">
        <v>228</v>
      </c>
      <c r="CM188" t="s">
        <v>234</v>
      </c>
      <c r="CN188" t="s">
        <v>73</v>
      </c>
      <c r="CO188">
        <v>-254</v>
      </c>
      <c r="CP188">
        <v>42488374</v>
      </c>
      <c r="CQ188" s="73">
        <v>45373.939583333333</v>
      </c>
      <c r="CR188" t="s">
        <v>229</v>
      </c>
      <c r="CS188" t="s">
        <v>99</v>
      </c>
      <c r="CU188" t="s">
        <v>225</v>
      </c>
    </row>
    <row r="189" spans="1:99">
      <c r="A189" t="s">
        <v>103</v>
      </c>
      <c r="B189" t="s">
        <v>98</v>
      </c>
      <c r="J189" t="s">
        <v>225</v>
      </c>
      <c r="K189" t="s">
        <v>225</v>
      </c>
      <c r="M189" s="73">
        <v>45373.939583333333</v>
      </c>
      <c r="N189">
        <v>42488373</v>
      </c>
      <c r="O189">
        <v>5080</v>
      </c>
      <c r="P189" t="s">
        <v>104</v>
      </c>
      <c r="Q189">
        <v>5080</v>
      </c>
      <c r="R189" t="s">
        <v>104</v>
      </c>
      <c r="S189">
        <v>254</v>
      </c>
      <c r="T189" t="s">
        <v>73</v>
      </c>
      <c r="U189" t="s">
        <v>226</v>
      </c>
      <c r="V189" t="s">
        <v>325</v>
      </c>
      <c r="W189" t="s">
        <v>235</v>
      </c>
      <c r="X189" t="s">
        <v>229</v>
      </c>
      <c r="Y189" t="s">
        <v>103</v>
      </c>
      <c r="AD189" t="s">
        <v>104</v>
      </c>
      <c r="AE189">
        <v>5080</v>
      </c>
      <c r="AF189">
        <v>42488373</v>
      </c>
      <c r="AG189" s="73">
        <v>45373.939583333333</v>
      </c>
      <c r="AH189" t="s">
        <v>226</v>
      </c>
      <c r="AI189" t="s">
        <v>325</v>
      </c>
      <c r="AJ189" t="s">
        <v>235</v>
      </c>
      <c r="AK189" t="s">
        <v>229</v>
      </c>
      <c r="AL189" t="s">
        <v>103</v>
      </c>
      <c r="AP189" t="s">
        <v>230</v>
      </c>
      <c r="AQ189" t="s">
        <v>231</v>
      </c>
      <c r="AT189" t="s">
        <v>232</v>
      </c>
      <c r="AU189">
        <v>-99</v>
      </c>
      <c r="AV189" t="s">
        <v>104</v>
      </c>
      <c r="AW189">
        <v>5080</v>
      </c>
      <c r="AX189">
        <v>42488373</v>
      </c>
      <c r="AY189" s="73">
        <v>45373.939583333333</v>
      </c>
      <c r="AZ189" t="s">
        <v>226</v>
      </c>
      <c r="BA189" t="s">
        <v>325</v>
      </c>
      <c r="BB189" t="s">
        <v>235</v>
      </c>
      <c r="BC189" t="s">
        <v>229</v>
      </c>
      <c r="BD189" t="s">
        <v>103</v>
      </c>
      <c r="BI189" t="s">
        <v>233</v>
      </c>
      <c r="BJ189" t="s">
        <v>0</v>
      </c>
      <c r="BK189">
        <v>42488359</v>
      </c>
      <c r="BN189" t="s">
        <v>104</v>
      </c>
      <c r="BO189">
        <v>42488365</v>
      </c>
      <c r="BR189">
        <v>5080</v>
      </c>
      <c r="BS189">
        <v>42488373</v>
      </c>
      <c r="BT189" s="73">
        <v>45373.939583333333</v>
      </c>
      <c r="BU189" t="s">
        <v>226</v>
      </c>
      <c r="BV189" t="s">
        <v>325</v>
      </c>
      <c r="BW189" t="s">
        <v>235</v>
      </c>
      <c r="CH189" t="s">
        <v>229</v>
      </c>
      <c r="CI189" t="s">
        <v>103</v>
      </c>
      <c r="CJ189" t="s">
        <v>226</v>
      </c>
      <c r="CK189" t="s">
        <v>325</v>
      </c>
      <c r="CL189" t="s">
        <v>235</v>
      </c>
      <c r="CM189" t="s">
        <v>236</v>
      </c>
      <c r="CN189" t="s">
        <v>104</v>
      </c>
      <c r="CO189">
        <v>5080</v>
      </c>
      <c r="CP189">
        <v>42488373</v>
      </c>
      <c r="CQ189" s="73">
        <v>45373.939583333333</v>
      </c>
      <c r="CR189" t="s">
        <v>229</v>
      </c>
      <c r="CS189" t="s">
        <v>103</v>
      </c>
      <c r="CU189" t="s">
        <v>225</v>
      </c>
    </row>
    <row r="190" spans="1:99">
      <c r="A190" t="s">
        <v>111</v>
      </c>
      <c r="B190" t="s">
        <v>77</v>
      </c>
      <c r="J190" t="s">
        <v>225</v>
      </c>
      <c r="K190" t="s">
        <v>225</v>
      </c>
      <c r="M190" s="73">
        <v>45373.939583333333</v>
      </c>
      <c r="N190">
        <v>42488372</v>
      </c>
      <c r="O190">
        <v>4</v>
      </c>
      <c r="P190" t="s">
        <v>45</v>
      </c>
      <c r="Q190">
        <v>4</v>
      </c>
      <c r="R190" t="s">
        <v>45</v>
      </c>
      <c r="U190" t="s">
        <v>226</v>
      </c>
      <c r="V190" t="s">
        <v>325</v>
      </c>
      <c r="W190" t="s">
        <v>237</v>
      </c>
      <c r="X190" t="s">
        <v>229</v>
      </c>
      <c r="Y190" t="s">
        <v>111</v>
      </c>
      <c r="AD190" t="s">
        <v>45</v>
      </c>
      <c r="AE190">
        <v>4</v>
      </c>
      <c r="AF190">
        <v>42488372</v>
      </c>
      <c r="AG190" s="73">
        <v>45373.939583333333</v>
      </c>
      <c r="AH190" t="s">
        <v>226</v>
      </c>
      <c r="AI190" t="s">
        <v>325</v>
      </c>
      <c r="AJ190" t="s">
        <v>237</v>
      </c>
      <c r="AK190" t="s">
        <v>229</v>
      </c>
      <c r="AL190" t="s">
        <v>111</v>
      </c>
      <c r="AP190" t="s">
        <v>230</v>
      </c>
      <c r="AQ190" t="s">
        <v>231</v>
      </c>
      <c r="AT190" t="s">
        <v>232</v>
      </c>
      <c r="AU190">
        <v>-99</v>
      </c>
      <c r="AV190" t="s">
        <v>45</v>
      </c>
      <c r="AW190">
        <v>4</v>
      </c>
      <c r="AX190">
        <v>42488372</v>
      </c>
      <c r="AY190" s="73">
        <v>45373.939583333333</v>
      </c>
      <c r="AZ190" t="s">
        <v>226</v>
      </c>
      <c r="BA190" t="s">
        <v>325</v>
      </c>
      <c r="BB190" t="s">
        <v>237</v>
      </c>
      <c r="BC190" t="s">
        <v>229</v>
      </c>
      <c r="BD190" t="s">
        <v>111</v>
      </c>
      <c r="BI190" t="s">
        <v>233</v>
      </c>
      <c r="BJ190" t="s">
        <v>0</v>
      </c>
      <c r="BK190">
        <v>42488359</v>
      </c>
      <c r="BN190" t="s">
        <v>45</v>
      </c>
      <c r="BO190">
        <v>42488367</v>
      </c>
      <c r="BR190">
        <v>4</v>
      </c>
      <c r="BS190">
        <v>42488372</v>
      </c>
      <c r="BT190" s="73">
        <v>45373.939583333333</v>
      </c>
      <c r="BU190" t="s">
        <v>226</v>
      </c>
      <c r="BV190" t="s">
        <v>325</v>
      </c>
      <c r="BW190" t="s">
        <v>237</v>
      </c>
      <c r="CH190" t="s">
        <v>229</v>
      </c>
      <c r="CI190" t="s">
        <v>111</v>
      </c>
      <c r="CJ190" t="s">
        <v>226</v>
      </c>
      <c r="CK190" t="s">
        <v>325</v>
      </c>
      <c r="CL190" t="s">
        <v>237</v>
      </c>
      <c r="CM190" t="s">
        <v>236</v>
      </c>
      <c r="CN190" t="s">
        <v>45</v>
      </c>
      <c r="CO190">
        <v>4</v>
      </c>
      <c r="CP190">
        <v>42488372</v>
      </c>
      <c r="CQ190" s="73">
        <v>45373.939583333333</v>
      </c>
      <c r="CR190" t="s">
        <v>229</v>
      </c>
      <c r="CS190" t="s">
        <v>111</v>
      </c>
      <c r="CU190" t="s">
        <v>225</v>
      </c>
    </row>
    <row r="191" spans="1:99">
      <c r="A191" t="s">
        <v>48</v>
      </c>
      <c r="B191" t="s">
        <v>92</v>
      </c>
      <c r="J191" t="s">
        <v>225</v>
      </c>
      <c r="K191" t="s">
        <v>225</v>
      </c>
      <c r="M191" s="73">
        <v>45373.9375</v>
      </c>
      <c r="N191">
        <v>42488340</v>
      </c>
      <c r="O191">
        <v>-200</v>
      </c>
      <c r="P191" t="s">
        <v>45</v>
      </c>
      <c r="Q191">
        <v>-200</v>
      </c>
      <c r="R191" t="s">
        <v>45</v>
      </c>
      <c r="U191" t="s">
        <v>226</v>
      </c>
      <c r="V191" t="s">
        <v>326</v>
      </c>
      <c r="W191" t="s">
        <v>228</v>
      </c>
      <c r="X191" t="s">
        <v>229</v>
      </c>
      <c r="Y191" t="s">
        <v>48</v>
      </c>
      <c r="AD191" t="s">
        <v>45</v>
      </c>
      <c r="AE191">
        <v>-200</v>
      </c>
      <c r="AF191">
        <v>42488340</v>
      </c>
      <c r="AG191" s="73">
        <v>45373.9375</v>
      </c>
      <c r="AH191" t="s">
        <v>226</v>
      </c>
      <c r="AI191" t="s">
        <v>326</v>
      </c>
      <c r="AJ191" t="s">
        <v>228</v>
      </c>
      <c r="AK191" t="s">
        <v>229</v>
      </c>
      <c r="AL191" t="s">
        <v>48</v>
      </c>
      <c r="AP191" t="s">
        <v>230</v>
      </c>
      <c r="AQ191" t="s">
        <v>231</v>
      </c>
      <c r="AT191" t="s">
        <v>232</v>
      </c>
      <c r="AU191">
        <v>-99</v>
      </c>
      <c r="AV191" t="s">
        <v>45</v>
      </c>
      <c r="AW191">
        <v>-200</v>
      </c>
      <c r="AX191">
        <v>42488340</v>
      </c>
      <c r="AY191" s="73">
        <v>45373.9375</v>
      </c>
      <c r="AZ191" t="s">
        <v>226</v>
      </c>
      <c r="BA191" t="s">
        <v>326</v>
      </c>
      <c r="BB191" t="s">
        <v>228</v>
      </c>
      <c r="BC191" t="s">
        <v>229</v>
      </c>
      <c r="BD191" t="s">
        <v>48</v>
      </c>
      <c r="BI191" t="s">
        <v>233</v>
      </c>
      <c r="BJ191" t="s">
        <v>0</v>
      </c>
      <c r="BK191">
        <v>42488328</v>
      </c>
      <c r="BN191" t="s">
        <v>45</v>
      </c>
      <c r="BR191">
        <v>-200</v>
      </c>
      <c r="BS191">
        <v>42488340</v>
      </c>
      <c r="BT191" s="73">
        <v>45373.9375</v>
      </c>
      <c r="BU191" t="s">
        <v>226</v>
      </c>
      <c r="BV191" t="s">
        <v>326</v>
      </c>
      <c r="BW191" t="s">
        <v>228</v>
      </c>
      <c r="CH191" t="s">
        <v>229</v>
      </c>
      <c r="CI191" t="s">
        <v>48</v>
      </c>
      <c r="CJ191" t="s">
        <v>226</v>
      </c>
      <c r="CK191" t="s">
        <v>326</v>
      </c>
      <c r="CL191" t="s">
        <v>228</v>
      </c>
      <c r="CM191" t="s">
        <v>234</v>
      </c>
      <c r="CN191" t="s">
        <v>45</v>
      </c>
      <c r="CO191">
        <v>-200</v>
      </c>
      <c r="CP191">
        <v>42488340</v>
      </c>
      <c r="CQ191" s="73">
        <v>45373.9375</v>
      </c>
      <c r="CR191" t="s">
        <v>229</v>
      </c>
      <c r="CS191" t="s">
        <v>48</v>
      </c>
      <c r="CU191" t="s">
        <v>225</v>
      </c>
    </row>
    <row r="192" spans="1:99">
      <c r="A192" t="s">
        <v>93</v>
      </c>
      <c r="B192" t="s">
        <v>98</v>
      </c>
      <c r="J192" t="s">
        <v>225</v>
      </c>
      <c r="K192" t="s">
        <v>225</v>
      </c>
      <c r="M192" s="73">
        <v>45373.9375</v>
      </c>
      <c r="N192">
        <v>42488339</v>
      </c>
      <c r="O192">
        <v>-10</v>
      </c>
      <c r="P192" t="s">
        <v>73</v>
      </c>
      <c r="Q192">
        <v>-10</v>
      </c>
      <c r="R192" t="s">
        <v>73</v>
      </c>
      <c r="U192" t="s">
        <v>226</v>
      </c>
      <c r="V192" t="s">
        <v>326</v>
      </c>
      <c r="W192" t="s">
        <v>228</v>
      </c>
      <c r="X192" t="s">
        <v>229</v>
      </c>
      <c r="Y192" t="s">
        <v>93</v>
      </c>
      <c r="AD192" t="s">
        <v>73</v>
      </c>
      <c r="AE192">
        <v>-10</v>
      </c>
      <c r="AF192">
        <v>42488339</v>
      </c>
      <c r="AG192" s="73">
        <v>45373.9375</v>
      </c>
      <c r="AH192" t="s">
        <v>226</v>
      </c>
      <c r="AI192" t="s">
        <v>326</v>
      </c>
      <c r="AJ192" t="s">
        <v>228</v>
      </c>
      <c r="AK192" t="s">
        <v>229</v>
      </c>
      <c r="AL192" t="s">
        <v>93</v>
      </c>
      <c r="AP192" t="s">
        <v>230</v>
      </c>
      <c r="AQ192" t="s">
        <v>231</v>
      </c>
      <c r="AT192" t="s">
        <v>232</v>
      </c>
      <c r="AU192">
        <v>-99</v>
      </c>
      <c r="AV192" t="s">
        <v>73</v>
      </c>
      <c r="AW192">
        <v>-10</v>
      </c>
      <c r="AX192">
        <v>42488339</v>
      </c>
      <c r="AY192" s="73">
        <v>45373.9375</v>
      </c>
      <c r="AZ192" t="s">
        <v>226</v>
      </c>
      <c r="BA192" t="s">
        <v>326</v>
      </c>
      <c r="BB192" t="s">
        <v>228</v>
      </c>
      <c r="BC192" t="s">
        <v>229</v>
      </c>
      <c r="BD192" t="s">
        <v>93</v>
      </c>
      <c r="BI192" t="s">
        <v>233</v>
      </c>
      <c r="BJ192" t="s">
        <v>0</v>
      </c>
      <c r="BK192">
        <v>42488328</v>
      </c>
      <c r="BN192" t="s">
        <v>73</v>
      </c>
      <c r="BR192">
        <v>-10</v>
      </c>
      <c r="BS192">
        <v>42488339</v>
      </c>
      <c r="BT192" s="73">
        <v>45373.9375</v>
      </c>
      <c r="BU192" t="s">
        <v>226</v>
      </c>
      <c r="BV192" t="s">
        <v>326</v>
      </c>
      <c r="BW192" t="s">
        <v>228</v>
      </c>
      <c r="CH192" t="s">
        <v>229</v>
      </c>
      <c r="CI192" t="s">
        <v>93</v>
      </c>
      <c r="CJ192" t="s">
        <v>226</v>
      </c>
      <c r="CK192" t="s">
        <v>326</v>
      </c>
      <c r="CL192" t="s">
        <v>228</v>
      </c>
      <c r="CM192" t="s">
        <v>234</v>
      </c>
      <c r="CN192" t="s">
        <v>73</v>
      </c>
      <c r="CO192">
        <v>-10</v>
      </c>
      <c r="CP192">
        <v>42488339</v>
      </c>
      <c r="CQ192" s="73">
        <v>45373.9375</v>
      </c>
      <c r="CR192" t="s">
        <v>229</v>
      </c>
      <c r="CS192" t="s">
        <v>93</v>
      </c>
      <c r="CU192" t="s">
        <v>225</v>
      </c>
    </row>
    <row r="193" spans="1:99">
      <c r="A193" t="s">
        <v>109</v>
      </c>
      <c r="B193" t="s">
        <v>98</v>
      </c>
      <c r="J193" t="s">
        <v>225</v>
      </c>
      <c r="K193" t="s">
        <v>225</v>
      </c>
      <c r="M193" s="73">
        <v>45373.9375</v>
      </c>
      <c r="N193">
        <v>42488338</v>
      </c>
      <c r="O193">
        <v>200</v>
      </c>
      <c r="P193" t="s">
        <v>104</v>
      </c>
      <c r="Q193">
        <v>200</v>
      </c>
      <c r="R193" t="s">
        <v>104</v>
      </c>
      <c r="S193">
        <v>10</v>
      </c>
      <c r="T193" t="s">
        <v>73</v>
      </c>
      <c r="U193" t="s">
        <v>226</v>
      </c>
      <c r="V193" t="s">
        <v>326</v>
      </c>
      <c r="W193" t="s">
        <v>235</v>
      </c>
      <c r="X193" t="s">
        <v>229</v>
      </c>
      <c r="Y193" t="s">
        <v>109</v>
      </c>
      <c r="AD193" t="s">
        <v>104</v>
      </c>
      <c r="AE193">
        <v>200</v>
      </c>
      <c r="AF193">
        <v>42488338</v>
      </c>
      <c r="AG193" s="73">
        <v>45373.9375</v>
      </c>
      <c r="AH193" t="s">
        <v>226</v>
      </c>
      <c r="AI193" t="s">
        <v>326</v>
      </c>
      <c r="AJ193" t="s">
        <v>235</v>
      </c>
      <c r="AK193" t="s">
        <v>229</v>
      </c>
      <c r="AL193" t="s">
        <v>109</v>
      </c>
      <c r="AP193" t="s">
        <v>230</v>
      </c>
      <c r="AQ193" t="s">
        <v>231</v>
      </c>
      <c r="AT193" t="s">
        <v>232</v>
      </c>
      <c r="AU193">
        <v>-99</v>
      </c>
      <c r="AV193" t="s">
        <v>104</v>
      </c>
      <c r="AW193">
        <v>200</v>
      </c>
      <c r="AX193">
        <v>42488338</v>
      </c>
      <c r="AY193" s="73">
        <v>45373.9375</v>
      </c>
      <c r="AZ193" t="s">
        <v>226</v>
      </c>
      <c r="BA193" t="s">
        <v>326</v>
      </c>
      <c r="BB193" t="s">
        <v>235</v>
      </c>
      <c r="BC193" t="s">
        <v>229</v>
      </c>
      <c r="BD193" t="s">
        <v>109</v>
      </c>
      <c r="BI193" t="s">
        <v>233</v>
      </c>
      <c r="BJ193" t="s">
        <v>0</v>
      </c>
      <c r="BK193">
        <v>42488328</v>
      </c>
      <c r="BN193" t="s">
        <v>104</v>
      </c>
      <c r="BO193">
        <v>42488334</v>
      </c>
      <c r="BR193">
        <v>200</v>
      </c>
      <c r="BS193">
        <v>42488338</v>
      </c>
      <c r="BT193" s="73">
        <v>45373.9375</v>
      </c>
      <c r="BU193" t="s">
        <v>226</v>
      </c>
      <c r="BV193" t="s">
        <v>326</v>
      </c>
      <c r="BW193" t="s">
        <v>235</v>
      </c>
      <c r="CH193" t="s">
        <v>229</v>
      </c>
      <c r="CI193" t="s">
        <v>109</v>
      </c>
      <c r="CJ193" t="s">
        <v>226</v>
      </c>
      <c r="CK193" t="s">
        <v>326</v>
      </c>
      <c r="CL193" t="s">
        <v>235</v>
      </c>
      <c r="CM193" t="s">
        <v>236</v>
      </c>
      <c r="CN193" t="s">
        <v>104</v>
      </c>
      <c r="CO193">
        <v>200</v>
      </c>
      <c r="CP193">
        <v>42488338</v>
      </c>
      <c r="CQ193" s="73">
        <v>45373.9375</v>
      </c>
      <c r="CR193" t="s">
        <v>229</v>
      </c>
      <c r="CS193" t="s">
        <v>109</v>
      </c>
      <c r="CU193" t="s">
        <v>225</v>
      </c>
    </row>
    <row r="194" spans="1:99">
      <c r="A194" t="s">
        <v>46</v>
      </c>
      <c r="B194" t="s">
        <v>92</v>
      </c>
      <c r="J194" t="s">
        <v>225</v>
      </c>
      <c r="K194" t="s">
        <v>225</v>
      </c>
      <c r="M194" s="73">
        <v>45373.936805555553</v>
      </c>
      <c r="N194">
        <v>42488317</v>
      </c>
      <c r="O194">
        <v>-703</v>
      </c>
      <c r="P194" t="s">
        <v>45</v>
      </c>
      <c r="Q194">
        <v>-703</v>
      </c>
      <c r="R194" t="s">
        <v>45</v>
      </c>
      <c r="U194" t="s">
        <v>226</v>
      </c>
      <c r="V194" t="s">
        <v>327</v>
      </c>
      <c r="W194" t="s">
        <v>228</v>
      </c>
      <c r="X194" t="s">
        <v>229</v>
      </c>
      <c r="Y194" t="s">
        <v>46</v>
      </c>
      <c r="AD194" t="s">
        <v>45</v>
      </c>
      <c r="AE194">
        <v>-703</v>
      </c>
      <c r="AF194">
        <v>42488317</v>
      </c>
      <c r="AG194" s="73">
        <v>45373.936805555553</v>
      </c>
      <c r="AH194" t="s">
        <v>226</v>
      </c>
      <c r="AI194" t="s">
        <v>327</v>
      </c>
      <c r="AJ194" t="s">
        <v>228</v>
      </c>
      <c r="AK194" t="s">
        <v>229</v>
      </c>
      <c r="AL194" t="s">
        <v>46</v>
      </c>
      <c r="AP194" t="s">
        <v>230</v>
      </c>
      <c r="AQ194" t="s">
        <v>231</v>
      </c>
      <c r="AT194" t="s">
        <v>232</v>
      </c>
      <c r="AU194">
        <v>-99</v>
      </c>
      <c r="AV194" t="s">
        <v>45</v>
      </c>
      <c r="AW194">
        <v>-703</v>
      </c>
      <c r="AX194">
        <v>42488317</v>
      </c>
      <c r="AY194" s="73">
        <v>45373.936805555553</v>
      </c>
      <c r="AZ194" t="s">
        <v>226</v>
      </c>
      <c r="BA194" t="s">
        <v>327</v>
      </c>
      <c r="BB194" t="s">
        <v>228</v>
      </c>
      <c r="BC194" t="s">
        <v>229</v>
      </c>
      <c r="BD194" t="s">
        <v>46</v>
      </c>
      <c r="BI194" t="s">
        <v>233</v>
      </c>
      <c r="BJ194" t="s">
        <v>0</v>
      </c>
      <c r="BK194">
        <v>42488301</v>
      </c>
      <c r="BN194" t="s">
        <v>45</v>
      </c>
      <c r="BR194">
        <v>-703</v>
      </c>
      <c r="BS194">
        <v>42488317</v>
      </c>
      <c r="BT194" s="73">
        <v>45373.936805555553</v>
      </c>
      <c r="BU194" t="s">
        <v>226</v>
      </c>
      <c r="BV194" t="s">
        <v>327</v>
      </c>
      <c r="BW194" t="s">
        <v>228</v>
      </c>
      <c r="CH194" t="s">
        <v>229</v>
      </c>
      <c r="CI194" t="s">
        <v>46</v>
      </c>
      <c r="CJ194" t="s">
        <v>226</v>
      </c>
      <c r="CK194" t="s">
        <v>327</v>
      </c>
      <c r="CL194" t="s">
        <v>228</v>
      </c>
      <c r="CM194" t="s">
        <v>234</v>
      </c>
      <c r="CN194" t="s">
        <v>45</v>
      </c>
      <c r="CO194">
        <v>-703</v>
      </c>
      <c r="CP194">
        <v>42488317</v>
      </c>
      <c r="CQ194" s="73">
        <v>45373.936805555553</v>
      </c>
      <c r="CR194" t="s">
        <v>229</v>
      </c>
      <c r="CS194" t="s">
        <v>46</v>
      </c>
      <c r="CU194" t="s">
        <v>225</v>
      </c>
    </row>
    <row r="195" spans="1:99">
      <c r="A195" t="s">
        <v>93</v>
      </c>
      <c r="B195" t="s">
        <v>98</v>
      </c>
      <c r="J195" t="s">
        <v>225</v>
      </c>
      <c r="K195" t="s">
        <v>225</v>
      </c>
      <c r="M195" s="73">
        <v>45373.936805555553</v>
      </c>
      <c r="N195">
        <v>42488316</v>
      </c>
      <c r="O195">
        <v>-35</v>
      </c>
      <c r="P195" t="s">
        <v>73</v>
      </c>
      <c r="Q195">
        <v>-35</v>
      </c>
      <c r="R195" t="s">
        <v>73</v>
      </c>
      <c r="U195" t="s">
        <v>226</v>
      </c>
      <c r="V195" t="s">
        <v>327</v>
      </c>
      <c r="W195" t="s">
        <v>228</v>
      </c>
      <c r="X195" t="s">
        <v>229</v>
      </c>
      <c r="Y195" t="s">
        <v>93</v>
      </c>
      <c r="AD195" t="s">
        <v>73</v>
      </c>
      <c r="AE195">
        <v>-35</v>
      </c>
      <c r="AF195">
        <v>42488316</v>
      </c>
      <c r="AG195" s="73">
        <v>45373.936805555553</v>
      </c>
      <c r="AH195" t="s">
        <v>226</v>
      </c>
      <c r="AI195" t="s">
        <v>327</v>
      </c>
      <c r="AJ195" t="s">
        <v>228</v>
      </c>
      <c r="AK195" t="s">
        <v>229</v>
      </c>
      <c r="AL195" t="s">
        <v>93</v>
      </c>
      <c r="AP195" t="s">
        <v>230</v>
      </c>
      <c r="AQ195" t="s">
        <v>231</v>
      </c>
      <c r="AT195" t="s">
        <v>232</v>
      </c>
      <c r="AU195">
        <v>-99</v>
      </c>
      <c r="AV195" t="s">
        <v>73</v>
      </c>
      <c r="AW195">
        <v>-35</v>
      </c>
      <c r="AX195">
        <v>42488316</v>
      </c>
      <c r="AY195" s="73">
        <v>45373.936805555553</v>
      </c>
      <c r="AZ195" t="s">
        <v>226</v>
      </c>
      <c r="BA195" t="s">
        <v>327</v>
      </c>
      <c r="BB195" t="s">
        <v>228</v>
      </c>
      <c r="BC195" t="s">
        <v>229</v>
      </c>
      <c r="BD195" t="s">
        <v>93</v>
      </c>
      <c r="BI195" t="s">
        <v>233</v>
      </c>
      <c r="BJ195" t="s">
        <v>0</v>
      </c>
      <c r="BK195">
        <v>42488301</v>
      </c>
      <c r="BN195" t="s">
        <v>73</v>
      </c>
      <c r="BR195">
        <v>-35</v>
      </c>
      <c r="BS195">
        <v>42488316</v>
      </c>
      <c r="BT195" s="73">
        <v>45373.936805555553</v>
      </c>
      <c r="BU195" t="s">
        <v>226</v>
      </c>
      <c r="BV195" t="s">
        <v>327</v>
      </c>
      <c r="BW195" t="s">
        <v>228</v>
      </c>
      <c r="CH195" t="s">
        <v>229</v>
      </c>
      <c r="CI195" t="s">
        <v>93</v>
      </c>
      <c r="CJ195" t="s">
        <v>226</v>
      </c>
      <c r="CK195" t="s">
        <v>327</v>
      </c>
      <c r="CL195" t="s">
        <v>228</v>
      </c>
      <c r="CM195" t="s">
        <v>234</v>
      </c>
      <c r="CN195" t="s">
        <v>73</v>
      </c>
      <c r="CO195">
        <v>-35</v>
      </c>
      <c r="CP195">
        <v>42488316</v>
      </c>
      <c r="CQ195" s="73">
        <v>45373.936805555553</v>
      </c>
      <c r="CR195" t="s">
        <v>229</v>
      </c>
      <c r="CS195" t="s">
        <v>93</v>
      </c>
      <c r="CU195" t="s">
        <v>225</v>
      </c>
    </row>
    <row r="196" spans="1:99">
      <c r="A196" t="s">
        <v>108</v>
      </c>
      <c r="B196" t="s">
        <v>98</v>
      </c>
      <c r="J196" t="s">
        <v>225</v>
      </c>
      <c r="K196" t="s">
        <v>225</v>
      </c>
      <c r="M196" s="73">
        <v>45373.936805555553</v>
      </c>
      <c r="N196">
        <v>42488315</v>
      </c>
      <c r="O196">
        <v>700</v>
      </c>
      <c r="P196" t="s">
        <v>104</v>
      </c>
      <c r="Q196">
        <v>700</v>
      </c>
      <c r="R196" t="s">
        <v>104</v>
      </c>
      <c r="S196">
        <v>35</v>
      </c>
      <c r="T196" t="s">
        <v>73</v>
      </c>
      <c r="U196" t="s">
        <v>226</v>
      </c>
      <c r="V196" t="s">
        <v>327</v>
      </c>
      <c r="W196" t="s">
        <v>235</v>
      </c>
      <c r="X196" t="s">
        <v>229</v>
      </c>
      <c r="Y196" t="s">
        <v>108</v>
      </c>
      <c r="AD196" t="s">
        <v>104</v>
      </c>
      <c r="AE196">
        <v>700</v>
      </c>
      <c r="AF196">
        <v>42488315</v>
      </c>
      <c r="AG196" s="73">
        <v>45373.936805555553</v>
      </c>
      <c r="AH196" t="s">
        <v>226</v>
      </c>
      <c r="AI196" t="s">
        <v>327</v>
      </c>
      <c r="AJ196" t="s">
        <v>235</v>
      </c>
      <c r="AK196" t="s">
        <v>229</v>
      </c>
      <c r="AL196" t="s">
        <v>108</v>
      </c>
      <c r="AP196" t="s">
        <v>230</v>
      </c>
      <c r="AQ196" t="s">
        <v>231</v>
      </c>
      <c r="AT196" t="s">
        <v>232</v>
      </c>
      <c r="AU196">
        <v>-99</v>
      </c>
      <c r="AV196" t="s">
        <v>104</v>
      </c>
      <c r="AW196">
        <v>700</v>
      </c>
      <c r="AX196">
        <v>42488315</v>
      </c>
      <c r="AY196" s="73">
        <v>45373.936805555553</v>
      </c>
      <c r="AZ196" t="s">
        <v>226</v>
      </c>
      <c r="BA196" t="s">
        <v>327</v>
      </c>
      <c r="BB196" t="s">
        <v>235</v>
      </c>
      <c r="BC196" t="s">
        <v>229</v>
      </c>
      <c r="BD196" t="s">
        <v>108</v>
      </c>
      <c r="BI196" t="s">
        <v>233</v>
      </c>
      <c r="BJ196" t="s">
        <v>0</v>
      </c>
      <c r="BK196">
        <v>42488301</v>
      </c>
      <c r="BN196" t="s">
        <v>104</v>
      </c>
      <c r="BO196">
        <v>42488307</v>
      </c>
      <c r="BR196">
        <v>700</v>
      </c>
      <c r="BS196">
        <v>42488315</v>
      </c>
      <c r="BT196" s="73">
        <v>45373.936805555553</v>
      </c>
      <c r="BU196" t="s">
        <v>226</v>
      </c>
      <c r="BV196" t="s">
        <v>327</v>
      </c>
      <c r="BW196" t="s">
        <v>235</v>
      </c>
      <c r="CH196" t="s">
        <v>229</v>
      </c>
      <c r="CI196" t="s">
        <v>108</v>
      </c>
      <c r="CJ196" t="s">
        <v>226</v>
      </c>
      <c r="CK196" t="s">
        <v>327</v>
      </c>
      <c r="CL196" t="s">
        <v>235</v>
      </c>
      <c r="CM196" t="s">
        <v>236</v>
      </c>
      <c r="CN196" t="s">
        <v>104</v>
      </c>
      <c r="CO196">
        <v>700</v>
      </c>
      <c r="CP196">
        <v>42488315</v>
      </c>
      <c r="CQ196" s="73">
        <v>45373.936805555553</v>
      </c>
      <c r="CR196" t="s">
        <v>229</v>
      </c>
      <c r="CS196" t="s">
        <v>108</v>
      </c>
      <c r="CU196" t="s">
        <v>225</v>
      </c>
    </row>
    <row r="197" spans="1:99">
      <c r="A197" t="s">
        <v>111</v>
      </c>
      <c r="B197" t="s">
        <v>77</v>
      </c>
      <c r="J197" t="s">
        <v>225</v>
      </c>
      <c r="K197" t="s">
        <v>225</v>
      </c>
      <c r="M197" s="73">
        <v>45373.936805555553</v>
      </c>
      <c r="N197">
        <v>42488314</v>
      </c>
      <c r="O197">
        <v>3</v>
      </c>
      <c r="P197" t="s">
        <v>45</v>
      </c>
      <c r="Q197">
        <v>3</v>
      </c>
      <c r="R197" t="s">
        <v>45</v>
      </c>
      <c r="U197" t="s">
        <v>226</v>
      </c>
      <c r="V197" t="s">
        <v>327</v>
      </c>
      <c r="W197" t="s">
        <v>237</v>
      </c>
      <c r="X197" t="s">
        <v>229</v>
      </c>
      <c r="Y197" t="s">
        <v>111</v>
      </c>
      <c r="AD197" t="s">
        <v>45</v>
      </c>
      <c r="AE197">
        <v>3</v>
      </c>
      <c r="AF197">
        <v>42488314</v>
      </c>
      <c r="AG197" s="73">
        <v>45373.936805555553</v>
      </c>
      <c r="AH197" t="s">
        <v>226</v>
      </c>
      <c r="AI197" t="s">
        <v>327</v>
      </c>
      <c r="AJ197" t="s">
        <v>237</v>
      </c>
      <c r="AK197" t="s">
        <v>229</v>
      </c>
      <c r="AL197" t="s">
        <v>111</v>
      </c>
      <c r="AP197" t="s">
        <v>230</v>
      </c>
      <c r="AQ197" t="s">
        <v>231</v>
      </c>
      <c r="AT197" t="s">
        <v>232</v>
      </c>
      <c r="AU197">
        <v>-99</v>
      </c>
      <c r="AV197" t="s">
        <v>45</v>
      </c>
      <c r="AW197">
        <v>3</v>
      </c>
      <c r="AX197">
        <v>42488314</v>
      </c>
      <c r="AY197" s="73">
        <v>45373.936805555553</v>
      </c>
      <c r="AZ197" t="s">
        <v>226</v>
      </c>
      <c r="BA197" t="s">
        <v>327</v>
      </c>
      <c r="BB197" t="s">
        <v>237</v>
      </c>
      <c r="BC197" t="s">
        <v>229</v>
      </c>
      <c r="BD197" t="s">
        <v>111</v>
      </c>
      <c r="BI197" t="s">
        <v>233</v>
      </c>
      <c r="BJ197" t="s">
        <v>0</v>
      </c>
      <c r="BK197">
        <v>42488301</v>
      </c>
      <c r="BN197" t="s">
        <v>45</v>
      </c>
      <c r="BO197">
        <v>42488309</v>
      </c>
      <c r="BR197">
        <v>3</v>
      </c>
      <c r="BS197">
        <v>42488314</v>
      </c>
      <c r="BT197" s="73">
        <v>45373.936805555553</v>
      </c>
      <c r="BU197" t="s">
        <v>226</v>
      </c>
      <c r="BV197" t="s">
        <v>327</v>
      </c>
      <c r="BW197" t="s">
        <v>237</v>
      </c>
      <c r="CH197" t="s">
        <v>229</v>
      </c>
      <c r="CI197" t="s">
        <v>111</v>
      </c>
      <c r="CJ197" t="s">
        <v>226</v>
      </c>
      <c r="CK197" t="s">
        <v>327</v>
      </c>
      <c r="CL197" t="s">
        <v>237</v>
      </c>
      <c r="CM197" t="s">
        <v>236</v>
      </c>
      <c r="CN197" t="s">
        <v>45</v>
      </c>
      <c r="CO197">
        <v>3</v>
      </c>
      <c r="CP197">
        <v>42488314</v>
      </c>
      <c r="CQ197" s="73">
        <v>45373.936805555553</v>
      </c>
      <c r="CR197" t="s">
        <v>229</v>
      </c>
      <c r="CS197" t="s">
        <v>111</v>
      </c>
      <c r="CU197" t="s">
        <v>225</v>
      </c>
    </row>
    <row r="198" spans="1:99">
      <c r="A198" t="s">
        <v>52</v>
      </c>
      <c r="B198" t="s">
        <v>92</v>
      </c>
      <c r="J198" t="s">
        <v>225</v>
      </c>
      <c r="K198" t="s">
        <v>225</v>
      </c>
      <c r="M198" s="73">
        <v>45373.935416666667</v>
      </c>
      <c r="N198">
        <v>42488273</v>
      </c>
      <c r="O198">
        <v>-1941</v>
      </c>
      <c r="P198" t="s">
        <v>45</v>
      </c>
      <c r="Q198">
        <v>-1941</v>
      </c>
      <c r="R198" t="s">
        <v>45</v>
      </c>
      <c r="U198" t="s">
        <v>226</v>
      </c>
      <c r="V198" t="s">
        <v>328</v>
      </c>
      <c r="W198" t="s">
        <v>228</v>
      </c>
      <c r="X198" t="s">
        <v>229</v>
      </c>
      <c r="Y198" t="s">
        <v>52</v>
      </c>
      <c r="AD198" t="s">
        <v>45</v>
      </c>
      <c r="AE198">
        <v>-1941</v>
      </c>
      <c r="AF198">
        <v>42488273</v>
      </c>
      <c r="AG198" s="73">
        <v>45373.935416666667</v>
      </c>
      <c r="AH198" t="s">
        <v>226</v>
      </c>
      <c r="AI198" t="s">
        <v>328</v>
      </c>
      <c r="AJ198" t="s">
        <v>228</v>
      </c>
      <c r="AK198" t="s">
        <v>229</v>
      </c>
      <c r="AL198" t="s">
        <v>52</v>
      </c>
      <c r="AP198" t="s">
        <v>230</v>
      </c>
      <c r="AQ198" t="s">
        <v>231</v>
      </c>
      <c r="AT198" t="s">
        <v>232</v>
      </c>
      <c r="AU198">
        <v>-99</v>
      </c>
      <c r="AV198" t="s">
        <v>45</v>
      </c>
      <c r="AW198">
        <v>-1941</v>
      </c>
      <c r="AX198">
        <v>42488273</v>
      </c>
      <c r="AY198" s="73">
        <v>45373.935416666667</v>
      </c>
      <c r="AZ198" t="s">
        <v>226</v>
      </c>
      <c r="BA198" t="s">
        <v>328</v>
      </c>
      <c r="BB198" t="s">
        <v>228</v>
      </c>
      <c r="BC198" t="s">
        <v>229</v>
      </c>
      <c r="BD198" t="s">
        <v>52</v>
      </c>
      <c r="BI198" t="s">
        <v>233</v>
      </c>
      <c r="BJ198" t="s">
        <v>0</v>
      </c>
      <c r="BK198">
        <v>42488257</v>
      </c>
      <c r="BN198" t="s">
        <v>45</v>
      </c>
      <c r="BR198">
        <v>-1941</v>
      </c>
      <c r="BS198">
        <v>42488273</v>
      </c>
      <c r="BT198" s="73">
        <v>45373.935416666667</v>
      </c>
      <c r="BU198" t="s">
        <v>226</v>
      </c>
      <c r="BV198" t="s">
        <v>328</v>
      </c>
      <c r="BW198" t="s">
        <v>228</v>
      </c>
      <c r="CH198" t="s">
        <v>229</v>
      </c>
      <c r="CI198" t="s">
        <v>52</v>
      </c>
      <c r="CJ198" t="s">
        <v>226</v>
      </c>
      <c r="CK198" t="s">
        <v>328</v>
      </c>
      <c r="CL198" t="s">
        <v>228</v>
      </c>
      <c r="CM198" t="s">
        <v>234</v>
      </c>
      <c r="CN198" t="s">
        <v>45</v>
      </c>
      <c r="CO198">
        <v>-1941</v>
      </c>
      <c r="CP198">
        <v>42488273</v>
      </c>
      <c r="CQ198" s="73">
        <v>45373.935416666667</v>
      </c>
      <c r="CR198" t="s">
        <v>229</v>
      </c>
      <c r="CS198" t="s">
        <v>52</v>
      </c>
      <c r="CU198" t="s">
        <v>225</v>
      </c>
    </row>
    <row r="199" spans="1:99">
      <c r="A199" t="s">
        <v>101</v>
      </c>
      <c r="B199" t="s">
        <v>98</v>
      </c>
      <c r="J199" t="s">
        <v>225</v>
      </c>
      <c r="K199" t="s">
        <v>225</v>
      </c>
      <c r="M199" s="73">
        <v>45373.935416666667</v>
      </c>
      <c r="N199">
        <v>42488272</v>
      </c>
      <c r="O199">
        <v>-97</v>
      </c>
      <c r="P199" t="s">
        <v>73</v>
      </c>
      <c r="Q199">
        <v>-97</v>
      </c>
      <c r="R199" t="s">
        <v>73</v>
      </c>
      <c r="U199" t="s">
        <v>226</v>
      </c>
      <c r="V199" t="s">
        <v>328</v>
      </c>
      <c r="W199" t="s">
        <v>228</v>
      </c>
      <c r="X199" t="s">
        <v>229</v>
      </c>
      <c r="Y199" t="s">
        <v>101</v>
      </c>
      <c r="AD199" t="s">
        <v>73</v>
      </c>
      <c r="AE199">
        <v>-97</v>
      </c>
      <c r="AF199">
        <v>42488272</v>
      </c>
      <c r="AG199" s="73">
        <v>45373.935416666667</v>
      </c>
      <c r="AH199" t="s">
        <v>226</v>
      </c>
      <c r="AI199" t="s">
        <v>328</v>
      </c>
      <c r="AJ199" t="s">
        <v>228</v>
      </c>
      <c r="AK199" t="s">
        <v>229</v>
      </c>
      <c r="AL199" t="s">
        <v>101</v>
      </c>
      <c r="AP199" t="s">
        <v>230</v>
      </c>
      <c r="AQ199" t="s">
        <v>231</v>
      </c>
      <c r="AT199" t="s">
        <v>232</v>
      </c>
      <c r="AU199">
        <v>-99</v>
      </c>
      <c r="AV199" t="s">
        <v>73</v>
      </c>
      <c r="AW199">
        <v>-97</v>
      </c>
      <c r="AX199">
        <v>42488272</v>
      </c>
      <c r="AY199" s="73">
        <v>45373.935416666667</v>
      </c>
      <c r="AZ199" t="s">
        <v>226</v>
      </c>
      <c r="BA199" t="s">
        <v>328</v>
      </c>
      <c r="BB199" t="s">
        <v>228</v>
      </c>
      <c r="BC199" t="s">
        <v>229</v>
      </c>
      <c r="BD199" t="s">
        <v>101</v>
      </c>
      <c r="BI199" t="s">
        <v>233</v>
      </c>
      <c r="BJ199" t="s">
        <v>0</v>
      </c>
      <c r="BK199">
        <v>42488257</v>
      </c>
      <c r="BN199" t="s">
        <v>73</v>
      </c>
      <c r="BR199">
        <v>-97</v>
      </c>
      <c r="BS199">
        <v>42488272</v>
      </c>
      <c r="BT199" s="73">
        <v>45373.935416666667</v>
      </c>
      <c r="BU199" t="s">
        <v>226</v>
      </c>
      <c r="BV199" t="s">
        <v>328</v>
      </c>
      <c r="BW199" t="s">
        <v>228</v>
      </c>
      <c r="CH199" t="s">
        <v>229</v>
      </c>
      <c r="CI199" t="s">
        <v>101</v>
      </c>
      <c r="CJ199" t="s">
        <v>226</v>
      </c>
      <c r="CK199" t="s">
        <v>328</v>
      </c>
      <c r="CL199" t="s">
        <v>228</v>
      </c>
      <c r="CM199" t="s">
        <v>234</v>
      </c>
      <c r="CN199" t="s">
        <v>73</v>
      </c>
      <c r="CO199">
        <v>-97</v>
      </c>
      <c r="CP199">
        <v>42488272</v>
      </c>
      <c r="CQ199" s="73">
        <v>45373.935416666667</v>
      </c>
      <c r="CR199" t="s">
        <v>229</v>
      </c>
      <c r="CS199" t="s">
        <v>101</v>
      </c>
      <c r="CU199" t="s">
        <v>225</v>
      </c>
    </row>
    <row r="200" spans="1:99">
      <c r="A200" t="s">
        <v>107</v>
      </c>
      <c r="B200" t="s">
        <v>98</v>
      </c>
      <c r="J200" t="s">
        <v>225</v>
      </c>
      <c r="K200" t="s">
        <v>225</v>
      </c>
      <c r="M200" s="73">
        <v>45373.935416666667</v>
      </c>
      <c r="N200">
        <v>42488271</v>
      </c>
      <c r="O200">
        <v>1940</v>
      </c>
      <c r="P200" t="s">
        <v>104</v>
      </c>
      <c r="Q200">
        <v>1940</v>
      </c>
      <c r="R200" t="s">
        <v>104</v>
      </c>
      <c r="S200">
        <v>97</v>
      </c>
      <c r="T200" t="s">
        <v>73</v>
      </c>
      <c r="U200" t="s">
        <v>226</v>
      </c>
      <c r="V200" t="s">
        <v>328</v>
      </c>
      <c r="W200" t="s">
        <v>235</v>
      </c>
      <c r="X200" t="s">
        <v>229</v>
      </c>
      <c r="Y200" t="s">
        <v>107</v>
      </c>
      <c r="AD200" t="s">
        <v>104</v>
      </c>
      <c r="AE200">
        <v>1940</v>
      </c>
      <c r="AF200">
        <v>42488271</v>
      </c>
      <c r="AG200" s="73">
        <v>45373.935416666667</v>
      </c>
      <c r="AH200" t="s">
        <v>226</v>
      </c>
      <c r="AI200" t="s">
        <v>328</v>
      </c>
      <c r="AJ200" t="s">
        <v>235</v>
      </c>
      <c r="AK200" t="s">
        <v>229</v>
      </c>
      <c r="AL200" t="s">
        <v>107</v>
      </c>
      <c r="AP200" t="s">
        <v>230</v>
      </c>
      <c r="AQ200" t="s">
        <v>231</v>
      </c>
      <c r="AT200" t="s">
        <v>232</v>
      </c>
      <c r="AU200">
        <v>-99</v>
      </c>
      <c r="AV200" t="s">
        <v>104</v>
      </c>
      <c r="AW200">
        <v>1940</v>
      </c>
      <c r="AX200">
        <v>42488271</v>
      </c>
      <c r="AY200" s="73">
        <v>45373.935416666667</v>
      </c>
      <c r="AZ200" t="s">
        <v>226</v>
      </c>
      <c r="BA200" t="s">
        <v>328</v>
      </c>
      <c r="BB200" t="s">
        <v>235</v>
      </c>
      <c r="BC200" t="s">
        <v>229</v>
      </c>
      <c r="BD200" t="s">
        <v>107</v>
      </c>
      <c r="BI200" t="s">
        <v>233</v>
      </c>
      <c r="BJ200" t="s">
        <v>0</v>
      </c>
      <c r="BK200">
        <v>42488257</v>
      </c>
      <c r="BN200" t="s">
        <v>104</v>
      </c>
      <c r="BO200">
        <v>42488263</v>
      </c>
      <c r="BR200">
        <v>1940</v>
      </c>
      <c r="BS200">
        <v>42488271</v>
      </c>
      <c r="BT200" s="73">
        <v>45373.935416666667</v>
      </c>
      <c r="BU200" t="s">
        <v>226</v>
      </c>
      <c r="BV200" t="s">
        <v>328</v>
      </c>
      <c r="BW200" t="s">
        <v>235</v>
      </c>
      <c r="CH200" t="s">
        <v>229</v>
      </c>
      <c r="CI200" t="s">
        <v>107</v>
      </c>
      <c r="CJ200" t="s">
        <v>226</v>
      </c>
      <c r="CK200" t="s">
        <v>328</v>
      </c>
      <c r="CL200" t="s">
        <v>235</v>
      </c>
      <c r="CM200" t="s">
        <v>236</v>
      </c>
      <c r="CN200" t="s">
        <v>104</v>
      </c>
      <c r="CO200">
        <v>1940</v>
      </c>
      <c r="CP200">
        <v>42488271</v>
      </c>
      <c r="CQ200" s="73">
        <v>45373.935416666667</v>
      </c>
      <c r="CR200" t="s">
        <v>229</v>
      </c>
      <c r="CS200" t="s">
        <v>107</v>
      </c>
      <c r="CU200" t="s">
        <v>225</v>
      </c>
    </row>
    <row r="201" spans="1:99">
      <c r="A201" t="s">
        <v>111</v>
      </c>
      <c r="B201" t="s">
        <v>77</v>
      </c>
      <c r="J201" t="s">
        <v>225</v>
      </c>
      <c r="K201" t="s">
        <v>225</v>
      </c>
      <c r="M201" s="73">
        <v>45373.935416666667</v>
      </c>
      <c r="N201">
        <v>42488270</v>
      </c>
      <c r="O201">
        <v>1</v>
      </c>
      <c r="P201" t="s">
        <v>45</v>
      </c>
      <c r="Q201">
        <v>1</v>
      </c>
      <c r="R201" t="s">
        <v>45</v>
      </c>
      <c r="U201" t="s">
        <v>226</v>
      </c>
      <c r="V201" t="s">
        <v>328</v>
      </c>
      <c r="W201" t="s">
        <v>237</v>
      </c>
      <c r="X201" t="s">
        <v>229</v>
      </c>
      <c r="Y201" t="s">
        <v>111</v>
      </c>
      <c r="AD201" t="s">
        <v>45</v>
      </c>
      <c r="AE201">
        <v>1</v>
      </c>
      <c r="AF201">
        <v>42488270</v>
      </c>
      <c r="AG201" s="73">
        <v>45373.935416666667</v>
      </c>
      <c r="AH201" t="s">
        <v>226</v>
      </c>
      <c r="AI201" t="s">
        <v>328</v>
      </c>
      <c r="AJ201" t="s">
        <v>237</v>
      </c>
      <c r="AK201" t="s">
        <v>229</v>
      </c>
      <c r="AL201" t="s">
        <v>111</v>
      </c>
      <c r="AP201" t="s">
        <v>230</v>
      </c>
      <c r="AQ201" t="s">
        <v>231</v>
      </c>
      <c r="AT201" t="s">
        <v>232</v>
      </c>
      <c r="AU201">
        <v>-99</v>
      </c>
      <c r="AV201" t="s">
        <v>45</v>
      </c>
      <c r="AW201">
        <v>1</v>
      </c>
      <c r="AX201">
        <v>42488270</v>
      </c>
      <c r="AY201" s="73">
        <v>45373.935416666667</v>
      </c>
      <c r="AZ201" t="s">
        <v>226</v>
      </c>
      <c r="BA201" t="s">
        <v>328</v>
      </c>
      <c r="BB201" t="s">
        <v>237</v>
      </c>
      <c r="BC201" t="s">
        <v>229</v>
      </c>
      <c r="BD201" t="s">
        <v>111</v>
      </c>
      <c r="BI201" t="s">
        <v>233</v>
      </c>
      <c r="BJ201" t="s">
        <v>0</v>
      </c>
      <c r="BK201">
        <v>42488257</v>
      </c>
      <c r="BN201" t="s">
        <v>45</v>
      </c>
      <c r="BO201">
        <v>42488265</v>
      </c>
      <c r="BR201">
        <v>1</v>
      </c>
      <c r="BS201">
        <v>42488270</v>
      </c>
      <c r="BT201" s="73">
        <v>45373.935416666667</v>
      </c>
      <c r="BU201" t="s">
        <v>226</v>
      </c>
      <c r="BV201" t="s">
        <v>328</v>
      </c>
      <c r="BW201" t="s">
        <v>237</v>
      </c>
      <c r="CH201" t="s">
        <v>229</v>
      </c>
      <c r="CI201" t="s">
        <v>111</v>
      </c>
      <c r="CJ201" t="s">
        <v>226</v>
      </c>
      <c r="CK201" t="s">
        <v>328</v>
      </c>
      <c r="CL201" t="s">
        <v>237</v>
      </c>
      <c r="CM201" t="s">
        <v>236</v>
      </c>
      <c r="CN201" t="s">
        <v>45</v>
      </c>
      <c r="CO201">
        <v>1</v>
      </c>
      <c r="CP201">
        <v>42488270</v>
      </c>
      <c r="CQ201" s="73">
        <v>45373.935416666667</v>
      </c>
      <c r="CR201" t="s">
        <v>229</v>
      </c>
      <c r="CS201" t="s">
        <v>111</v>
      </c>
      <c r="CU201" t="s">
        <v>225</v>
      </c>
    </row>
    <row r="202" spans="1:99">
      <c r="A202" t="s">
        <v>42</v>
      </c>
      <c r="B202" t="s">
        <v>92</v>
      </c>
      <c r="J202" t="s">
        <v>225</v>
      </c>
      <c r="K202" t="s">
        <v>225</v>
      </c>
      <c r="M202" s="73">
        <v>45373.934027777781</v>
      </c>
      <c r="N202">
        <v>42488254</v>
      </c>
      <c r="O202">
        <v>-3530</v>
      </c>
      <c r="P202" t="s">
        <v>45</v>
      </c>
      <c r="Q202">
        <v>-3530</v>
      </c>
      <c r="R202" t="s">
        <v>45</v>
      </c>
      <c r="U202" t="s">
        <v>226</v>
      </c>
      <c r="V202" t="s">
        <v>329</v>
      </c>
      <c r="W202" t="s">
        <v>228</v>
      </c>
      <c r="X202" t="s">
        <v>229</v>
      </c>
      <c r="Y202" t="s">
        <v>42</v>
      </c>
      <c r="AD202" t="s">
        <v>45</v>
      </c>
      <c r="AE202">
        <v>-3530</v>
      </c>
      <c r="AF202">
        <v>42488254</v>
      </c>
      <c r="AG202" s="73">
        <v>45373.934027777781</v>
      </c>
      <c r="AH202" t="s">
        <v>226</v>
      </c>
      <c r="AI202" t="s">
        <v>329</v>
      </c>
      <c r="AJ202" t="s">
        <v>228</v>
      </c>
      <c r="AK202" t="s">
        <v>229</v>
      </c>
      <c r="AL202" t="s">
        <v>42</v>
      </c>
      <c r="AP202" t="s">
        <v>230</v>
      </c>
      <c r="AQ202" t="s">
        <v>231</v>
      </c>
      <c r="AT202" t="s">
        <v>232</v>
      </c>
      <c r="AU202">
        <v>-99</v>
      </c>
      <c r="AV202" t="s">
        <v>45</v>
      </c>
      <c r="AW202">
        <v>-3530</v>
      </c>
      <c r="AX202">
        <v>42488254</v>
      </c>
      <c r="AY202" s="73">
        <v>45373.934027777781</v>
      </c>
      <c r="AZ202" t="s">
        <v>226</v>
      </c>
      <c r="BA202" t="s">
        <v>329</v>
      </c>
      <c r="BB202" t="s">
        <v>228</v>
      </c>
      <c r="BC202" t="s">
        <v>229</v>
      </c>
      <c r="BD202" t="s">
        <v>42</v>
      </c>
      <c r="BI202" t="s">
        <v>233</v>
      </c>
      <c r="BJ202" t="s">
        <v>0</v>
      </c>
      <c r="BK202">
        <v>42488242</v>
      </c>
      <c r="BN202" t="s">
        <v>45</v>
      </c>
      <c r="BR202">
        <v>-3530</v>
      </c>
      <c r="BS202">
        <v>42488254</v>
      </c>
      <c r="BT202" s="73">
        <v>45373.934027777781</v>
      </c>
      <c r="BU202" t="s">
        <v>226</v>
      </c>
      <c r="BV202" t="s">
        <v>329</v>
      </c>
      <c r="BW202" t="s">
        <v>228</v>
      </c>
      <c r="CH202" t="s">
        <v>229</v>
      </c>
      <c r="CI202" t="s">
        <v>42</v>
      </c>
      <c r="CJ202" t="s">
        <v>226</v>
      </c>
      <c r="CK202" t="s">
        <v>329</v>
      </c>
      <c r="CL202" t="s">
        <v>228</v>
      </c>
      <c r="CM202" t="s">
        <v>234</v>
      </c>
      <c r="CN202" t="s">
        <v>45</v>
      </c>
      <c r="CO202">
        <v>-3530</v>
      </c>
      <c r="CP202">
        <v>42488254</v>
      </c>
      <c r="CQ202" s="73">
        <v>45373.934027777781</v>
      </c>
      <c r="CR202" t="s">
        <v>229</v>
      </c>
      <c r="CS202" t="s">
        <v>42</v>
      </c>
      <c r="CU202" t="s">
        <v>225</v>
      </c>
    </row>
    <row r="203" spans="1:99">
      <c r="A203" t="s">
        <v>99</v>
      </c>
      <c r="B203" t="s">
        <v>98</v>
      </c>
      <c r="J203" t="s">
        <v>225</v>
      </c>
      <c r="K203" t="s">
        <v>225</v>
      </c>
      <c r="M203" s="73">
        <v>45373.934027777781</v>
      </c>
      <c r="N203">
        <v>42488253</v>
      </c>
      <c r="O203">
        <v>-176.5</v>
      </c>
      <c r="P203" t="s">
        <v>73</v>
      </c>
      <c r="Q203">
        <v>-176.5</v>
      </c>
      <c r="R203" t="s">
        <v>73</v>
      </c>
      <c r="U203" t="s">
        <v>226</v>
      </c>
      <c r="V203" t="s">
        <v>329</v>
      </c>
      <c r="W203" t="s">
        <v>228</v>
      </c>
      <c r="X203" t="s">
        <v>229</v>
      </c>
      <c r="Y203" t="s">
        <v>99</v>
      </c>
      <c r="AD203" t="s">
        <v>73</v>
      </c>
      <c r="AE203">
        <v>-176.5</v>
      </c>
      <c r="AF203">
        <v>42488253</v>
      </c>
      <c r="AG203" s="73">
        <v>45373.934027777781</v>
      </c>
      <c r="AH203" t="s">
        <v>226</v>
      </c>
      <c r="AI203" t="s">
        <v>329</v>
      </c>
      <c r="AJ203" t="s">
        <v>228</v>
      </c>
      <c r="AK203" t="s">
        <v>229</v>
      </c>
      <c r="AL203" t="s">
        <v>99</v>
      </c>
      <c r="AP203" t="s">
        <v>230</v>
      </c>
      <c r="AQ203" t="s">
        <v>231</v>
      </c>
      <c r="AT203" t="s">
        <v>232</v>
      </c>
      <c r="AU203">
        <v>-99</v>
      </c>
      <c r="AV203" t="s">
        <v>73</v>
      </c>
      <c r="AW203">
        <v>-176.5</v>
      </c>
      <c r="AX203">
        <v>42488253</v>
      </c>
      <c r="AY203" s="73">
        <v>45373.934027777781</v>
      </c>
      <c r="AZ203" t="s">
        <v>226</v>
      </c>
      <c r="BA203" t="s">
        <v>329</v>
      </c>
      <c r="BB203" t="s">
        <v>228</v>
      </c>
      <c r="BC203" t="s">
        <v>229</v>
      </c>
      <c r="BD203" t="s">
        <v>99</v>
      </c>
      <c r="BI203" t="s">
        <v>233</v>
      </c>
      <c r="BJ203" t="s">
        <v>0</v>
      </c>
      <c r="BK203">
        <v>42488242</v>
      </c>
      <c r="BN203" t="s">
        <v>73</v>
      </c>
      <c r="BR203">
        <v>-176.5</v>
      </c>
      <c r="BS203">
        <v>42488253</v>
      </c>
      <c r="BT203" s="73">
        <v>45373.934027777781</v>
      </c>
      <c r="BU203" t="s">
        <v>226</v>
      </c>
      <c r="BV203" t="s">
        <v>329</v>
      </c>
      <c r="BW203" t="s">
        <v>228</v>
      </c>
      <c r="CH203" t="s">
        <v>229</v>
      </c>
      <c r="CI203" t="s">
        <v>99</v>
      </c>
      <c r="CJ203" t="s">
        <v>226</v>
      </c>
      <c r="CK203" t="s">
        <v>329</v>
      </c>
      <c r="CL203" t="s">
        <v>228</v>
      </c>
      <c r="CM203" t="s">
        <v>234</v>
      </c>
      <c r="CN203" t="s">
        <v>73</v>
      </c>
      <c r="CO203">
        <v>-176.5</v>
      </c>
      <c r="CP203">
        <v>42488253</v>
      </c>
      <c r="CQ203" s="73">
        <v>45373.934027777781</v>
      </c>
      <c r="CR203" t="s">
        <v>229</v>
      </c>
      <c r="CS203" t="s">
        <v>99</v>
      </c>
      <c r="CU203" t="s">
        <v>225</v>
      </c>
    </row>
    <row r="204" spans="1:99">
      <c r="A204" t="s">
        <v>103</v>
      </c>
      <c r="B204" t="s">
        <v>98</v>
      </c>
      <c r="J204" t="s">
        <v>225</v>
      </c>
      <c r="K204" t="s">
        <v>225</v>
      </c>
      <c r="M204" s="73">
        <v>45373.934027777781</v>
      </c>
      <c r="N204">
        <v>42488252</v>
      </c>
      <c r="O204">
        <v>3530</v>
      </c>
      <c r="P204" t="s">
        <v>104</v>
      </c>
      <c r="Q204">
        <v>3530</v>
      </c>
      <c r="R204" t="s">
        <v>104</v>
      </c>
      <c r="S204">
        <v>176.5</v>
      </c>
      <c r="T204" t="s">
        <v>73</v>
      </c>
      <c r="U204" t="s">
        <v>226</v>
      </c>
      <c r="V204" t="s">
        <v>329</v>
      </c>
      <c r="W204" t="s">
        <v>235</v>
      </c>
      <c r="X204" t="s">
        <v>229</v>
      </c>
      <c r="Y204" t="s">
        <v>103</v>
      </c>
      <c r="AD204" t="s">
        <v>104</v>
      </c>
      <c r="AE204">
        <v>3530</v>
      </c>
      <c r="AF204">
        <v>42488252</v>
      </c>
      <c r="AG204" s="73">
        <v>45373.934027777781</v>
      </c>
      <c r="AH204" t="s">
        <v>226</v>
      </c>
      <c r="AI204" t="s">
        <v>329</v>
      </c>
      <c r="AJ204" t="s">
        <v>235</v>
      </c>
      <c r="AK204" t="s">
        <v>229</v>
      </c>
      <c r="AL204" t="s">
        <v>103</v>
      </c>
      <c r="AP204" t="s">
        <v>230</v>
      </c>
      <c r="AQ204" t="s">
        <v>231</v>
      </c>
      <c r="AT204" t="s">
        <v>232</v>
      </c>
      <c r="AU204">
        <v>-99</v>
      </c>
      <c r="AV204" t="s">
        <v>104</v>
      </c>
      <c r="AW204">
        <v>3530</v>
      </c>
      <c r="AX204">
        <v>42488252</v>
      </c>
      <c r="AY204" s="73">
        <v>45373.934027777781</v>
      </c>
      <c r="AZ204" t="s">
        <v>226</v>
      </c>
      <c r="BA204" t="s">
        <v>329</v>
      </c>
      <c r="BB204" t="s">
        <v>235</v>
      </c>
      <c r="BC204" t="s">
        <v>229</v>
      </c>
      <c r="BD204" t="s">
        <v>103</v>
      </c>
      <c r="BI204" t="s">
        <v>233</v>
      </c>
      <c r="BJ204" t="s">
        <v>0</v>
      </c>
      <c r="BK204">
        <v>42488242</v>
      </c>
      <c r="BN204" t="s">
        <v>104</v>
      </c>
      <c r="BO204">
        <v>42488248</v>
      </c>
      <c r="BR204">
        <v>3530</v>
      </c>
      <c r="BS204">
        <v>42488252</v>
      </c>
      <c r="BT204" s="73">
        <v>45373.934027777781</v>
      </c>
      <c r="BU204" t="s">
        <v>226</v>
      </c>
      <c r="BV204" t="s">
        <v>329</v>
      </c>
      <c r="BW204" t="s">
        <v>235</v>
      </c>
      <c r="CH204" t="s">
        <v>229</v>
      </c>
      <c r="CI204" t="s">
        <v>103</v>
      </c>
      <c r="CJ204" t="s">
        <v>226</v>
      </c>
      <c r="CK204" t="s">
        <v>329</v>
      </c>
      <c r="CL204" t="s">
        <v>235</v>
      </c>
      <c r="CM204" t="s">
        <v>236</v>
      </c>
      <c r="CN204" t="s">
        <v>104</v>
      </c>
      <c r="CO204">
        <v>3530</v>
      </c>
      <c r="CP204">
        <v>42488252</v>
      </c>
      <c r="CQ204" s="73">
        <v>45373.934027777781</v>
      </c>
      <c r="CR204" t="s">
        <v>229</v>
      </c>
      <c r="CS204" t="s">
        <v>103</v>
      </c>
      <c r="CU204" t="s">
        <v>225</v>
      </c>
    </row>
    <row r="205" spans="1:99">
      <c r="A205" t="s">
        <v>42</v>
      </c>
      <c r="B205" t="s">
        <v>92</v>
      </c>
      <c r="J205" t="s">
        <v>225</v>
      </c>
      <c r="K205" t="s">
        <v>225</v>
      </c>
      <c r="M205" s="73">
        <v>45373.599305555559</v>
      </c>
      <c r="N205">
        <v>42488217</v>
      </c>
      <c r="O205">
        <v>-4898</v>
      </c>
      <c r="P205" t="s">
        <v>45</v>
      </c>
      <c r="Q205">
        <v>-4898</v>
      </c>
      <c r="R205" t="s">
        <v>45</v>
      </c>
      <c r="U205" t="s">
        <v>226</v>
      </c>
      <c r="V205" t="s">
        <v>330</v>
      </c>
      <c r="W205" t="s">
        <v>228</v>
      </c>
      <c r="X205" t="s">
        <v>229</v>
      </c>
      <c r="Y205" t="s">
        <v>42</v>
      </c>
      <c r="AD205" t="s">
        <v>45</v>
      </c>
      <c r="AE205">
        <v>-4898</v>
      </c>
      <c r="AF205">
        <v>42488217</v>
      </c>
      <c r="AG205" s="73">
        <v>45373.599305555559</v>
      </c>
      <c r="AH205" t="s">
        <v>226</v>
      </c>
      <c r="AI205" t="s">
        <v>330</v>
      </c>
      <c r="AJ205" t="s">
        <v>228</v>
      </c>
      <c r="AK205" t="s">
        <v>229</v>
      </c>
      <c r="AL205" t="s">
        <v>42</v>
      </c>
      <c r="AP205" t="s">
        <v>230</v>
      </c>
      <c r="AQ205" t="s">
        <v>231</v>
      </c>
      <c r="AT205" t="s">
        <v>232</v>
      </c>
      <c r="AU205">
        <v>-99</v>
      </c>
      <c r="AV205" t="s">
        <v>45</v>
      </c>
      <c r="AW205">
        <v>-4898</v>
      </c>
      <c r="AX205">
        <v>42488217</v>
      </c>
      <c r="AY205" s="73">
        <v>45373.599305555559</v>
      </c>
      <c r="AZ205" t="s">
        <v>226</v>
      </c>
      <c r="BA205" t="s">
        <v>330</v>
      </c>
      <c r="BB205" t="s">
        <v>228</v>
      </c>
      <c r="BC205" t="s">
        <v>229</v>
      </c>
      <c r="BD205" t="s">
        <v>42</v>
      </c>
      <c r="BI205" t="s">
        <v>233</v>
      </c>
      <c r="BJ205" t="s">
        <v>0</v>
      </c>
      <c r="BK205">
        <v>42488202</v>
      </c>
      <c r="BN205" t="s">
        <v>45</v>
      </c>
      <c r="BR205">
        <v>-4898</v>
      </c>
      <c r="BS205">
        <v>42488217</v>
      </c>
      <c r="BT205" s="73">
        <v>45373.599305555559</v>
      </c>
      <c r="BU205" t="s">
        <v>226</v>
      </c>
      <c r="BV205" t="s">
        <v>330</v>
      </c>
      <c r="BW205" t="s">
        <v>228</v>
      </c>
      <c r="CH205" t="s">
        <v>229</v>
      </c>
      <c r="CI205" t="s">
        <v>42</v>
      </c>
      <c r="CJ205" t="s">
        <v>226</v>
      </c>
      <c r="CK205" t="s">
        <v>330</v>
      </c>
      <c r="CL205" t="s">
        <v>228</v>
      </c>
      <c r="CM205" t="s">
        <v>234</v>
      </c>
      <c r="CN205" t="s">
        <v>45</v>
      </c>
      <c r="CO205">
        <v>-4898</v>
      </c>
      <c r="CP205">
        <v>42488217</v>
      </c>
      <c r="CQ205" s="73">
        <v>45373.599305555559</v>
      </c>
      <c r="CR205" t="s">
        <v>229</v>
      </c>
      <c r="CS205" t="s">
        <v>42</v>
      </c>
      <c r="CU205" t="s">
        <v>225</v>
      </c>
    </row>
    <row r="206" spans="1:99">
      <c r="A206" t="s">
        <v>99</v>
      </c>
      <c r="B206" t="s">
        <v>98</v>
      </c>
      <c r="J206" t="s">
        <v>225</v>
      </c>
      <c r="K206" t="s">
        <v>225</v>
      </c>
      <c r="M206" s="73">
        <v>45373.599305555559</v>
      </c>
      <c r="N206">
        <v>42488216</v>
      </c>
      <c r="O206">
        <v>-244.9</v>
      </c>
      <c r="P206" t="s">
        <v>73</v>
      </c>
      <c r="Q206">
        <v>-244.9</v>
      </c>
      <c r="R206" t="s">
        <v>73</v>
      </c>
      <c r="U206" t="s">
        <v>226</v>
      </c>
      <c r="V206" t="s">
        <v>330</v>
      </c>
      <c r="W206" t="s">
        <v>228</v>
      </c>
      <c r="X206" t="s">
        <v>229</v>
      </c>
      <c r="Y206" t="s">
        <v>99</v>
      </c>
      <c r="AD206" t="s">
        <v>73</v>
      </c>
      <c r="AE206">
        <v>-244.9</v>
      </c>
      <c r="AF206">
        <v>42488216</v>
      </c>
      <c r="AG206" s="73">
        <v>45373.599305555559</v>
      </c>
      <c r="AH206" t="s">
        <v>226</v>
      </c>
      <c r="AI206" t="s">
        <v>330</v>
      </c>
      <c r="AJ206" t="s">
        <v>228</v>
      </c>
      <c r="AK206" t="s">
        <v>229</v>
      </c>
      <c r="AL206" t="s">
        <v>99</v>
      </c>
      <c r="AP206" t="s">
        <v>230</v>
      </c>
      <c r="AQ206" t="s">
        <v>231</v>
      </c>
      <c r="AT206" t="s">
        <v>232</v>
      </c>
      <c r="AU206">
        <v>-99</v>
      </c>
      <c r="AV206" t="s">
        <v>73</v>
      </c>
      <c r="AW206">
        <v>-244.9</v>
      </c>
      <c r="AX206">
        <v>42488216</v>
      </c>
      <c r="AY206" s="73">
        <v>45373.599305555559</v>
      </c>
      <c r="AZ206" t="s">
        <v>226</v>
      </c>
      <c r="BA206" t="s">
        <v>330</v>
      </c>
      <c r="BB206" t="s">
        <v>228</v>
      </c>
      <c r="BC206" t="s">
        <v>229</v>
      </c>
      <c r="BD206" t="s">
        <v>99</v>
      </c>
      <c r="BI206" t="s">
        <v>233</v>
      </c>
      <c r="BJ206" t="s">
        <v>0</v>
      </c>
      <c r="BK206">
        <v>42488202</v>
      </c>
      <c r="BN206" t="s">
        <v>73</v>
      </c>
      <c r="BR206">
        <v>-244.9</v>
      </c>
      <c r="BS206">
        <v>42488216</v>
      </c>
      <c r="BT206" s="73">
        <v>45373.599305555559</v>
      </c>
      <c r="BU206" t="s">
        <v>226</v>
      </c>
      <c r="BV206" t="s">
        <v>330</v>
      </c>
      <c r="BW206" t="s">
        <v>228</v>
      </c>
      <c r="CH206" t="s">
        <v>229</v>
      </c>
      <c r="CI206" t="s">
        <v>99</v>
      </c>
      <c r="CJ206" t="s">
        <v>226</v>
      </c>
      <c r="CK206" t="s">
        <v>330</v>
      </c>
      <c r="CL206" t="s">
        <v>228</v>
      </c>
      <c r="CM206" t="s">
        <v>234</v>
      </c>
      <c r="CN206" t="s">
        <v>73</v>
      </c>
      <c r="CO206">
        <v>-244.9</v>
      </c>
      <c r="CP206">
        <v>42488216</v>
      </c>
      <c r="CQ206" s="73">
        <v>45373.599305555559</v>
      </c>
      <c r="CR206" t="s">
        <v>229</v>
      </c>
      <c r="CS206" t="s">
        <v>99</v>
      </c>
      <c r="CU206" t="s">
        <v>225</v>
      </c>
    </row>
    <row r="207" spans="1:99">
      <c r="A207" t="s">
        <v>103</v>
      </c>
      <c r="B207" t="s">
        <v>98</v>
      </c>
      <c r="J207" t="s">
        <v>225</v>
      </c>
      <c r="K207" t="s">
        <v>225</v>
      </c>
      <c r="M207" s="73">
        <v>45373.599305555559</v>
      </c>
      <c r="N207">
        <v>42488215</v>
      </c>
      <c r="O207">
        <v>4898</v>
      </c>
      <c r="P207" t="s">
        <v>104</v>
      </c>
      <c r="Q207">
        <v>4898</v>
      </c>
      <c r="R207" t="s">
        <v>104</v>
      </c>
      <c r="S207">
        <v>244.9</v>
      </c>
      <c r="T207" t="s">
        <v>73</v>
      </c>
      <c r="U207" t="s">
        <v>226</v>
      </c>
      <c r="V207" t="s">
        <v>330</v>
      </c>
      <c r="W207" t="s">
        <v>235</v>
      </c>
      <c r="X207" t="s">
        <v>229</v>
      </c>
      <c r="Y207" t="s">
        <v>103</v>
      </c>
      <c r="AD207" t="s">
        <v>104</v>
      </c>
      <c r="AE207">
        <v>4898</v>
      </c>
      <c r="AF207">
        <v>42488215</v>
      </c>
      <c r="AG207" s="73">
        <v>45373.599305555559</v>
      </c>
      <c r="AH207" t="s">
        <v>226</v>
      </c>
      <c r="AI207" t="s">
        <v>330</v>
      </c>
      <c r="AJ207" t="s">
        <v>235</v>
      </c>
      <c r="AK207" t="s">
        <v>229</v>
      </c>
      <c r="AL207" t="s">
        <v>103</v>
      </c>
      <c r="AP207" t="s">
        <v>230</v>
      </c>
      <c r="AQ207" t="s">
        <v>231</v>
      </c>
      <c r="AT207" t="s">
        <v>232</v>
      </c>
      <c r="AU207">
        <v>-99</v>
      </c>
      <c r="AV207" t="s">
        <v>104</v>
      </c>
      <c r="AW207">
        <v>4898</v>
      </c>
      <c r="AX207">
        <v>42488215</v>
      </c>
      <c r="AY207" s="73">
        <v>45373.599305555559</v>
      </c>
      <c r="AZ207" t="s">
        <v>226</v>
      </c>
      <c r="BA207" t="s">
        <v>330</v>
      </c>
      <c r="BB207" t="s">
        <v>235</v>
      </c>
      <c r="BC207" t="s">
        <v>229</v>
      </c>
      <c r="BD207" t="s">
        <v>103</v>
      </c>
      <c r="BI207" t="s">
        <v>233</v>
      </c>
      <c r="BJ207" t="s">
        <v>0</v>
      </c>
      <c r="BK207">
        <v>42488202</v>
      </c>
      <c r="BN207" t="s">
        <v>104</v>
      </c>
      <c r="BO207">
        <v>42488211</v>
      </c>
      <c r="BR207">
        <v>4898</v>
      </c>
      <c r="BS207">
        <v>42488215</v>
      </c>
      <c r="BT207" s="73">
        <v>45373.599305555559</v>
      </c>
      <c r="BU207" t="s">
        <v>226</v>
      </c>
      <c r="BV207" t="s">
        <v>330</v>
      </c>
      <c r="BW207" t="s">
        <v>235</v>
      </c>
      <c r="CH207" t="s">
        <v>229</v>
      </c>
      <c r="CI207" t="s">
        <v>103</v>
      </c>
      <c r="CJ207" t="s">
        <v>226</v>
      </c>
      <c r="CK207" t="s">
        <v>330</v>
      </c>
      <c r="CL207" t="s">
        <v>235</v>
      </c>
      <c r="CM207" t="s">
        <v>236</v>
      </c>
      <c r="CN207" t="s">
        <v>104</v>
      </c>
      <c r="CO207">
        <v>4898</v>
      </c>
      <c r="CP207">
        <v>42488215</v>
      </c>
      <c r="CQ207" s="73">
        <v>45373.599305555559</v>
      </c>
      <c r="CR207" t="s">
        <v>229</v>
      </c>
      <c r="CS207" t="s">
        <v>103</v>
      </c>
      <c r="CU207" t="s">
        <v>225</v>
      </c>
    </row>
    <row r="208" spans="1:99">
      <c r="A208" t="s">
        <v>42</v>
      </c>
      <c r="B208" t="s">
        <v>92</v>
      </c>
      <c r="J208" t="s">
        <v>225</v>
      </c>
      <c r="K208" t="s">
        <v>225</v>
      </c>
      <c r="M208" s="73">
        <v>45373.597916666666</v>
      </c>
      <c r="N208">
        <v>42488178</v>
      </c>
      <c r="O208">
        <v>-4441</v>
      </c>
      <c r="P208" t="s">
        <v>45</v>
      </c>
      <c r="Q208">
        <v>-4441</v>
      </c>
      <c r="R208" t="s">
        <v>45</v>
      </c>
      <c r="U208" t="s">
        <v>226</v>
      </c>
      <c r="V208" t="s">
        <v>331</v>
      </c>
      <c r="W208" t="s">
        <v>228</v>
      </c>
      <c r="X208" t="s">
        <v>229</v>
      </c>
      <c r="Y208" t="s">
        <v>42</v>
      </c>
      <c r="AD208" t="s">
        <v>45</v>
      </c>
      <c r="AE208">
        <v>-4441</v>
      </c>
      <c r="AF208">
        <v>42488178</v>
      </c>
      <c r="AG208" s="73">
        <v>45373.597916666666</v>
      </c>
      <c r="AH208" t="s">
        <v>226</v>
      </c>
      <c r="AI208" t="s">
        <v>331</v>
      </c>
      <c r="AJ208" t="s">
        <v>228</v>
      </c>
      <c r="AK208" t="s">
        <v>229</v>
      </c>
      <c r="AL208" t="s">
        <v>42</v>
      </c>
      <c r="AP208" t="s">
        <v>230</v>
      </c>
      <c r="AQ208" t="s">
        <v>231</v>
      </c>
      <c r="AT208" t="s">
        <v>232</v>
      </c>
      <c r="AU208">
        <v>-99</v>
      </c>
      <c r="AV208" t="s">
        <v>45</v>
      </c>
      <c r="AW208">
        <v>-4441</v>
      </c>
      <c r="AX208">
        <v>42488178</v>
      </c>
      <c r="AY208" s="73">
        <v>45373.597916666666</v>
      </c>
      <c r="AZ208" t="s">
        <v>226</v>
      </c>
      <c r="BA208" t="s">
        <v>331</v>
      </c>
      <c r="BB208" t="s">
        <v>228</v>
      </c>
      <c r="BC208" t="s">
        <v>229</v>
      </c>
      <c r="BD208" t="s">
        <v>42</v>
      </c>
      <c r="BI208" t="s">
        <v>233</v>
      </c>
      <c r="BJ208" t="s">
        <v>0</v>
      </c>
      <c r="BK208">
        <v>42488162</v>
      </c>
      <c r="BN208" t="s">
        <v>45</v>
      </c>
      <c r="BR208">
        <v>-4441</v>
      </c>
      <c r="BS208">
        <v>42488178</v>
      </c>
      <c r="BT208" s="73">
        <v>45373.597916666666</v>
      </c>
      <c r="BU208" t="s">
        <v>226</v>
      </c>
      <c r="BV208" t="s">
        <v>331</v>
      </c>
      <c r="BW208" t="s">
        <v>228</v>
      </c>
      <c r="CH208" t="s">
        <v>229</v>
      </c>
      <c r="CI208" t="s">
        <v>42</v>
      </c>
      <c r="CJ208" t="s">
        <v>226</v>
      </c>
      <c r="CK208" t="s">
        <v>331</v>
      </c>
      <c r="CL208" t="s">
        <v>228</v>
      </c>
      <c r="CM208" t="s">
        <v>234</v>
      </c>
      <c r="CN208" t="s">
        <v>45</v>
      </c>
      <c r="CO208">
        <v>-4441</v>
      </c>
      <c r="CP208">
        <v>42488178</v>
      </c>
      <c r="CQ208" s="73">
        <v>45373.597916666666</v>
      </c>
      <c r="CR208" t="s">
        <v>229</v>
      </c>
      <c r="CS208" t="s">
        <v>42</v>
      </c>
      <c r="CU208" t="s">
        <v>225</v>
      </c>
    </row>
    <row r="209" spans="1:99">
      <c r="A209" t="s">
        <v>99</v>
      </c>
      <c r="B209" t="s">
        <v>98</v>
      </c>
      <c r="J209" t="s">
        <v>225</v>
      </c>
      <c r="K209" t="s">
        <v>225</v>
      </c>
      <c r="M209" s="73">
        <v>45373.597916666666</v>
      </c>
      <c r="N209">
        <v>42488177</v>
      </c>
      <c r="O209">
        <v>-222</v>
      </c>
      <c r="P209" t="s">
        <v>73</v>
      </c>
      <c r="Q209">
        <v>-222</v>
      </c>
      <c r="R209" t="s">
        <v>73</v>
      </c>
      <c r="U209" t="s">
        <v>226</v>
      </c>
      <c r="V209" t="s">
        <v>331</v>
      </c>
      <c r="W209" t="s">
        <v>228</v>
      </c>
      <c r="X209" t="s">
        <v>229</v>
      </c>
      <c r="Y209" t="s">
        <v>99</v>
      </c>
      <c r="AD209" t="s">
        <v>73</v>
      </c>
      <c r="AE209">
        <v>-222</v>
      </c>
      <c r="AF209">
        <v>42488177</v>
      </c>
      <c r="AG209" s="73">
        <v>45373.597916666666</v>
      </c>
      <c r="AH209" t="s">
        <v>226</v>
      </c>
      <c r="AI209" t="s">
        <v>331</v>
      </c>
      <c r="AJ209" t="s">
        <v>228</v>
      </c>
      <c r="AK209" t="s">
        <v>229</v>
      </c>
      <c r="AL209" t="s">
        <v>99</v>
      </c>
      <c r="AP209" t="s">
        <v>230</v>
      </c>
      <c r="AQ209" t="s">
        <v>231</v>
      </c>
      <c r="AT209" t="s">
        <v>232</v>
      </c>
      <c r="AU209">
        <v>-99</v>
      </c>
      <c r="AV209" t="s">
        <v>73</v>
      </c>
      <c r="AW209">
        <v>-222</v>
      </c>
      <c r="AX209">
        <v>42488177</v>
      </c>
      <c r="AY209" s="73">
        <v>45373.597916666666</v>
      </c>
      <c r="AZ209" t="s">
        <v>226</v>
      </c>
      <c r="BA209" t="s">
        <v>331</v>
      </c>
      <c r="BB209" t="s">
        <v>228</v>
      </c>
      <c r="BC209" t="s">
        <v>229</v>
      </c>
      <c r="BD209" t="s">
        <v>99</v>
      </c>
      <c r="BI209" t="s">
        <v>233</v>
      </c>
      <c r="BJ209" t="s">
        <v>0</v>
      </c>
      <c r="BK209">
        <v>42488162</v>
      </c>
      <c r="BN209" t="s">
        <v>73</v>
      </c>
      <c r="BR209">
        <v>-222</v>
      </c>
      <c r="BS209">
        <v>42488177</v>
      </c>
      <c r="BT209" s="73">
        <v>45373.597916666666</v>
      </c>
      <c r="BU209" t="s">
        <v>226</v>
      </c>
      <c r="BV209" t="s">
        <v>331</v>
      </c>
      <c r="BW209" t="s">
        <v>228</v>
      </c>
      <c r="CH209" t="s">
        <v>229</v>
      </c>
      <c r="CI209" t="s">
        <v>99</v>
      </c>
      <c r="CJ209" t="s">
        <v>226</v>
      </c>
      <c r="CK209" t="s">
        <v>331</v>
      </c>
      <c r="CL209" t="s">
        <v>228</v>
      </c>
      <c r="CM209" t="s">
        <v>234</v>
      </c>
      <c r="CN209" t="s">
        <v>73</v>
      </c>
      <c r="CO209">
        <v>-222</v>
      </c>
      <c r="CP209">
        <v>42488177</v>
      </c>
      <c r="CQ209" s="73">
        <v>45373.597916666666</v>
      </c>
      <c r="CR209" t="s">
        <v>229</v>
      </c>
      <c r="CS209" t="s">
        <v>99</v>
      </c>
      <c r="CU209" t="s">
        <v>225</v>
      </c>
    </row>
    <row r="210" spans="1:99">
      <c r="A210" t="s">
        <v>103</v>
      </c>
      <c r="B210" t="s">
        <v>98</v>
      </c>
      <c r="J210" t="s">
        <v>225</v>
      </c>
      <c r="K210" t="s">
        <v>225</v>
      </c>
      <c r="M210" s="73">
        <v>45373.597916666666</v>
      </c>
      <c r="N210">
        <v>42488176</v>
      </c>
      <c r="O210">
        <v>4440</v>
      </c>
      <c r="P210" t="s">
        <v>104</v>
      </c>
      <c r="Q210">
        <v>4440</v>
      </c>
      <c r="R210" t="s">
        <v>104</v>
      </c>
      <c r="S210">
        <v>222</v>
      </c>
      <c r="T210" t="s">
        <v>73</v>
      </c>
      <c r="U210" t="s">
        <v>226</v>
      </c>
      <c r="V210" t="s">
        <v>331</v>
      </c>
      <c r="W210" t="s">
        <v>235</v>
      </c>
      <c r="X210" t="s">
        <v>229</v>
      </c>
      <c r="Y210" t="s">
        <v>103</v>
      </c>
      <c r="AD210" t="s">
        <v>104</v>
      </c>
      <c r="AE210">
        <v>4440</v>
      </c>
      <c r="AF210">
        <v>42488176</v>
      </c>
      <c r="AG210" s="73">
        <v>45373.597916666666</v>
      </c>
      <c r="AH210" t="s">
        <v>226</v>
      </c>
      <c r="AI210" t="s">
        <v>331</v>
      </c>
      <c r="AJ210" t="s">
        <v>235</v>
      </c>
      <c r="AK210" t="s">
        <v>229</v>
      </c>
      <c r="AL210" t="s">
        <v>103</v>
      </c>
      <c r="AP210" t="s">
        <v>230</v>
      </c>
      <c r="AQ210" t="s">
        <v>231</v>
      </c>
      <c r="AT210" t="s">
        <v>232</v>
      </c>
      <c r="AU210">
        <v>-99</v>
      </c>
      <c r="AV210" t="s">
        <v>104</v>
      </c>
      <c r="AW210">
        <v>4440</v>
      </c>
      <c r="AX210">
        <v>42488176</v>
      </c>
      <c r="AY210" s="73">
        <v>45373.597916666666</v>
      </c>
      <c r="AZ210" t="s">
        <v>226</v>
      </c>
      <c r="BA210" t="s">
        <v>331</v>
      </c>
      <c r="BB210" t="s">
        <v>235</v>
      </c>
      <c r="BC210" t="s">
        <v>229</v>
      </c>
      <c r="BD210" t="s">
        <v>103</v>
      </c>
      <c r="BI210" t="s">
        <v>233</v>
      </c>
      <c r="BJ210" t="s">
        <v>0</v>
      </c>
      <c r="BK210">
        <v>42488162</v>
      </c>
      <c r="BN210" t="s">
        <v>104</v>
      </c>
      <c r="BO210">
        <v>42488168</v>
      </c>
      <c r="BR210">
        <v>4440</v>
      </c>
      <c r="BS210">
        <v>42488176</v>
      </c>
      <c r="BT210" s="73">
        <v>45373.597916666666</v>
      </c>
      <c r="BU210" t="s">
        <v>226</v>
      </c>
      <c r="BV210" t="s">
        <v>331</v>
      </c>
      <c r="BW210" t="s">
        <v>235</v>
      </c>
      <c r="CH210" t="s">
        <v>229</v>
      </c>
      <c r="CI210" t="s">
        <v>103</v>
      </c>
      <c r="CJ210" t="s">
        <v>226</v>
      </c>
      <c r="CK210" t="s">
        <v>331</v>
      </c>
      <c r="CL210" t="s">
        <v>235</v>
      </c>
      <c r="CM210" t="s">
        <v>236</v>
      </c>
      <c r="CN210" t="s">
        <v>104</v>
      </c>
      <c r="CO210">
        <v>4440</v>
      </c>
      <c r="CP210">
        <v>42488176</v>
      </c>
      <c r="CQ210" s="73">
        <v>45373.597916666666</v>
      </c>
      <c r="CR210" t="s">
        <v>229</v>
      </c>
      <c r="CS210" t="s">
        <v>103</v>
      </c>
      <c r="CU210" t="s">
        <v>225</v>
      </c>
    </row>
    <row r="211" spans="1:99">
      <c r="A211" t="s">
        <v>111</v>
      </c>
      <c r="B211" t="s">
        <v>77</v>
      </c>
      <c r="J211" t="s">
        <v>225</v>
      </c>
      <c r="K211" t="s">
        <v>225</v>
      </c>
      <c r="M211" s="73">
        <v>45373.597916666666</v>
      </c>
      <c r="N211">
        <v>42488175</v>
      </c>
      <c r="O211">
        <v>1</v>
      </c>
      <c r="P211" t="s">
        <v>45</v>
      </c>
      <c r="Q211">
        <v>1</v>
      </c>
      <c r="R211" t="s">
        <v>45</v>
      </c>
      <c r="U211" t="s">
        <v>226</v>
      </c>
      <c r="V211" t="s">
        <v>331</v>
      </c>
      <c r="W211" t="s">
        <v>237</v>
      </c>
      <c r="X211" t="s">
        <v>229</v>
      </c>
      <c r="Y211" t="s">
        <v>111</v>
      </c>
      <c r="AD211" t="s">
        <v>45</v>
      </c>
      <c r="AE211">
        <v>1</v>
      </c>
      <c r="AF211">
        <v>42488175</v>
      </c>
      <c r="AG211" s="73">
        <v>45373.597916666666</v>
      </c>
      <c r="AH211" t="s">
        <v>226</v>
      </c>
      <c r="AI211" t="s">
        <v>331</v>
      </c>
      <c r="AJ211" t="s">
        <v>237</v>
      </c>
      <c r="AK211" t="s">
        <v>229</v>
      </c>
      <c r="AL211" t="s">
        <v>111</v>
      </c>
      <c r="AP211" t="s">
        <v>230</v>
      </c>
      <c r="AQ211" t="s">
        <v>231</v>
      </c>
      <c r="AT211" t="s">
        <v>232</v>
      </c>
      <c r="AU211">
        <v>-99</v>
      </c>
      <c r="AV211" t="s">
        <v>45</v>
      </c>
      <c r="AW211">
        <v>1</v>
      </c>
      <c r="AX211">
        <v>42488175</v>
      </c>
      <c r="AY211" s="73">
        <v>45373.597916666666</v>
      </c>
      <c r="AZ211" t="s">
        <v>226</v>
      </c>
      <c r="BA211" t="s">
        <v>331</v>
      </c>
      <c r="BB211" t="s">
        <v>237</v>
      </c>
      <c r="BC211" t="s">
        <v>229</v>
      </c>
      <c r="BD211" t="s">
        <v>111</v>
      </c>
      <c r="BI211" t="s">
        <v>233</v>
      </c>
      <c r="BJ211" t="s">
        <v>0</v>
      </c>
      <c r="BK211">
        <v>42488162</v>
      </c>
      <c r="BN211" t="s">
        <v>45</v>
      </c>
      <c r="BO211">
        <v>42488170</v>
      </c>
      <c r="BR211">
        <v>1</v>
      </c>
      <c r="BS211">
        <v>42488175</v>
      </c>
      <c r="BT211" s="73">
        <v>45373.597916666666</v>
      </c>
      <c r="BU211" t="s">
        <v>226</v>
      </c>
      <c r="BV211" t="s">
        <v>331</v>
      </c>
      <c r="BW211" t="s">
        <v>237</v>
      </c>
      <c r="CH211" t="s">
        <v>229</v>
      </c>
      <c r="CI211" t="s">
        <v>111</v>
      </c>
      <c r="CJ211" t="s">
        <v>226</v>
      </c>
      <c r="CK211" t="s">
        <v>331</v>
      </c>
      <c r="CL211" t="s">
        <v>237</v>
      </c>
      <c r="CM211" t="s">
        <v>236</v>
      </c>
      <c r="CN211" t="s">
        <v>45</v>
      </c>
      <c r="CO211">
        <v>1</v>
      </c>
      <c r="CP211">
        <v>42488175</v>
      </c>
      <c r="CQ211" s="73">
        <v>45373.597916666666</v>
      </c>
      <c r="CR211" t="s">
        <v>229</v>
      </c>
      <c r="CS211" t="s">
        <v>111</v>
      </c>
      <c r="CU211" t="s">
        <v>225</v>
      </c>
    </row>
    <row r="212" spans="1:99">
      <c r="A212" t="s">
        <v>52</v>
      </c>
      <c r="B212" t="s">
        <v>92</v>
      </c>
      <c r="J212" t="s">
        <v>225</v>
      </c>
      <c r="K212" t="s">
        <v>225</v>
      </c>
      <c r="M212" s="73">
        <v>45373.595833333333</v>
      </c>
      <c r="N212">
        <v>42488150</v>
      </c>
      <c r="O212">
        <v>-1564</v>
      </c>
      <c r="P212" t="s">
        <v>45</v>
      </c>
      <c r="Q212">
        <v>-1564</v>
      </c>
      <c r="R212" t="s">
        <v>45</v>
      </c>
      <c r="U212" t="s">
        <v>226</v>
      </c>
      <c r="V212" t="s">
        <v>332</v>
      </c>
      <c r="W212" t="s">
        <v>228</v>
      </c>
      <c r="X212" t="s">
        <v>229</v>
      </c>
      <c r="Y212" t="s">
        <v>52</v>
      </c>
      <c r="AD212" t="s">
        <v>45</v>
      </c>
      <c r="AE212">
        <v>-1564</v>
      </c>
      <c r="AF212">
        <v>42488150</v>
      </c>
      <c r="AG212" s="73">
        <v>45373.595833333333</v>
      </c>
      <c r="AH212" t="s">
        <v>226</v>
      </c>
      <c r="AI212" t="s">
        <v>332</v>
      </c>
      <c r="AJ212" t="s">
        <v>228</v>
      </c>
      <c r="AK212" t="s">
        <v>229</v>
      </c>
      <c r="AL212" t="s">
        <v>52</v>
      </c>
      <c r="AP212" t="s">
        <v>230</v>
      </c>
      <c r="AQ212" t="s">
        <v>231</v>
      </c>
      <c r="AT212" t="s">
        <v>232</v>
      </c>
      <c r="AU212">
        <v>-99</v>
      </c>
      <c r="AV212" t="s">
        <v>45</v>
      </c>
      <c r="AW212">
        <v>-1564</v>
      </c>
      <c r="AX212">
        <v>42488150</v>
      </c>
      <c r="AY212" s="73">
        <v>45373.595833333333</v>
      </c>
      <c r="AZ212" t="s">
        <v>226</v>
      </c>
      <c r="BA212" t="s">
        <v>332</v>
      </c>
      <c r="BB212" t="s">
        <v>228</v>
      </c>
      <c r="BC212" t="s">
        <v>229</v>
      </c>
      <c r="BD212" t="s">
        <v>52</v>
      </c>
      <c r="BI212" t="s">
        <v>233</v>
      </c>
      <c r="BJ212" t="s">
        <v>0</v>
      </c>
      <c r="BK212">
        <v>42488134</v>
      </c>
      <c r="BN212" t="s">
        <v>45</v>
      </c>
      <c r="BR212">
        <v>-1564</v>
      </c>
      <c r="BS212">
        <v>42488150</v>
      </c>
      <c r="BT212" s="73">
        <v>45373.595833333333</v>
      </c>
      <c r="BU212" t="s">
        <v>226</v>
      </c>
      <c r="BV212" t="s">
        <v>332</v>
      </c>
      <c r="BW212" t="s">
        <v>228</v>
      </c>
      <c r="CH212" t="s">
        <v>229</v>
      </c>
      <c r="CI212" t="s">
        <v>52</v>
      </c>
      <c r="CJ212" t="s">
        <v>226</v>
      </c>
      <c r="CK212" t="s">
        <v>332</v>
      </c>
      <c r="CL212" t="s">
        <v>228</v>
      </c>
      <c r="CM212" t="s">
        <v>234</v>
      </c>
      <c r="CN212" t="s">
        <v>45</v>
      </c>
      <c r="CO212">
        <v>-1564</v>
      </c>
      <c r="CP212">
        <v>42488150</v>
      </c>
      <c r="CQ212" s="73">
        <v>45373.595833333333</v>
      </c>
      <c r="CR212" t="s">
        <v>229</v>
      </c>
      <c r="CS212" t="s">
        <v>52</v>
      </c>
      <c r="CU212" t="s">
        <v>225</v>
      </c>
    </row>
    <row r="213" spans="1:99">
      <c r="A213" t="s">
        <v>101</v>
      </c>
      <c r="B213" t="s">
        <v>98</v>
      </c>
      <c r="J213" t="s">
        <v>225</v>
      </c>
      <c r="K213" t="s">
        <v>225</v>
      </c>
      <c r="M213" s="73">
        <v>45373.595833333333</v>
      </c>
      <c r="N213">
        <v>42488149</v>
      </c>
      <c r="O213">
        <v>-78</v>
      </c>
      <c r="P213" t="s">
        <v>73</v>
      </c>
      <c r="Q213">
        <v>-78</v>
      </c>
      <c r="R213" t="s">
        <v>73</v>
      </c>
      <c r="U213" t="s">
        <v>226</v>
      </c>
      <c r="V213" t="s">
        <v>332</v>
      </c>
      <c r="W213" t="s">
        <v>228</v>
      </c>
      <c r="X213" t="s">
        <v>229</v>
      </c>
      <c r="Y213" t="s">
        <v>101</v>
      </c>
      <c r="AD213" t="s">
        <v>73</v>
      </c>
      <c r="AE213">
        <v>-78</v>
      </c>
      <c r="AF213">
        <v>42488149</v>
      </c>
      <c r="AG213" s="73">
        <v>45373.595833333333</v>
      </c>
      <c r="AH213" t="s">
        <v>226</v>
      </c>
      <c r="AI213" t="s">
        <v>332</v>
      </c>
      <c r="AJ213" t="s">
        <v>228</v>
      </c>
      <c r="AK213" t="s">
        <v>229</v>
      </c>
      <c r="AL213" t="s">
        <v>101</v>
      </c>
      <c r="AP213" t="s">
        <v>230</v>
      </c>
      <c r="AQ213" t="s">
        <v>231</v>
      </c>
      <c r="AT213" t="s">
        <v>232</v>
      </c>
      <c r="AU213">
        <v>-99</v>
      </c>
      <c r="AV213" t="s">
        <v>73</v>
      </c>
      <c r="AW213">
        <v>-78</v>
      </c>
      <c r="AX213">
        <v>42488149</v>
      </c>
      <c r="AY213" s="73">
        <v>45373.595833333333</v>
      </c>
      <c r="AZ213" t="s">
        <v>226</v>
      </c>
      <c r="BA213" t="s">
        <v>332</v>
      </c>
      <c r="BB213" t="s">
        <v>228</v>
      </c>
      <c r="BC213" t="s">
        <v>229</v>
      </c>
      <c r="BD213" t="s">
        <v>101</v>
      </c>
      <c r="BI213" t="s">
        <v>233</v>
      </c>
      <c r="BJ213" t="s">
        <v>0</v>
      </c>
      <c r="BK213">
        <v>42488134</v>
      </c>
      <c r="BN213" t="s">
        <v>73</v>
      </c>
      <c r="BR213">
        <v>-78</v>
      </c>
      <c r="BS213">
        <v>42488149</v>
      </c>
      <c r="BT213" s="73">
        <v>45373.595833333333</v>
      </c>
      <c r="BU213" t="s">
        <v>226</v>
      </c>
      <c r="BV213" t="s">
        <v>332</v>
      </c>
      <c r="BW213" t="s">
        <v>228</v>
      </c>
      <c r="CH213" t="s">
        <v>229</v>
      </c>
      <c r="CI213" t="s">
        <v>101</v>
      </c>
      <c r="CJ213" t="s">
        <v>226</v>
      </c>
      <c r="CK213" t="s">
        <v>332</v>
      </c>
      <c r="CL213" t="s">
        <v>228</v>
      </c>
      <c r="CM213" t="s">
        <v>234</v>
      </c>
      <c r="CN213" t="s">
        <v>73</v>
      </c>
      <c r="CO213">
        <v>-78</v>
      </c>
      <c r="CP213">
        <v>42488149</v>
      </c>
      <c r="CQ213" s="73">
        <v>45373.595833333333</v>
      </c>
      <c r="CR213" t="s">
        <v>229</v>
      </c>
      <c r="CS213" t="s">
        <v>101</v>
      </c>
      <c r="CU213" t="s">
        <v>225</v>
      </c>
    </row>
    <row r="214" spans="1:99">
      <c r="A214" t="s">
        <v>107</v>
      </c>
      <c r="B214" t="s">
        <v>98</v>
      </c>
      <c r="J214" t="s">
        <v>225</v>
      </c>
      <c r="K214" t="s">
        <v>225</v>
      </c>
      <c r="M214" s="73">
        <v>45373.595833333333</v>
      </c>
      <c r="N214">
        <v>42488148</v>
      </c>
      <c r="O214">
        <v>1560</v>
      </c>
      <c r="P214" t="s">
        <v>104</v>
      </c>
      <c r="Q214">
        <v>1560</v>
      </c>
      <c r="R214" t="s">
        <v>104</v>
      </c>
      <c r="S214">
        <v>78</v>
      </c>
      <c r="T214" t="s">
        <v>73</v>
      </c>
      <c r="U214" t="s">
        <v>226</v>
      </c>
      <c r="V214" t="s">
        <v>332</v>
      </c>
      <c r="W214" t="s">
        <v>235</v>
      </c>
      <c r="X214" t="s">
        <v>229</v>
      </c>
      <c r="Y214" t="s">
        <v>107</v>
      </c>
      <c r="AD214" t="s">
        <v>104</v>
      </c>
      <c r="AE214">
        <v>1560</v>
      </c>
      <c r="AF214">
        <v>42488148</v>
      </c>
      <c r="AG214" s="73">
        <v>45373.595833333333</v>
      </c>
      <c r="AH214" t="s">
        <v>226</v>
      </c>
      <c r="AI214" t="s">
        <v>332</v>
      </c>
      <c r="AJ214" t="s">
        <v>235</v>
      </c>
      <c r="AK214" t="s">
        <v>229</v>
      </c>
      <c r="AL214" t="s">
        <v>107</v>
      </c>
      <c r="AP214" t="s">
        <v>230</v>
      </c>
      <c r="AQ214" t="s">
        <v>231</v>
      </c>
      <c r="AT214" t="s">
        <v>232</v>
      </c>
      <c r="AU214">
        <v>-99</v>
      </c>
      <c r="AV214" t="s">
        <v>104</v>
      </c>
      <c r="AW214">
        <v>1560</v>
      </c>
      <c r="AX214">
        <v>42488148</v>
      </c>
      <c r="AY214" s="73">
        <v>45373.595833333333</v>
      </c>
      <c r="AZ214" t="s">
        <v>226</v>
      </c>
      <c r="BA214" t="s">
        <v>332</v>
      </c>
      <c r="BB214" t="s">
        <v>235</v>
      </c>
      <c r="BC214" t="s">
        <v>229</v>
      </c>
      <c r="BD214" t="s">
        <v>107</v>
      </c>
      <c r="BI214" t="s">
        <v>233</v>
      </c>
      <c r="BJ214" t="s">
        <v>0</v>
      </c>
      <c r="BK214">
        <v>42488134</v>
      </c>
      <c r="BN214" t="s">
        <v>104</v>
      </c>
      <c r="BO214">
        <v>42488140</v>
      </c>
      <c r="BR214">
        <v>1560</v>
      </c>
      <c r="BS214">
        <v>42488148</v>
      </c>
      <c r="BT214" s="73">
        <v>45373.595833333333</v>
      </c>
      <c r="BU214" t="s">
        <v>226</v>
      </c>
      <c r="BV214" t="s">
        <v>332</v>
      </c>
      <c r="BW214" t="s">
        <v>235</v>
      </c>
      <c r="CH214" t="s">
        <v>229</v>
      </c>
      <c r="CI214" t="s">
        <v>107</v>
      </c>
      <c r="CJ214" t="s">
        <v>226</v>
      </c>
      <c r="CK214" t="s">
        <v>332</v>
      </c>
      <c r="CL214" t="s">
        <v>235</v>
      </c>
      <c r="CM214" t="s">
        <v>236</v>
      </c>
      <c r="CN214" t="s">
        <v>104</v>
      </c>
      <c r="CO214">
        <v>1560</v>
      </c>
      <c r="CP214">
        <v>42488148</v>
      </c>
      <c r="CQ214" s="73">
        <v>45373.595833333333</v>
      </c>
      <c r="CR214" t="s">
        <v>229</v>
      </c>
      <c r="CS214" t="s">
        <v>107</v>
      </c>
      <c r="CU214" t="s">
        <v>225</v>
      </c>
    </row>
    <row r="215" spans="1:99">
      <c r="A215" t="s">
        <v>111</v>
      </c>
      <c r="B215" t="s">
        <v>77</v>
      </c>
      <c r="J215" t="s">
        <v>225</v>
      </c>
      <c r="K215" t="s">
        <v>225</v>
      </c>
      <c r="M215" s="73">
        <v>45373.595833333333</v>
      </c>
      <c r="N215">
        <v>42488147</v>
      </c>
      <c r="O215">
        <v>4</v>
      </c>
      <c r="P215" t="s">
        <v>45</v>
      </c>
      <c r="Q215">
        <v>4</v>
      </c>
      <c r="R215" t="s">
        <v>45</v>
      </c>
      <c r="U215" t="s">
        <v>226</v>
      </c>
      <c r="V215" t="s">
        <v>332</v>
      </c>
      <c r="W215" t="s">
        <v>237</v>
      </c>
      <c r="X215" t="s">
        <v>229</v>
      </c>
      <c r="Y215" t="s">
        <v>111</v>
      </c>
      <c r="AD215" t="s">
        <v>45</v>
      </c>
      <c r="AE215">
        <v>4</v>
      </c>
      <c r="AF215">
        <v>42488147</v>
      </c>
      <c r="AG215" s="73">
        <v>45373.595833333333</v>
      </c>
      <c r="AH215" t="s">
        <v>226</v>
      </c>
      <c r="AI215" t="s">
        <v>332</v>
      </c>
      <c r="AJ215" t="s">
        <v>237</v>
      </c>
      <c r="AK215" t="s">
        <v>229</v>
      </c>
      <c r="AL215" t="s">
        <v>111</v>
      </c>
      <c r="AP215" t="s">
        <v>230</v>
      </c>
      <c r="AQ215" t="s">
        <v>231</v>
      </c>
      <c r="AT215" t="s">
        <v>232</v>
      </c>
      <c r="AU215">
        <v>-99</v>
      </c>
      <c r="AV215" t="s">
        <v>45</v>
      </c>
      <c r="AW215">
        <v>4</v>
      </c>
      <c r="AX215">
        <v>42488147</v>
      </c>
      <c r="AY215" s="73">
        <v>45373.595833333333</v>
      </c>
      <c r="AZ215" t="s">
        <v>226</v>
      </c>
      <c r="BA215" t="s">
        <v>332</v>
      </c>
      <c r="BB215" t="s">
        <v>237</v>
      </c>
      <c r="BC215" t="s">
        <v>229</v>
      </c>
      <c r="BD215" t="s">
        <v>111</v>
      </c>
      <c r="BI215" t="s">
        <v>233</v>
      </c>
      <c r="BJ215" t="s">
        <v>0</v>
      </c>
      <c r="BK215">
        <v>42488134</v>
      </c>
      <c r="BN215" t="s">
        <v>45</v>
      </c>
      <c r="BO215">
        <v>42488142</v>
      </c>
      <c r="BR215">
        <v>4</v>
      </c>
      <c r="BS215">
        <v>42488147</v>
      </c>
      <c r="BT215" s="73">
        <v>45373.595833333333</v>
      </c>
      <c r="BU215" t="s">
        <v>226</v>
      </c>
      <c r="BV215" t="s">
        <v>332</v>
      </c>
      <c r="BW215" t="s">
        <v>237</v>
      </c>
      <c r="CH215" t="s">
        <v>229</v>
      </c>
      <c r="CI215" t="s">
        <v>111</v>
      </c>
      <c r="CJ215" t="s">
        <v>226</v>
      </c>
      <c r="CK215" t="s">
        <v>332</v>
      </c>
      <c r="CL215" t="s">
        <v>237</v>
      </c>
      <c r="CM215" t="s">
        <v>236</v>
      </c>
      <c r="CN215" t="s">
        <v>45</v>
      </c>
      <c r="CO215">
        <v>4</v>
      </c>
      <c r="CP215">
        <v>42488147</v>
      </c>
      <c r="CQ215" s="73">
        <v>45373.595833333333</v>
      </c>
      <c r="CR215" t="s">
        <v>229</v>
      </c>
      <c r="CS215" t="s">
        <v>111</v>
      </c>
      <c r="CU215" t="s">
        <v>225</v>
      </c>
    </row>
    <row r="216" spans="1:99">
      <c r="A216" t="s">
        <v>46</v>
      </c>
      <c r="B216" t="s">
        <v>92</v>
      </c>
      <c r="J216" t="s">
        <v>225</v>
      </c>
      <c r="K216" t="s">
        <v>225</v>
      </c>
      <c r="M216" s="73">
        <v>45373.583333333336</v>
      </c>
      <c r="N216">
        <v>42483949</v>
      </c>
      <c r="O216">
        <v>-50</v>
      </c>
      <c r="P216" t="s">
        <v>45</v>
      </c>
      <c r="Q216">
        <v>-50</v>
      </c>
      <c r="R216" t="s">
        <v>45</v>
      </c>
      <c r="U216" t="s">
        <v>226</v>
      </c>
      <c r="V216" t="s">
        <v>333</v>
      </c>
      <c r="W216" t="s">
        <v>228</v>
      </c>
      <c r="X216" t="s">
        <v>229</v>
      </c>
      <c r="Y216" t="s">
        <v>46</v>
      </c>
      <c r="AD216" t="s">
        <v>45</v>
      </c>
      <c r="AE216">
        <v>-50</v>
      </c>
      <c r="AF216">
        <v>42483949</v>
      </c>
      <c r="AG216" s="73">
        <v>45373.583333333336</v>
      </c>
      <c r="AH216" t="s">
        <v>226</v>
      </c>
      <c r="AI216" t="s">
        <v>333</v>
      </c>
      <c r="AJ216" t="s">
        <v>228</v>
      </c>
      <c r="AK216" t="s">
        <v>229</v>
      </c>
      <c r="AL216" t="s">
        <v>46</v>
      </c>
      <c r="AP216" t="s">
        <v>230</v>
      </c>
      <c r="AQ216" t="s">
        <v>231</v>
      </c>
      <c r="AT216" t="s">
        <v>232</v>
      </c>
      <c r="AU216">
        <v>-99</v>
      </c>
      <c r="AV216" t="s">
        <v>45</v>
      </c>
      <c r="AW216">
        <v>-50</v>
      </c>
      <c r="AX216">
        <v>42483949</v>
      </c>
      <c r="AY216" s="73">
        <v>45373.583333333336</v>
      </c>
      <c r="AZ216" t="s">
        <v>226</v>
      </c>
      <c r="BA216" t="s">
        <v>333</v>
      </c>
      <c r="BB216" t="s">
        <v>228</v>
      </c>
      <c r="BC216" t="s">
        <v>229</v>
      </c>
      <c r="BD216" t="s">
        <v>46</v>
      </c>
      <c r="BI216" t="s">
        <v>233</v>
      </c>
      <c r="BJ216" t="s">
        <v>0</v>
      </c>
      <c r="BK216">
        <v>42483934</v>
      </c>
      <c r="BN216" t="s">
        <v>45</v>
      </c>
      <c r="BR216">
        <v>-50</v>
      </c>
      <c r="BS216">
        <v>42483949</v>
      </c>
      <c r="BT216" s="73">
        <v>45373.583333333336</v>
      </c>
      <c r="BU216" t="s">
        <v>226</v>
      </c>
      <c r="BV216" t="s">
        <v>333</v>
      </c>
      <c r="BW216" t="s">
        <v>228</v>
      </c>
      <c r="CH216" t="s">
        <v>229</v>
      </c>
      <c r="CI216" t="s">
        <v>46</v>
      </c>
      <c r="CJ216" t="s">
        <v>226</v>
      </c>
      <c r="CK216" t="s">
        <v>333</v>
      </c>
      <c r="CL216" t="s">
        <v>228</v>
      </c>
      <c r="CM216" t="s">
        <v>234</v>
      </c>
      <c r="CN216" t="s">
        <v>45</v>
      </c>
      <c r="CO216">
        <v>-50</v>
      </c>
      <c r="CP216">
        <v>42483949</v>
      </c>
      <c r="CQ216" s="73">
        <v>45373.583333333336</v>
      </c>
      <c r="CR216" t="s">
        <v>229</v>
      </c>
      <c r="CS216" t="s">
        <v>46</v>
      </c>
      <c r="CU216" t="s">
        <v>225</v>
      </c>
    </row>
    <row r="217" spans="1:99">
      <c r="A217" t="s">
        <v>93</v>
      </c>
      <c r="B217" t="s">
        <v>98</v>
      </c>
      <c r="J217" t="s">
        <v>225</v>
      </c>
      <c r="K217" t="s">
        <v>225</v>
      </c>
      <c r="M217" s="73">
        <v>45373.583333333336</v>
      </c>
      <c r="N217">
        <v>42483948</v>
      </c>
      <c r="O217">
        <v>-2.5</v>
      </c>
      <c r="P217" t="s">
        <v>73</v>
      </c>
      <c r="Q217">
        <v>-2.5</v>
      </c>
      <c r="R217" t="s">
        <v>73</v>
      </c>
      <c r="U217" t="s">
        <v>226</v>
      </c>
      <c r="V217" t="s">
        <v>333</v>
      </c>
      <c r="W217" t="s">
        <v>228</v>
      </c>
      <c r="X217" t="s">
        <v>229</v>
      </c>
      <c r="Y217" t="s">
        <v>93</v>
      </c>
      <c r="AD217" t="s">
        <v>73</v>
      </c>
      <c r="AE217">
        <v>-2.5</v>
      </c>
      <c r="AF217">
        <v>42483948</v>
      </c>
      <c r="AG217" s="73">
        <v>45373.583333333336</v>
      </c>
      <c r="AH217" t="s">
        <v>226</v>
      </c>
      <c r="AI217" t="s">
        <v>333</v>
      </c>
      <c r="AJ217" t="s">
        <v>228</v>
      </c>
      <c r="AK217" t="s">
        <v>229</v>
      </c>
      <c r="AL217" t="s">
        <v>93</v>
      </c>
      <c r="AP217" t="s">
        <v>230</v>
      </c>
      <c r="AQ217" t="s">
        <v>231</v>
      </c>
      <c r="AT217" t="s">
        <v>232</v>
      </c>
      <c r="AU217">
        <v>-99</v>
      </c>
      <c r="AV217" t="s">
        <v>73</v>
      </c>
      <c r="AW217">
        <v>-2.5</v>
      </c>
      <c r="AX217">
        <v>42483948</v>
      </c>
      <c r="AY217" s="73">
        <v>45373.583333333336</v>
      </c>
      <c r="AZ217" t="s">
        <v>226</v>
      </c>
      <c r="BA217" t="s">
        <v>333</v>
      </c>
      <c r="BB217" t="s">
        <v>228</v>
      </c>
      <c r="BC217" t="s">
        <v>229</v>
      </c>
      <c r="BD217" t="s">
        <v>93</v>
      </c>
      <c r="BI217" t="s">
        <v>233</v>
      </c>
      <c r="BJ217" t="s">
        <v>0</v>
      </c>
      <c r="BK217">
        <v>42483934</v>
      </c>
      <c r="BN217" t="s">
        <v>73</v>
      </c>
      <c r="BR217">
        <v>-2.5</v>
      </c>
      <c r="BS217">
        <v>42483948</v>
      </c>
      <c r="BT217" s="73">
        <v>45373.583333333336</v>
      </c>
      <c r="BU217" t="s">
        <v>226</v>
      </c>
      <c r="BV217" t="s">
        <v>333</v>
      </c>
      <c r="BW217" t="s">
        <v>228</v>
      </c>
      <c r="CH217" t="s">
        <v>229</v>
      </c>
      <c r="CI217" t="s">
        <v>93</v>
      </c>
      <c r="CJ217" t="s">
        <v>226</v>
      </c>
      <c r="CK217" t="s">
        <v>333</v>
      </c>
      <c r="CL217" t="s">
        <v>228</v>
      </c>
      <c r="CM217" t="s">
        <v>234</v>
      </c>
      <c r="CN217" t="s">
        <v>73</v>
      </c>
      <c r="CO217">
        <v>-2.5</v>
      </c>
      <c r="CP217">
        <v>42483948</v>
      </c>
      <c r="CQ217" s="73">
        <v>45373.583333333336</v>
      </c>
      <c r="CR217" t="s">
        <v>229</v>
      </c>
      <c r="CS217" t="s">
        <v>93</v>
      </c>
      <c r="CU217" t="s">
        <v>225</v>
      </c>
    </row>
    <row r="218" spans="1:99">
      <c r="A218" t="s">
        <v>108</v>
      </c>
      <c r="B218" t="s">
        <v>98</v>
      </c>
      <c r="J218" t="s">
        <v>225</v>
      </c>
      <c r="K218" t="s">
        <v>225</v>
      </c>
      <c r="M218" s="73">
        <v>45373.583333333336</v>
      </c>
      <c r="N218">
        <v>42483947</v>
      </c>
      <c r="O218">
        <v>50</v>
      </c>
      <c r="P218" t="s">
        <v>104</v>
      </c>
      <c r="Q218">
        <v>50</v>
      </c>
      <c r="R218" t="s">
        <v>104</v>
      </c>
      <c r="S218">
        <v>2.5</v>
      </c>
      <c r="T218" t="s">
        <v>73</v>
      </c>
      <c r="U218" t="s">
        <v>226</v>
      </c>
      <c r="V218" t="s">
        <v>333</v>
      </c>
      <c r="W218" t="s">
        <v>235</v>
      </c>
      <c r="X218" t="s">
        <v>229</v>
      </c>
      <c r="Y218" t="s">
        <v>108</v>
      </c>
      <c r="AD218" t="s">
        <v>104</v>
      </c>
      <c r="AE218">
        <v>50</v>
      </c>
      <c r="AF218">
        <v>42483947</v>
      </c>
      <c r="AG218" s="73">
        <v>45373.583333333336</v>
      </c>
      <c r="AH218" t="s">
        <v>226</v>
      </c>
      <c r="AI218" t="s">
        <v>333</v>
      </c>
      <c r="AJ218" t="s">
        <v>235</v>
      </c>
      <c r="AK218" t="s">
        <v>229</v>
      </c>
      <c r="AL218" t="s">
        <v>108</v>
      </c>
      <c r="AP218" t="s">
        <v>230</v>
      </c>
      <c r="AQ218" t="s">
        <v>231</v>
      </c>
      <c r="AT218" t="s">
        <v>232</v>
      </c>
      <c r="AU218">
        <v>-99</v>
      </c>
      <c r="AV218" t="s">
        <v>104</v>
      </c>
      <c r="AW218">
        <v>50</v>
      </c>
      <c r="AX218">
        <v>42483947</v>
      </c>
      <c r="AY218" s="73">
        <v>45373.583333333336</v>
      </c>
      <c r="AZ218" t="s">
        <v>226</v>
      </c>
      <c r="BA218" t="s">
        <v>333</v>
      </c>
      <c r="BB218" t="s">
        <v>235</v>
      </c>
      <c r="BC218" t="s">
        <v>229</v>
      </c>
      <c r="BD218" t="s">
        <v>108</v>
      </c>
      <c r="BI218" t="s">
        <v>233</v>
      </c>
      <c r="BJ218" t="s">
        <v>0</v>
      </c>
      <c r="BK218">
        <v>42483934</v>
      </c>
      <c r="BN218" t="s">
        <v>104</v>
      </c>
      <c r="BO218">
        <v>42483940</v>
      </c>
      <c r="BR218">
        <v>50</v>
      </c>
      <c r="BS218">
        <v>42483947</v>
      </c>
      <c r="BT218" s="73">
        <v>45373.583333333336</v>
      </c>
      <c r="BU218" t="s">
        <v>226</v>
      </c>
      <c r="BV218" t="s">
        <v>333</v>
      </c>
      <c r="BW218" t="s">
        <v>235</v>
      </c>
      <c r="CH218" t="s">
        <v>229</v>
      </c>
      <c r="CI218" t="s">
        <v>108</v>
      </c>
      <c r="CJ218" t="s">
        <v>226</v>
      </c>
      <c r="CK218" t="s">
        <v>333</v>
      </c>
      <c r="CL218" t="s">
        <v>235</v>
      </c>
      <c r="CM218" t="s">
        <v>236</v>
      </c>
      <c r="CN218" t="s">
        <v>104</v>
      </c>
      <c r="CO218">
        <v>50</v>
      </c>
      <c r="CP218">
        <v>42483947</v>
      </c>
      <c r="CQ218" s="73">
        <v>45373.583333333336</v>
      </c>
      <c r="CR218" t="s">
        <v>229</v>
      </c>
      <c r="CS218" t="s">
        <v>108</v>
      </c>
      <c r="CU218" t="s">
        <v>225</v>
      </c>
    </row>
    <row r="219" spans="1:99">
      <c r="A219" t="s">
        <v>42</v>
      </c>
      <c r="B219" t="s">
        <v>92</v>
      </c>
      <c r="J219" t="s">
        <v>225</v>
      </c>
      <c r="K219" t="s">
        <v>225</v>
      </c>
      <c r="M219" s="73">
        <v>45373.303379629629</v>
      </c>
      <c r="N219">
        <v>42471889</v>
      </c>
      <c r="O219">
        <v>-10060</v>
      </c>
      <c r="P219" t="s">
        <v>45</v>
      </c>
      <c r="Q219">
        <v>-10060</v>
      </c>
      <c r="R219" t="s">
        <v>45</v>
      </c>
      <c r="U219" t="s">
        <v>226</v>
      </c>
      <c r="V219" t="s">
        <v>334</v>
      </c>
      <c r="W219" t="s">
        <v>228</v>
      </c>
      <c r="X219" t="s">
        <v>229</v>
      </c>
      <c r="Y219" t="s">
        <v>42</v>
      </c>
      <c r="AD219" t="s">
        <v>45</v>
      </c>
      <c r="AE219">
        <v>-10060</v>
      </c>
      <c r="AF219">
        <v>42471889</v>
      </c>
      <c r="AG219" s="73">
        <v>45373.303379629629</v>
      </c>
      <c r="AH219" t="s">
        <v>226</v>
      </c>
      <c r="AI219" t="s">
        <v>334</v>
      </c>
      <c r="AJ219" t="s">
        <v>228</v>
      </c>
      <c r="AK219" t="s">
        <v>229</v>
      </c>
      <c r="AL219" t="s">
        <v>42</v>
      </c>
      <c r="AP219" t="s">
        <v>230</v>
      </c>
      <c r="AQ219" t="s">
        <v>231</v>
      </c>
      <c r="AT219" t="s">
        <v>232</v>
      </c>
      <c r="AU219">
        <v>-99</v>
      </c>
      <c r="AV219" t="s">
        <v>45</v>
      </c>
      <c r="AW219">
        <v>-10060</v>
      </c>
      <c r="AX219">
        <v>42471889</v>
      </c>
      <c r="AY219" s="73">
        <v>45373.303379629629</v>
      </c>
      <c r="AZ219" t="s">
        <v>226</v>
      </c>
      <c r="BA219" t="s">
        <v>334</v>
      </c>
      <c r="BB219" t="s">
        <v>228</v>
      </c>
      <c r="BC219" t="s">
        <v>229</v>
      </c>
      <c r="BD219" t="s">
        <v>42</v>
      </c>
      <c r="BI219" t="s">
        <v>233</v>
      </c>
      <c r="BJ219" t="s">
        <v>0</v>
      </c>
      <c r="BK219">
        <v>42471861</v>
      </c>
      <c r="BN219" t="s">
        <v>45</v>
      </c>
      <c r="BR219">
        <v>-10060</v>
      </c>
      <c r="BS219">
        <v>42471889</v>
      </c>
      <c r="BT219" s="73">
        <v>45373.303379629629</v>
      </c>
      <c r="BU219" t="s">
        <v>226</v>
      </c>
      <c r="BV219" t="s">
        <v>334</v>
      </c>
      <c r="BW219" t="s">
        <v>228</v>
      </c>
      <c r="CH219" t="s">
        <v>229</v>
      </c>
      <c r="CI219" t="s">
        <v>42</v>
      </c>
      <c r="CJ219" t="s">
        <v>226</v>
      </c>
      <c r="CK219" t="s">
        <v>334</v>
      </c>
      <c r="CL219" t="s">
        <v>228</v>
      </c>
      <c r="CM219" t="s">
        <v>234</v>
      </c>
      <c r="CN219" t="s">
        <v>45</v>
      </c>
      <c r="CO219">
        <v>-10060</v>
      </c>
      <c r="CP219">
        <v>42471889</v>
      </c>
      <c r="CQ219" s="73">
        <v>45373.303379629629</v>
      </c>
      <c r="CR219" t="s">
        <v>229</v>
      </c>
      <c r="CS219" t="s">
        <v>42</v>
      </c>
      <c r="CU219" t="s">
        <v>225</v>
      </c>
    </row>
    <row r="220" spans="1:99">
      <c r="A220" t="s">
        <v>99</v>
      </c>
      <c r="B220" t="s">
        <v>98</v>
      </c>
      <c r="J220" t="s">
        <v>225</v>
      </c>
      <c r="K220" t="s">
        <v>225</v>
      </c>
      <c r="M220" s="73">
        <v>45373.303379629629</v>
      </c>
      <c r="N220">
        <v>42471888</v>
      </c>
      <c r="O220">
        <v>-502.5</v>
      </c>
      <c r="P220" t="s">
        <v>73</v>
      </c>
      <c r="Q220">
        <v>-502.5</v>
      </c>
      <c r="R220" t="s">
        <v>73</v>
      </c>
      <c r="U220" t="s">
        <v>226</v>
      </c>
      <c r="V220" t="s">
        <v>334</v>
      </c>
      <c r="W220" t="s">
        <v>228</v>
      </c>
      <c r="X220" t="s">
        <v>229</v>
      </c>
      <c r="Y220" t="s">
        <v>99</v>
      </c>
      <c r="AD220" t="s">
        <v>73</v>
      </c>
      <c r="AE220">
        <v>-502.5</v>
      </c>
      <c r="AF220">
        <v>42471888</v>
      </c>
      <c r="AG220" s="73">
        <v>45373.303379629629</v>
      </c>
      <c r="AH220" t="s">
        <v>226</v>
      </c>
      <c r="AI220" t="s">
        <v>334</v>
      </c>
      <c r="AJ220" t="s">
        <v>228</v>
      </c>
      <c r="AK220" t="s">
        <v>229</v>
      </c>
      <c r="AL220" t="s">
        <v>99</v>
      </c>
      <c r="AP220" t="s">
        <v>230</v>
      </c>
      <c r="AQ220" t="s">
        <v>231</v>
      </c>
      <c r="AT220" t="s">
        <v>232</v>
      </c>
      <c r="AU220">
        <v>-99</v>
      </c>
      <c r="AV220" t="s">
        <v>73</v>
      </c>
      <c r="AW220">
        <v>-502.5</v>
      </c>
      <c r="AX220">
        <v>42471888</v>
      </c>
      <c r="AY220" s="73">
        <v>45373.303379629629</v>
      </c>
      <c r="AZ220" t="s">
        <v>226</v>
      </c>
      <c r="BA220" t="s">
        <v>334</v>
      </c>
      <c r="BB220" t="s">
        <v>228</v>
      </c>
      <c r="BC220" t="s">
        <v>229</v>
      </c>
      <c r="BD220" t="s">
        <v>99</v>
      </c>
      <c r="BI220" t="s">
        <v>233</v>
      </c>
      <c r="BJ220" t="s">
        <v>0</v>
      </c>
      <c r="BK220">
        <v>42471861</v>
      </c>
      <c r="BN220" t="s">
        <v>73</v>
      </c>
      <c r="BR220">
        <v>-502.5</v>
      </c>
      <c r="BS220">
        <v>42471888</v>
      </c>
      <c r="BT220" s="73">
        <v>45373.303379629629</v>
      </c>
      <c r="BU220" t="s">
        <v>226</v>
      </c>
      <c r="BV220" t="s">
        <v>334</v>
      </c>
      <c r="BW220" t="s">
        <v>228</v>
      </c>
      <c r="CH220" t="s">
        <v>229</v>
      </c>
      <c r="CI220" t="s">
        <v>99</v>
      </c>
      <c r="CJ220" t="s">
        <v>226</v>
      </c>
      <c r="CK220" t="s">
        <v>334</v>
      </c>
      <c r="CL220" t="s">
        <v>228</v>
      </c>
      <c r="CM220" t="s">
        <v>234</v>
      </c>
      <c r="CN220" t="s">
        <v>73</v>
      </c>
      <c r="CO220">
        <v>-502.5</v>
      </c>
      <c r="CP220">
        <v>42471888</v>
      </c>
      <c r="CQ220" s="73">
        <v>45373.303379629629</v>
      </c>
      <c r="CR220" t="s">
        <v>229</v>
      </c>
      <c r="CS220" t="s">
        <v>99</v>
      </c>
      <c r="CU220" t="s">
        <v>225</v>
      </c>
    </row>
    <row r="221" spans="1:99">
      <c r="A221" t="s">
        <v>103</v>
      </c>
      <c r="B221" t="s">
        <v>98</v>
      </c>
      <c r="J221" t="s">
        <v>225</v>
      </c>
      <c r="K221" t="s">
        <v>225</v>
      </c>
      <c r="M221" s="73">
        <v>45373.303379629629</v>
      </c>
      <c r="N221">
        <v>42471887</v>
      </c>
      <c r="O221">
        <v>10050</v>
      </c>
      <c r="P221" t="s">
        <v>104</v>
      </c>
      <c r="Q221">
        <v>10050</v>
      </c>
      <c r="R221" t="s">
        <v>104</v>
      </c>
      <c r="S221">
        <v>502.5</v>
      </c>
      <c r="T221" t="s">
        <v>73</v>
      </c>
      <c r="U221" t="s">
        <v>226</v>
      </c>
      <c r="V221" t="s">
        <v>334</v>
      </c>
      <c r="W221" t="s">
        <v>235</v>
      </c>
      <c r="X221" t="s">
        <v>229</v>
      </c>
      <c r="Y221" t="s">
        <v>103</v>
      </c>
      <c r="AD221" t="s">
        <v>104</v>
      </c>
      <c r="AE221">
        <v>10050</v>
      </c>
      <c r="AF221">
        <v>42471887</v>
      </c>
      <c r="AG221" s="73">
        <v>45373.303379629629</v>
      </c>
      <c r="AH221" t="s">
        <v>226</v>
      </c>
      <c r="AI221" t="s">
        <v>334</v>
      </c>
      <c r="AJ221" t="s">
        <v>235</v>
      </c>
      <c r="AK221" t="s">
        <v>229</v>
      </c>
      <c r="AL221" t="s">
        <v>103</v>
      </c>
      <c r="AP221" t="s">
        <v>230</v>
      </c>
      <c r="AQ221" t="s">
        <v>231</v>
      </c>
      <c r="AT221" t="s">
        <v>232</v>
      </c>
      <c r="AU221">
        <v>-99</v>
      </c>
      <c r="AV221" t="s">
        <v>104</v>
      </c>
      <c r="AW221">
        <v>10050</v>
      </c>
      <c r="AX221">
        <v>42471887</v>
      </c>
      <c r="AY221" s="73">
        <v>45373.303379629629</v>
      </c>
      <c r="AZ221" t="s">
        <v>226</v>
      </c>
      <c r="BA221" t="s">
        <v>334</v>
      </c>
      <c r="BB221" t="s">
        <v>235</v>
      </c>
      <c r="BC221" t="s">
        <v>229</v>
      </c>
      <c r="BD221" t="s">
        <v>103</v>
      </c>
      <c r="BI221" t="s">
        <v>233</v>
      </c>
      <c r="BJ221" t="s">
        <v>0</v>
      </c>
      <c r="BK221">
        <v>42471861</v>
      </c>
      <c r="BN221" t="s">
        <v>104</v>
      </c>
      <c r="BO221">
        <v>42471867</v>
      </c>
      <c r="BR221">
        <v>10050</v>
      </c>
      <c r="BS221">
        <v>42471887</v>
      </c>
      <c r="BT221" s="73">
        <v>45373.303379629629</v>
      </c>
      <c r="BU221" t="s">
        <v>226</v>
      </c>
      <c r="BV221" t="s">
        <v>334</v>
      </c>
      <c r="BW221" t="s">
        <v>235</v>
      </c>
      <c r="CH221" t="s">
        <v>229</v>
      </c>
      <c r="CI221" t="s">
        <v>103</v>
      </c>
      <c r="CJ221" t="s">
        <v>226</v>
      </c>
      <c r="CK221" t="s">
        <v>334</v>
      </c>
      <c r="CL221" t="s">
        <v>235</v>
      </c>
      <c r="CM221" t="s">
        <v>236</v>
      </c>
      <c r="CN221" t="s">
        <v>104</v>
      </c>
      <c r="CO221">
        <v>10050</v>
      </c>
      <c r="CP221">
        <v>42471887</v>
      </c>
      <c r="CQ221" s="73">
        <v>45373.303379629629</v>
      </c>
      <c r="CR221" t="s">
        <v>229</v>
      </c>
      <c r="CS221" t="s">
        <v>103</v>
      </c>
      <c r="CU221" t="s">
        <v>225</v>
      </c>
    </row>
    <row r="222" spans="1:99">
      <c r="A222" t="s">
        <v>111</v>
      </c>
      <c r="B222" t="s">
        <v>77</v>
      </c>
      <c r="J222" t="s">
        <v>225</v>
      </c>
      <c r="K222" t="s">
        <v>225</v>
      </c>
      <c r="M222" s="73">
        <v>45373.303379629629</v>
      </c>
      <c r="N222">
        <v>42471886</v>
      </c>
      <c r="O222">
        <v>10</v>
      </c>
      <c r="P222" t="s">
        <v>45</v>
      </c>
      <c r="Q222">
        <v>10</v>
      </c>
      <c r="R222" t="s">
        <v>45</v>
      </c>
      <c r="U222" t="s">
        <v>226</v>
      </c>
      <c r="V222" t="s">
        <v>334</v>
      </c>
      <c r="W222" t="s">
        <v>237</v>
      </c>
      <c r="X222" t="s">
        <v>229</v>
      </c>
      <c r="Y222" t="s">
        <v>111</v>
      </c>
      <c r="AD222" t="s">
        <v>45</v>
      </c>
      <c r="AE222">
        <v>10</v>
      </c>
      <c r="AF222">
        <v>42471886</v>
      </c>
      <c r="AG222" s="73">
        <v>45373.303379629629</v>
      </c>
      <c r="AH222" t="s">
        <v>226</v>
      </c>
      <c r="AI222" t="s">
        <v>334</v>
      </c>
      <c r="AJ222" t="s">
        <v>237</v>
      </c>
      <c r="AK222" t="s">
        <v>229</v>
      </c>
      <c r="AL222" t="s">
        <v>111</v>
      </c>
      <c r="AP222" t="s">
        <v>230</v>
      </c>
      <c r="AQ222" t="s">
        <v>231</v>
      </c>
      <c r="AT222" t="s">
        <v>232</v>
      </c>
      <c r="AU222">
        <v>-99</v>
      </c>
      <c r="AV222" t="s">
        <v>45</v>
      </c>
      <c r="AW222">
        <v>10</v>
      </c>
      <c r="AX222">
        <v>42471886</v>
      </c>
      <c r="AY222" s="73">
        <v>45373.303379629629</v>
      </c>
      <c r="AZ222" t="s">
        <v>226</v>
      </c>
      <c r="BA222" t="s">
        <v>334</v>
      </c>
      <c r="BB222" t="s">
        <v>237</v>
      </c>
      <c r="BC222" t="s">
        <v>229</v>
      </c>
      <c r="BD222" t="s">
        <v>111</v>
      </c>
      <c r="BI222" t="s">
        <v>233</v>
      </c>
      <c r="BJ222" t="s">
        <v>0</v>
      </c>
      <c r="BK222">
        <v>42471861</v>
      </c>
      <c r="BN222" t="s">
        <v>45</v>
      </c>
      <c r="BO222">
        <v>42471869</v>
      </c>
      <c r="BR222">
        <v>10</v>
      </c>
      <c r="BS222">
        <v>42471886</v>
      </c>
      <c r="BT222" s="73">
        <v>45373.303379629629</v>
      </c>
      <c r="BU222" t="s">
        <v>226</v>
      </c>
      <c r="BV222" t="s">
        <v>334</v>
      </c>
      <c r="BW222" t="s">
        <v>237</v>
      </c>
      <c r="CH222" t="s">
        <v>229</v>
      </c>
      <c r="CI222" t="s">
        <v>111</v>
      </c>
      <c r="CJ222" t="s">
        <v>226</v>
      </c>
      <c r="CK222" t="s">
        <v>334</v>
      </c>
      <c r="CL222" t="s">
        <v>237</v>
      </c>
      <c r="CM222" t="s">
        <v>236</v>
      </c>
      <c r="CN222" t="s">
        <v>45</v>
      </c>
      <c r="CO222">
        <v>10</v>
      </c>
      <c r="CP222">
        <v>42471886</v>
      </c>
      <c r="CQ222" s="73">
        <v>45373.303379629629</v>
      </c>
      <c r="CR222" t="s">
        <v>229</v>
      </c>
      <c r="CS222" t="s">
        <v>111</v>
      </c>
      <c r="CU222" t="s">
        <v>225</v>
      </c>
    </row>
    <row r="223" spans="1:99">
      <c r="A223" t="s">
        <v>42</v>
      </c>
      <c r="B223" t="s">
        <v>92</v>
      </c>
      <c r="J223" t="s">
        <v>225</v>
      </c>
      <c r="K223" t="s">
        <v>225</v>
      </c>
      <c r="M223" s="73">
        <v>45373.299479166664</v>
      </c>
      <c r="N223">
        <v>42471776</v>
      </c>
      <c r="O223">
        <v>-4671</v>
      </c>
      <c r="P223" t="s">
        <v>45</v>
      </c>
      <c r="Q223">
        <v>-4671</v>
      </c>
      <c r="R223" t="s">
        <v>45</v>
      </c>
      <c r="U223" t="s">
        <v>226</v>
      </c>
      <c r="V223" t="s">
        <v>335</v>
      </c>
      <c r="W223" t="s">
        <v>228</v>
      </c>
      <c r="X223" t="s">
        <v>229</v>
      </c>
      <c r="Y223" t="s">
        <v>42</v>
      </c>
      <c r="AD223" t="s">
        <v>45</v>
      </c>
      <c r="AE223">
        <v>-4671</v>
      </c>
      <c r="AF223">
        <v>42471776</v>
      </c>
      <c r="AG223" s="73">
        <v>45373.299479166664</v>
      </c>
      <c r="AH223" t="s">
        <v>226</v>
      </c>
      <c r="AI223" t="s">
        <v>335</v>
      </c>
      <c r="AJ223" t="s">
        <v>228</v>
      </c>
      <c r="AK223" t="s">
        <v>229</v>
      </c>
      <c r="AL223" t="s">
        <v>42</v>
      </c>
      <c r="AP223" t="s">
        <v>230</v>
      </c>
      <c r="AQ223" t="s">
        <v>231</v>
      </c>
      <c r="AT223" t="s">
        <v>232</v>
      </c>
      <c r="AU223">
        <v>-99</v>
      </c>
      <c r="AV223" t="s">
        <v>45</v>
      </c>
      <c r="AW223">
        <v>-4671</v>
      </c>
      <c r="AX223">
        <v>42471776</v>
      </c>
      <c r="AY223" s="73">
        <v>45373.299479166664</v>
      </c>
      <c r="AZ223" t="s">
        <v>226</v>
      </c>
      <c r="BA223" t="s">
        <v>335</v>
      </c>
      <c r="BB223" t="s">
        <v>228</v>
      </c>
      <c r="BC223" t="s">
        <v>229</v>
      </c>
      <c r="BD223" t="s">
        <v>42</v>
      </c>
      <c r="BI223" t="s">
        <v>233</v>
      </c>
      <c r="BJ223" t="s">
        <v>0</v>
      </c>
      <c r="BK223">
        <v>42471764</v>
      </c>
      <c r="BN223" t="s">
        <v>45</v>
      </c>
      <c r="BR223">
        <v>-4671</v>
      </c>
      <c r="BS223">
        <v>42471776</v>
      </c>
      <c r="BT223" s="73">
        <v>45373.299479166664</v>
      </c>
      <c r="BU223" t="s">
        <v>226</v>
      </c>
      <c r="BV223" t="s">
        <v>335</v>
      </c>
      <c r="BW223" t="s">
        <v>228</v>
      </c>
      <c r="CH223" t="s">
        <v>229</v>
      </c>
      <c r="CI223" t="s">
        <v>42</v>
      </c>
      <c r="CJ223" t="s">
        <v>226</v>
      </c>
      <c r="CK223" t="s">
        <v>335</v>
      </c>
      <c r="CL223" t="s">
        <v>228</v>
      </c>
      <c r="CM223" t="s">
        <v>234</v>
      </c>
      <c r="CN223" t="s">
        <v>45</v>
      </c>
      <c r="CO223">
        <v>-4671</v>
      </c>
      <c r="CP223">
        <v>42471776</v>
      </c>
      <c r="CQ223" s="73">
        <v>45373.299479166664</v>
      </c>
      <c r="CR223" t="s">
        <v>229</v>
      </c>
      <c r="CS223" t="s">
        <v>42</v>
      </c>
      <c r="CU223" t="s">
        <v>225</v>
      </c>
    </row>
    <row r="224" spans="1:99">
      <c r="A224" t="s">
        <v>99</v>
      </c>
      <c r="B224" t="s">
        <v>98</v>
      </c>
      <c r="J224" t="s">
        <v>225</v>
      </c>
      <c r="K224" t="s">
        <v>225</v>
      </c>
      <c r="M224" s="73">
        <v>45373.299479166664</v>
      </c>
      <c r="N224">
        <v>42471775</v>
      </c>
      <c r="O224">
        <v>-233.55</v>
      </c>
      <c r="P224" t="s">
        <v>73</v>
      </c>
      <c r="Q224">
        <v>-233.55</v>
      </c>
      <c r="R224" t="s">
        <v>73</v>
      </c>
      <c r="U224" t="s">
        <v>226</v>
      </c>
      <c r="V224" t="s">
        <v>335</v>
      </c>
      <c r="W224" t="s">
        <v>228</v>
      </c>
      <c r="X224" t="s">
        <v>229</v>
      </c>
      <c r="Y224" t="s">
        <v>99</v>
      </c>
      <c r="AD224" t="s">
        <v>73</v>
      </c>
      <c r="AE224">
        <v>-233.55</v>
      </c>
      <c r="AF224">
        <v>42471775</v>
      </c>
      <c r="AG224" s="73">
        <v>45373.299479166664</v>
      </c>
      <c r="AH224" t="s">
        <v>226</v>
      </c>
      <c r="AI224" t="s">
        <v>335</v>
      </c>
      <c r="AJ224" t="s">
        <v>228</v>
      </c>
      <c r="AK224" t="s">
        <v>229</v>
      </c>
      <c r="AL224" t="s">
        <v>99</v>
      </c>
      <c r="AP224" t="s">
        <v>230</v>
      </c>
      <c r="AQ224" t="s">
        <v>231</v>
      </c>
      <c r="AT224" t="s">
        <v>232</v>
      </c>
      <c r="AU224">
        <v>-99</v>
      </c>
      <c r="AV224" t="s">
        <v>73</v>
      </c>
      <c r="AW224">
        <v>-233.55</v>
      </c>
      <c r="AX224">
        <v>42471775</v>
      </c>
      <c r="AY224" s="73">
        <v>45373.299479166664</v>
      </c>
      <c r="AZ224" t="s">
        <v>226</v>
      </c>
      <c r="BA224" t="s">
        <v>335</v>
      </c>
      <c r="BB224" t="s">
        <v>228</v>
      </c>
      <c r="BC224" t="s">
        <v>229</v>
      </c>
      <c r="BD224" t="s">
        <v>99</v>
      </c>
      <c r="BI224" t="s">
        <v>233</v>
      </c>
      <c r="BJ224" t="s">
        <v>0</v>
      </c>
      <c r="BK224">
        <v>42471764</v>
      </c>
      <c r="BN224" t="s">
        <v>73</v>
      </c>
      <c r="BR224">
        <v>-233.55</v>
      </c>
      <c r="BS224">
        <v>42471775</v>
      </c>
      <c r="BT224" s="73">
        <v>45373.299479166664</v>
      </c>
      <c r="BU224" t="s">
        <v>226</v>
      </c>
      <c r="BV224" t="s">
        <v>335</v>
      </c>
      <c r="BW224" t="s">
        <v>228</v>
      </c>
      <c r="CH224" t="s">
        <v>229</v>
      </c>
      <c r="CI224" t="s">
        <v>99</v>
      </c>
      <c r="CJ224" t="s">
        <v>226</v>
      </c>
      <c r="CK224" t="s">
        <v>335</v>
      </c>
      <c r="CL224" t="s">
        <v>228</v>
      </c>
      <c r="CM224" t="s">
        <v>234</v>
      </c>
      <c r="CN224" t="s">
        <v>73</v>
      </c>
      <c r="CO224">
        <v>-233.55</v>
      </c>
      <c r="CP224">
        <v>42471775</v>
      </c>
      <c r="CQ224" s="73">
        <v>45373.299479166664</v>
      </c>
      <c r="CR224" t="s">
        <v>229</v>
      </c>
      <c r="CS224" t="s">
        <v>99</v>
      </c>
      <c r="CU224" t="s">
        <v>225</v>
      </c>
    </row>
    <row r="225" spans="1:99">
      <c r="A225" t="s">
        <v>103</v>
      </c>
      <c r="B225" t="s">
        <v>98</v>
      </c>
      <c r="J225" t="s">
        <v>225</v>
      </c>
      <c r="K225" t="s">
        <v>225</v>
      </c>
      <c r="M225" s="73">
        <v>45373.299479166664</v>
      </c>
      <c r="N225">
        <v>42471774</v>
      </c>
      <c r="O225">
        <v>4671</v>
      </c>
      <c r="P225" t="s">
        <v>104</v>
      </c>
      <c r="Q225">
        <v>4671</v>
      </c>
      <c r="R225" t="s">
        <v>104</v>
      </c>
      <c r="S225">
        <v>233.55</v>
      </c>
      <c r="T225" t="s">
        <v>73</v>
      </c>
      <c r="U225" t="s">
        <v>226</v>
      </c>
      <c r="V225" t="s">
        <v>335</v>
      </c>
      <c r="W225" t="s">
        <v>235</v>
      </c>
      <c r="X225" t="s">
        <v>229</v>
      </c>
      <c r="Y225" t="s">
        <v>103</v>
      </c>
      <c r="AD225" t="s">
        <v>104</v>
      </c>
      <c r="AE225">
        <v>4671</v>
      </c>
      <c r="AF225">
        <v>42471774</v>
      </c>
      <c r="AG225" s="73">
        <v>45373.299479166664</v>
      </c>
      <c r="AH225" t="s">
        <v>226</v>
      </c>
      <c r="AI225" t="s">
        <v>335</v>
      </c>
      <c r="AJ225" t="s">
        <v>235</v>
      </c>
      <c r="AK225" t="s">
        <v>229</v>
      </c>
      <c r="AL225" t="s">
        <v>103</v>
      </c>
      <c r="AP225" t="s">
        <v>230</v>
      </c>
      <c r="AQ225" t="s">
        <v>231</v>
      </c>
      <c r="AT225" t="s">
        <v>232</v>
      </c>
      <c r="AU225">
        <v>-99</v>
      </c>
      <c r="AV225" t="s">
        <v>104</v>
      </c>
      <c r="AW225">
        <v>4671</v>
      </c>
      <c r="AX225">
        <v>42471774</v>
      </c>
      <c r="AY225" s="73">
        <v>45373.299479166664</v>
      </c>
      <c r="AZ225" t="s">
        <v>226</v>
      </c>
      <c r="BA225" t="s">
        <v>335</v>
      </c>
      <c r="BB225" t="s">
        <v>235</v>
      </c>
      <c r="BC225" t="s">
        <v>229</v>
      </c>
      <c r="BD225" t="s">
        <v>103</v>
      </c>
      <c r="BI225" t="s">
        <v>233</v>
      </c>
      <c r="BJ225" t="s">
        <v>0</v>
      </c>
      <c r="BK225">
        <v>42471764</v>
      </c>
      <c r="BN225" t="s">
        <v>104</v>
      </c>
      <c r="BO225">
        <v>42471770</v>
      </c>
      <c r="BR225">
        <v>4671</v>
      </c>
      <c r="BS225">
        <v>42471774</v>
      </c>
      <c r="BT225" s="73">
        <v>45373.299479166664</v>
      </c>
      <c r="BU225" t="s">
        <v>226</v>
      </c>
      <c r="BV225" t="s">
        <v>335</v>
      </c>
      <c r="BW225" t="s">
        <v>235</v>
      </c>
      <c r="CH225" t="s">
        <v>229</v>
      </c>
      <c r="CI225" t="s">
        <v>103</v>
      </c>
      <c r="CJ225" t="s">
        <v>226</v>
      </c>
      <c r="CK225" t="s">
        <v>335</v>
      </c>
      <c r="CL225" t="s">
        <v>235</v>
      </c>
      <c r="CM225" t="s">
        <v>236</v>
      </c>
      <c r="CN225" t="s">
        <v>104</v>
      </c>
      <c r="CO225">
        <v>4671</v>
      </c>
      <c r="CP225">
        <v>42471774</v>
      </c>
      <c r="CQ225" s="73">
        <v>45373.299479166664</v>
      </c>
      <c r="CR225" t="s">
        <v>229</v>
      </c>
      <c r="CS225" t="s">
        <v>103</v>
      </c>
      <c r="CU225" t="s">
        <v>225</v>
      </c>
    </row>
    <row r="226" spans="1:99">
      <c r="A226" t="s">
        <v>52</v>
      </c>
      <c r="B226" t="s">
        <v>92</v>
      </c>
      <c r="J226" t="s">
        <v>225</v>
      </c>
      <c r="K226" t="s">
        <v>225</v>
      </c>
      <c r="M226" s="73">
        <v>45373.25</v>
      </c>
      <c r="N226">
        <v>42483932</v>
      </c>
      <c r="O226">
        <v>-300</v>
      </c>
      <c r="P226" t="s">
        <v>45</v>
      </c>
      <c r="Q226">
        <v>-300</v>
      </c>
      <c r="R226" t="s">
        <v>45</v>
      </c>
      <c r="U226" t="s">
        <v>226</v>
      </c>
      <c r="V226" t="s">
        <v>336</v>
      </c>
      <c r="W226" t="s">
        <v>228</v>
      </c>
      <c r="X226" t="s">
        <v>229</v>
      </c>
      <c r="Y226" t="s">
        <v>52</v>
      </c>
      <c r="AD226" t="s">
        <v>45</v>
      </c>
      <c r="AE226">
        <v>-300</v>
      </c>
      <c r="AF226">
        <v>42483932</v>
      </c>
      <c r="AG226" s="73">
        <v>45373.25</v>
      </c>
      <c r="AH226" t="s">
        <v>226</v>
      </c>
      <c r="AI226" t="s">
        <v>336</v>
      </c>
      <c r="AJ226" t="s">
        <v>228</v>
      </c>
      <c r="AK226" t="s">
        <v>229</v>
      </c>
      <c r="AL226" t="s">
        <v>52</v>
      </c>
      <c r="AP226" t="s">
        <v>230</v>
      </c>
      <c r="AQ226" t="s">
        <v>231</v>
      </c>
      <c r="AT226" t="s">
        <v>232</v>
      </c>
      <c r="AU226">
        <v>-99</v>
      </c>
      <c r="AV226" t="s">
        <v>45</v>
      </c>
      <c r="AW226">
        <v>-300</v>
      </c>
      <c r="AX226">
        <v>42483932</v>
      </c>
      <c r="AY226" s="73">
        <v>45373.25</v>
      </c>
      <c r="AZ226" t="s">
        <v>226</v>
      </c>
      <c r="BA226" t="s">
        <v>336</v>
      </c>
      <c r="BB226" t="s">
        <v>228</v>
      </c>
      <c r="BC226" t="s">
        <v>229</v>
      </c>
      <c r="BD226" t="s">
        <v>52</v>
      </c>
      <c r="BI226" t="s">
        <v>233</v>
      </c>
      <c r="BJ226" t="s">
        <v>0</v>
      </c>
      <c r="BK226">
        <v>42483919</v>
      </c>
      <c r="BN226" t="s">
        <v>45</v>
      </c>
      <c r="BR226">
        <v>-300</v>
      </c>
      <c r="BS226">
        <v>42483932</v>
      </c>
      <c r="BT226" s="73">
        <v>45373.25</v>
      </c>
      <c r="BU226" t="s">
        <v>226</v>
      </c>
      <c r="BV226" t="s">
        <v>336</v>
      </c>
      <c r="BW226" t="s">
        <v>228</v>
      </c>
      <c r="CH226" t="s">
        <v>229</v>
      </c>
      <c r="CI226" t="s">
        <v>52</v>
      </c>
      <c r="CJ226" t="s">
        <v>226</v>
      </c>
      <c r="CK226" t="s">
        <v>336</v>
      </c>
      <c r="CL226" t="s">
        <v>228</v>
      </c>
      <c r="CM226" t="s">
        <v>234</v>
      </c>
      <c r="CN226" t="s">
        <v>45</v>
      </c>
      <c r="CO226">
        <v>-300</v>
      </c>
      <c r="CP226">
        <v>42483932</v>
      </c>
      <c r="CQ226" s="73">
        <v>45373.25</v>
      </c>
      <c r="CR226" t="s">
        <v>229</v>
      </c>
      <c r="CS226" t="s">
        <v>52</v>
      </c>
      <c r="CU226" t="s">
        <v>225</v>
      </c>
    </row>
    <row r="227" spans="1:99">
      <c r="A227" t="s">
        <v>101</v>
      </c>
      <c r="B227" t="s">
        <v>98</v>
      </c>
      <c r="J227" t="s">
        <v>225</v>
      </c>
      <c r="K227" t="s">
        <v>225</v>
      </c>
      <c r="M227" s="73">
        <v>45373.25</v>
      </c>
      <c r="N227">
        <v>42483931</v>
      </c>
      <c r="O227">
        <v>-15</v>
      </c>
      <c r="P227" t="s">
        <v>73</v>
      </c>
      <c r="Q227">
        <v>-15</v>
      </c>
      <c r="R227" t="s">
        <v>73</v>
      </c>
      <c r="U227" t="s">
        <v>226</v>
      </c>
      <c r="V227" t="s">
        <v>336</v>
      </c>
      <c r="W227" t="s">
        <v>228</v>
      </c>
      <c r="X227" t="s">
        <v>229</v>
      </c>
      <c r="Y227" t="s">
        <v>101</v>
      </c>
      <c r="AD227" t="s">
        <v>73</v>
      </c>
      <c r="AE227">
        <v>-15</v>
      </c>
      <c r="AF227">
        <v>42483931</v>
      </c>
      <c r="AG227" s="73">
        <v>45373.25</v>
      </c>
      <c r="AH227" t="s">
        <v>226</v>
      </c>
      <c r="AI227" t="s">
        <v>336</v>
      </c>
      <c r="AJ227" t="s">
        <v>228</v>
      </c>
      <c r="AK227" t="s">
        <v>229</v>
      </c>
      <c r="AL227" t="s">
        <v>101</v>
      </c>
      <c r="AP227" t="s">
        <v>230</v>
      </c>
      <c r="AQ227" t="s">
        <v>231</v>
      </c>
      <c r="AT227" t="s">
        <v>232</v>
      </c>
      <c r="AU227">
        <v>-99</v>
      </c>
      <c r="AV227" t="s">
        <v>73</v>
      </c>
      <c r="AW227">
        <v>-15</v>
      </c>
      <c r="AX227">
        <v>42483931</v>
      </c>
      <c r="AY227" s="73">
        <v>45373.25</v>
      </c>
      <c r="AZ227" t="s">
        <v>226</v>
      </c>
      <c r="BA227" t="s">
        <v>336</v>
      </c>
      <c r="BB227" t="s">
        <v>228</v>
      </c>
      <c r="BC227" t="s">
        <v>229</v>
      </c>
      <c r="BD227" t="s">
        <v>101</v>
      </c>
      <c r="BI227" t="s">
        <v>233</v>
      </c>
      <c r="BJ227" t="s">
        <v>0</v>
      </c>
      <c r="BK227">
        <v>42483919</v>
      </c>
      <c r="BN227" t="s">
        <v>73</v>
      </c>
      <c r="BR227">
        <v>-15</v>
      </c>
      <c r="BS227">
        <v>42483931</v>
      </c>
      <c r="BT227" s="73">
        <v>45373.25</v>
      </c>
      <c r="BU227" t="s">
        <v>226</v>
      </c>
      <c r="BV227" t="s">
        <v>336</v>
      </c>
      <c r="BW227" t="s">
        <v>228</v>
      </c>
      <c r="CH227" t="s">
        <v>229</v>
      </c>
      <c r="CI227" t="s">
        <v>101</v>
      </c>
      <c r="CJ227" t="s">
        <v>226</v>
      </c>
      <c r="CK227" t="s">
        <v>336</v>
      </c>
      <c r="CL227" t="s">
        <v>228</v>
      </c>
      <c r="CM227" t="s">
        <v>234</v>
      </c>
      <c r="CN227" t="s">
        <v>73</v>
      </c>
      <c r="CO227">
        <v>-15</v>
      </c>
      <c r="CP227">
        <v>42483931</v>
      </c>
      <c r="CQ227" s="73">
        <v>45373.25</v>
      </c>
      <c r="CR227" t="s">
        <v>229</v>
      </c>
      <c r="CS227" t="s">
        <v>101</v>
      </c>
      <c r="CU227" t="s">
        <v>225</v>
      </c>
    </row>
    <row r="228" spans="1:99">
      <c r="A228" t="s">
        <v>107</v>
      </c>
      <c r="B228" t="s">
        <v>98</v>
      </c>
      <c r="J228" t="s">
        <v>225</v>
      </c>
      <c r="K228" t="s">
        <v>225</v>
      </c>
      <c r="M228" s="73">
        <v>45373.25</v>
      </c>
      <c r="N228">
        <v>42483930</v>
      </c>
      <c r="O228">
        <v>300</v>
      </c>
      <c r="P228" t="s">
        <v>104</v>
      </c>
      <c r="Q228">
        <v>300</v>
      </c>
      <c r="R228" t="s">
        <v>104</v>
      </c>
      <c r="S228">
        <v>15</v>
      </c>
      <c r="T228" t="s">
        <v>73</v>
      </c>
      <c r="U228" t="s">
        <v>226</v>
      </c>
      <c r="V228" t="s">
        <v>336</v>
      </c>
      <c r="W228" t="s">
        <v>235</v>
      </c>
      <c r="X228" t="s">
        <v>229</v>
      </c>
      <c r="Y228" t="s">
        <v>107</v>
      </c>
      <c r="AD228" t="s">
        <v>104</v>
      </c>
      <c r="AE228">
        <v>300</v>
      </c>
      <c r="AF228">
        <v>42483930</v>
      </c>
      <c r="AG228" s="73">
        <v>45373.25</v>
      </c>
      <c r="AH228" t="s">
        <v>226</v>
      </c>
      <c r="AI228" t="s">
        <v>336</v>
      </c>
      <c r="AJ228" t="s">
        <v>235</v>
      </c>
      <c r="AK228" t="s">
        <v>229</v>
      </c>
      <c r="AL228" t="s">
        <v>107</v>
      </c>
      <c r="AP228" t="s">
        <v>230</v>
      </c>
      <c r="AQ228" t="s">
        <v>231</v>
      </c>
      <c r="AT228" t="s">
        <v>232</v>
      </c>
      <c r="AU228">
        <v>-99</v>
      </c>
      <c r="AV228" t="s">
        <v>104</v>
      </c>
      <c r="AW228">
        <v>300</v>
      </c>
      <c r="AX228">
        <v>42483930</v>
      </c>
      <c r="AY228" s="73">
        <v>45373.25</v>
      </c>
      <c r="AZ228" t="s">
        <v>226</v>
      </c>
      <c r="BA228" t="s">
        <v>336</v>
      </c>
      <c r="BB228" t="s">
        <v>235</v>
      </c>
      <c r="BC228" t="s">
        <v>229</v>
      </c>
      <c r="BD228" t="s">
        <v>107</v>
      </c>
      <c r="BI228" t="s">
        <v>233</v>
      </c>
      <c r="BJ228" t="s">
        <v>0</v>
      </c>
      <c r="BK228">
        <v>42483919</v>
      </c>
      <c r="BN228" t="s">
        <v>104</v>
      </c>
      <c r="BO228">
        <v>42483926</v>
      </c>
      <c r="BR228">
        <v>300</v>
      </c>
      <c r="BS228">
        <v>42483930</v>
      </c>
      <c r="BT228" s="73">
        <v>45373.25</v>
      </c>
      <c r="BU228" t="s">
        <v>226</v>
      </c>
      <c r="BV228" t="s">
        <v>336</v>
      </c>
      <c r="BW228" t="s">
        <v>235</v>
      </c>
      <c r="CH228" t="s">
        <v>229</v>
      </c>
      <c r="CI228" t="s">
        <v>107</v>
      </c>
      <c r="CJ228" t="s">
        <v>226</v>
      </c>
      <c r="CK228" t="s">
        <v>336</v>
      </c>
      <c r="CL228" t="s">
        <v>235</v>
      </c>
      <c r="CM228" t="s">
        <v>236</v>
      </c>
      <c r="CN228" t="s">
        <v>104</v>
      </c>
      <c r="CO228">
        <v>300</v>
      </c>
      <c r="CP228">
        <v>42483930</v>
      </c>
      <c r="CQ228" s="73">
        <v>45373.25</v>
      </c>
      <c r="CR228" t="s">
        <v>229</v>
      </c>
      <c r="CS228" t="s">
        <v>107</v>
      </c>
      <c r="CU228" t="s">
        <v>225</v>
      </c>
    </row>
    <row r="229" spans="1:99">
      <c r="A229" t="s">
        <v>42</v>
      </c>
      <c r="B229" t="s">
        <v>92</v>
      </c>
      <c r="J229" t="s">
        <v>225</v>
      </c>
      <c r="K229" t="s">
        <v>225</v>
      </c>
      <c r="M229" s="73">
        <v>45373.25</v>
      </c>
      <c r="N229">
        <v>42483884</v>
      </c>
      <c r="O229">
        <v>-1654</v>
      </c>
      <c r="P229" t="s">
        <v>45</v>
      </c>
      <c r="Q229">
        <v>-1654</v>
      </c>
      <c r="R229" t="s">
        <v>45</v>
      </c>
      <c r="U229" t="s">
        <v>226</v>
      </c>
      <c r="V229" t="s">
        <v>337</v>
      </c>
      <c r="W229" t="s">
        <v>228</v>
      </c>
      <c r="X229" t="s">
        <v>229</v>
      </c>
      <c r="Y229" t="s">
        <v>42</v>
      </c>
      <c r="AD229" t="s">
        <v>45</v>
      </c>
      <c r="AE229">
        <v>-1654</v>
      </c>
      <c r="AF229">
        <v>42483884</v>
      </c>
      <c r="AG229" s="73">
        <v>45373.25</v>
      </c>
      <c r="AH229" t="s">
        <v>226</v>
      </c>
      <c r="AI229" t="s">
        <v>337</v>
      </c>
      <c r="AJ229" t="s">
        <v>228</v>
      </c>
      <c r="AK229" t="s">
        <v>229</v>
      </c>
      <c r="AL229" t="s">
        <v>42</v>
      </c>
      <c r="AP229" t="s">
        <v>230</v>
      </c>
      <c r="AQ229" t="s">
        <v>231</v>
      </c>
      <c r="AT229" t="s">
        <v>232</v>
      </c>
      <c r="AU229">
        <v>-99</v>
      </c>
      <c r="AV229" t="s">
        <v>45</v>
      </c>
      <c r="AW229">
        <v>-1654</v>
      </c>
      <c r="AX229">
        <v>42483884</v>
      </c>
      <c r="AY229" s="73">
        <v>45373.25</v>
      </c>
      <c r="AZ229" t="s">
        <v>226</v>
      </c>
      <c r="BA229" t="s">
        <v>337</v>
      </c>
      <c r="BB229" t="s">
        <v>228</v>
      </c>
      <c r="BC229" t="s">
        <v>229</v>
      </c>
      <c r="BD229" t="s">
        <v>42</v>
      </c>
      <c r="BI229" t="s">
        <v>233</v>
      </c>
      <c r="BJ229" t="s">
        <v>0</v>
      </c>
      <c r="BK229">
        <v>42483868</v>
      </c>
      <c r="BN229" t="s">
        <v>45</v>
      </c>
      <c r="BR229">
        <v>-1654</v>
      </c>
      <c r="BS229">
        <v>42483884</v>
      </c>
      <c r="BT229" s="73">
        <v>45373.25</v>
      </c>
      <c r="BU229" t="s">
        <v>226</v>
      </c>
      <c r="BV229" t="s">
        <v>337</v>
      </c>
      <c r="BW229" t="s">
        <v>228</v>
      </c>
      <c r="CH229" t="s">
        <v>229</v>
      </c>
      <c r="CI229" t="s">
        <v>42</v>
      </c>
      <c r="CJ229" t="s">
        <v>226</v>
      </c>
      <c r="CK229" t="s">
        <v>337</v>
      </c>
      <c r="CL229" t="s">
        <v>228</v>
      </c>
      <c r="CM229" t="s">
        <v>234</v>
      </c>
      <c r="CN229" t="s">
        <v>45</v>
      </c>
      <c r="CO229">
        <v>-1654</v>
      </c>
      <c r="CP229">
        <v>42483884</v>
      </c>
      <c r="CQ229" s="73">
        <v>45373.25</v>
      </c>
      <c r="CR229" t="s">
        <v>229</v>
      </c>
      <c r="CS229" t="s">
        <v>42</v>
      </c>
      <c r="CU229" t="s">
        <v>225</v>
      </c>
    </row>
    <row r="230" spans="1:99">
      <c r="A230" t="s">
        <v>99</v>
      </c>
      <c r="B230" t="s">
        <v>98</v>
      </c>
      <c r="J230" t="s">
        <v>225</v>
      </c>
      <c r="K230" t="s">
        <v>225</v>
      </c>
      <c r="M230" s="73">
        <v>45373.25</v>
      </c>
      <c r="N230">
        <v>42483883</v>
      </c>
      <c r="O230">
        <v>-82.5</v>
      </c>
      <c r="P230" t="s">
        <v>73</v>
      </c>
      <c r="Q230">
        <v>-82.5</v>
      </c>
      <c r="R230" t="s">
        <v>73</v>
      </c>
      <c r="U230" t="s">
        <v>226</v>
      </c>
      <c r="V230" t="s">
        <v>337</v>
      </c>
      <c r="W230" t="s">
        <v>228</v>
      </c>
      <c r="X230" t="s">
        <v>229</v>
      </c>
      <c r="Y230" t="s">
        <v>99</v>
      </c>
      <c r="AD230" t="s">
        <v>73</v>
      </c>
      <c r="AE230">
        <v>-82.5</v>
      </c>
      <c r="AF230">
        <v>42483883</v>
      </c>
      <c r="AG230" s="73">
        <v>45373.25</v>
      </c>
      <c r="AH230" t="s">
        <v>226</v>
      </c>
      <c r="AI230" t="s">
        <v>337</v>
      </c>
      <c r="AJ230" t="s">
        <v>228</v>
      </c>
      <c r="AK230" t="s">
        <v>229</v>
      </c>
      <c r="AL230" t="s">
        <v>99</v>
      </c>
      <c r="AP230" t="s">
        <v>230</v>
      </c>
      <c r="AQ230" t="s">
        <v>231</v>
      </c>
      <c r="AT230" t="s">
        <v>232</v>
      </c>
      <c r="AU230">
        <v>-99</v>
      </c>
      <c r="AV230" t="s">
        <v>73</v>
      </c>
      <c r="AW230">
        <v>-82.5</v>
      </c>
      <c r="AX230">
        <v>42483883</v>
      </c>
      <c r="AY230" s="73">
        <v>45373.25</v>
      </c>
      <c r="AZ230" t="s">
        <v>226</v>
      </c>
      <c r="BA230" t="s">
        <v>337</v>
      </c>
      <c r="BB230" t="s">
        <v>228</v>
      </c>
      <c r="BC230" t="s">
        <v>229</v>
      </c>
      <c r="BD230" t="s">
        <v>99</v>
      </c>
      <c r="BI230" t="s">
        <v>233</v>
      </c>
      <c r="BJ230" t="s">
        <v>0</v>
      </c>
      <c r="BK230">
        <v>42483868</v>
      </c>
      <c r="BN230" t="s">
        <v>73</v>
      </c>
      <c r="BR230">
        <v>-82.5</v>
      </c>
      <c r="BS230">
        <v>42483883</v>
      </c>
      <c r="BT230" s="73">
        <v>45373.25</v>
      </c>
      <c r="BU230" t="s">
        <v>226</v>
      </c>
      <c r="BV230" t="s">
        <v>337</v>
      </c>
      <c r="BW230" t="s">
        <v>228</v>
      </c>
      <c r="CH230" t="s">
        <v>229</v>
      </c>
      <c r="CI230" t="s">
        <v>99</v>
      </c>
      <c r="CJ230" t="s">
        <v>226</v>
      </c>
      <c r="CK230" t="s">
        <v>337</v>
      </c>
      <c r="CL230" t="s">
        <v>228</v>
      </c>
      <c r="CM230" t="s">
        <v>234</v>
      </c>
      <c r="CN230" t="s">
        <v>73</v>
      </c>
      <c r="CO230">
        <v>-82.5</v>
      </c>
      <c r="CP230">
        <v>42483883</v>
      </c>
      <c r="CQ230" s="73">
        <v>45373.25</v>
      </c>
      <c r="CR230" t="s">
        <v>229</v>
      </c>
      <c r="CS230" t="s">
        <v>99</v>
      </c>
      <c r="CU230" t="s">
        <v>225</v>
      </c>
    </row>
    <row r="231" spans="1:99">
      <c r="A231" t="s">
        <v>103</v>
      </c>
      <c r="B231" t="s">
        <v>98</v>
      </c>
      <c r="J231" t="s">
        <v>225</v>
      </c>
      <c r="K231" t="s">
        <v>225</v>
      </c>
      <c r="M231" s="73">
        <v>45373.25</v>
      </c>
      <c r="N231">
        <v>42483882</v>
      </c>
      <c r="O231">
        <v>1650</v>
      </c>
      <c r="P231" t="s">
        <v>104</v>
      </c>
      <c r="Q231">
        <v>1650</v>
      </c>
      <c r="R231" t="s">
        <v>104</v>
      </c>
      <c r="S231">
        <v>82.5</v>
      </c>
      <c r="T231" t="s">
        <v>73</v>
      </c>
      <c r="U231" t="s">
        <v>226</v>
      </c>
      <c r="V231" t="s">
        <v>337</v>
      </c>
      <c r="W231" t="s">
        <v>235</v>
      </c>
      <c r="X231" t="s">
        <v>229</v>
      </c>
      <c r="Y231" t="s">
        <v>103</v>
      </c>
      <c r="AD231" t="s">
        <v>104</v>
      </c>
      <c r="AE231">
        <v>1650</v>
      </c>
      <c r="AF231">
        <v>42483882</v>
      </c>
      <c r="AG231" s="73">
        <v>45373.25</v>
      </c>
      <c r="AH231" t="s">
        <v>226</v>
      </c>
      <c r="AI231" t="s">
        <v>337</v>
      </c>
      <c r="AJ231" t="s">
        <v>235</v>
      </c>
      <c r="AK231" t="s">
        <v>229</v>
      </c>
      <c r="AL231" t="s">
        <v>103</v>
      </c>
      <c r="AP231" t="s">
        <v>230</v>
      </c>
      <c r="AQ231" t="s">
        <v>231</v>
      </c>
      <c r="AT231" t="s">
        <v>232</v>
      </c>
      <c r="AU231">
        <v>-99</v>
      </c>
      <c r="AV231" t="s">
        <v>104</v>
      </c>
      <c r="AW231">
        <v>1650</v>
      </c>
      <c r="AX231">
        <v>42483882</v>
      </c>
      <c r="AY231" s="73">
        <v>45373.25</v>
      </c>
      <c r="AZ231" t="s">
        <v>226</v>
      </c>
      <c r="BA231" t="s">
        <v>337</v>
      </c>
      <c r="BB231" t="s">
        <v>235</v>
      </c>
      <c r="BC231" t="s">
        <v>229</v>
      </c>
      <c r="BD231" t="s">
        <v>103</v>
      </c>
      <c r="BI231" t="s">
        <v>233</v>
      </c>
      <c r="BJ231" t="s">
        <v>0</v>
      </c>
      <c r="BK231">
        <v>42483868</v>
      </c>
      <c r="BN231" t="s">
        <v>104</v>
      </c>
      <c r="BO231">
        <v>42483874</v>
      </c>
      <c r="BR231">
        <v>1650</v>
      </c>
      <c r="BS231">
        <v>42483882</v>
      </c>
      <c r="BT231" s="73">
        <v>45373.25</v>
      </c>
      <c r="BU231" t="s">
        <v>226</v>
      </c>
      <c r="BV231" t="s">
        <v>337</v>
      </c>
      <c r="BW231" t="s">
        <v>235</v>
      </c>
      <c r="CH231" t="s">
        <v>229</v>
      </c>
      <c r="CI231" t="s">
        <v>103</v>
      </c>
      <c r="CJ231" t="s">
        <v>226</v>
      </c>
      <c r="CK231" t="s">
        <v>337</v>
      </c>
      <c r="CL231" t="s">
        <v>235</v>
      </c>
      <c r="CM231" t="s">
        <v>236</v>
      </c>
      <c r="CN231" t="s">
        <v>104</v>
      </c>
      <c r="CO231">
        <v>1650</v>
      </c>
      <c r="CP231">
        <v>42483882</v>
      </c>
      <c r="CQ231" s="73">
        <v>45373.25</v>
      </c>
      <c r="CR231" t="s">
        <v>229</v>
      </c>
      <c r="CS231" t="s">
        <v>103</v>
      </c>
      <c r="CU231" t="s">
        <v>225</v>
      </c>
    </row>
    <row r="232" spans="1:99">
      <c r="A232" t="s">
        <v>111</v>
      </c>
      <c r="B232" t="s">
        <v>77</v>
      </c>
      <c r="J232" t="s">
        <v>225</v>
      </c>
      <c r="K232" t="s">
        <v>225</v>
      </c>
      <c r="M232" s="73">
        <v>45373.25</v>
      </c>
      <c r="N232">
        <v>42483881</v>
      </c>
      <c r="O232">
        <v>4</v>
      </c>
      <c r="P232" t="s">
        <v>45</v>
      </c>
      <c r="Q232">
        <v>4</v>
      </c>
      <c r="R232" t="s">
        <v>45</v>
      </c>
      <c r="U232" t="s">
        <v>226</v>
      </c>
      <c r="V232" t="s">
        <v>337</v>
      </c>
      <c r="W232" t="s">
        <v>237</v>
      </c>
      <c r="X232" t="s">
        <v>229</v>
      </c>
      <c r="Y232" t="s">
        <v>111</v>
      </c>
      <c r="AD232" t="s">
        <v>45</v>
      </c>
      <c r="AE232">
        <v>4</v>
      </c>
      <c r="AF232">
        <v>42483881</v>
      </c>
      <c r="AG232" s="73">
        <v>45373.25</v>
      </c>
      <c r="AH232" t="s">
        <v>226</v>
      </c>
      <c r="AI232" t="s">
        <v>337</v>
      </c>
      <c r="AJ232" t="s">
        <v>237</v>
      </c>
      <c r="AK232" t="s">
        <v>229</v>
      </c>
      <c r="AL232" t="s">
        <v>111</v>
      </c>
      <c r="AP232" t="s">
        <v>230</v>
      </c>
      <c r="AQ232" t="s">
        <v>231</v>
      </c>
      <c r="AT232" t="s">
        <v>232</v>
      </c>
      <c r="AU232">
        <v>-99</v>
      </c>
      <c r="AV232" t="s">
        <v>45</v>
      </c>
      <c r="AW232">
        <v>4</v>
      </c>
      <c r="AX232">
        <v>42483881</v>
      </c>
      <c r="AY232" s="73">
        <v>45373.25</v>
      </c>
      <c r="AZ232" t="s">
        <v>226</v>
      </c>
      <c r="BA232" t="s">
        <v>337</v>
      </c>
      <c r="BB232" t="s">
        <v>237</v>
      </c>
      <c r="BC232" t="s">
        <v>229</v>
      </c>
      <c r="BD232" t="s">
        <v>111</v>
      </c>
      <c r="BI232" t="s">
        <v>233</v>
      </c>
      <c r="BJ232" t="s">
        <v>0</v>
      </c>
      <c r="BK232">
        <v>42483868</v>
      </c>
      <c r="BN232" t="s">
        <v>45</v>
      </c>
      <c r="BO232">
        <v>42483876</v>
      </c>
      <c r="BR232">
        <v>4</v>
      </c>
      <c r="BS232">
        <v>42483881</v>
      </c>
      <c r="BT232" s="73">
        <v>45373.25</v>
      </c>
      <c r="BU232" t="s">
        <v>226</v>
      </c>
      <c r="BV232" t="s">
        <v>337</v>
      </c>
      <c r="BW232" t="s">
        <v>237</v>
      </c>
      <c r="CH232" t="s">
        <v>229</v>
      </c>
      <c r="CI232" t="s">
        <v>111</v>
      </c>
      <c r="CJ232" t="s">
        <v>226</v>
      </c>
      <c r="CK232" t="s">
        <v>337</v>
      </c>
      <c r="CL232" t="s">
        <v>237</v>
      </c>
      <c r="CM232" t="s">
        <v>236</v>
      </c>
      <c r="CN232" t="s">
        <v>45</v>
      </c>
      <c r="CO232">
        <v>4</v>
      </c>
      <c r="CP232">
        <v>42483881</v>
      </c>
      <c r="CQ232" s="73">
        <v>45373.25</v>
      </c>
      <c r="CR232" t="s">
        <v>229</v>
      </c>
      <c r="CS232" t="s">
        <v>111</v>
      </c>
      <c r="CU232" t="s">
        <v>225</v>
      </c>
    </row>
    <row r="233" spans="1:99">
      <c r="A233" t="s">
        <v>99</v>
      </c>
      <c r="B233" t="s">
        <v>98</v>
      </c>
      <c r="J233" t="s">
        <v>225</v>
      </c>
      <c r="K233" t="s">
        <v>225</v>
      </c>
      <c r="M233" s="73">
        <v>45372.923611111109</v>
      </c>
      <c r="N233">
        <v>42465892</v>
      </c>
      <c r="O233">
        <v>465.28</v>
      </c>
      <c r="P233" t="s">
        <v>73</v>
      </c>
      <c r="Q233">
        <v>465.28</v>
      </c>
      <c r="R233" t="s">
        <v>73</v>
      </c>
      <c r="U233" t="s">
        <v>226</v>
      </c>
      <c r="V233" t="s">
        <v>338</v>
      </c>
      <c r="W233" t="s">
        <v>235</v>
      </c>
      <c r="X233" t="s">
        <v>229</v>
      </c>
      <c r="Y233" t="s">
        <v>99</v>
      </c>
      <c r="AD233" t="s">
        <v>73</v>
      </c>
      <c r="AE233">
        <v>465.28</v>
      </c>
      <c r="AF233">
        <v>42465892</v>
      </c>
      <c r="AG233" s="73">
        <v>45372.923611111109</v>
      </c>
      <c r="AH233" t="s">
        <v>226</v>
      </c>
      <c r="AI233" t="s">
        <v>338</v>
      </c>
      <c r="AJ233" t="s">
        <v>235</v>
      </c>
      <c r="AK233" t="s">
        <v>229</v>
      </c>
      <c r="AL233" t="s">
        <v>99</v>
      </c>
      <c r="AP233" t="s">
        <v>230</v>
      </c>
      <c r="AQ233" t="s">
        <v>231</v>
      </c>
      <c r="AT233" t="s">
        <v>232</v>
      </c>
      <c r="AU233">
        <v>-99</v>
      </c>
      <c r="AV233" t="s">
        <v>73</v>
      </c>
      <c r="AW233">
        <v>465.28</v>
      </c>
      <c r="AX233">
        <v>42465892</v>
      </c>
      <c r="AY233" s="73">
        <v>45372.923611111109</v>
      </c>
      <c r="AZ233" t="s">
        <v>226</v>
      </c>
      <c r="BA233" t="s">
        <v>338</v>
      </c>
      <c r="BB233" t="s">
        <v>235</v>
      </c>
      <c r="BC233" t="s">
        <v>229</v>
      </c>
      <c r="BD233" t="s">
        <v>99</v>
      </c>
      <c r="BI233" t="s">
        <v>233</v>
      </c>
      <c r="BJ233" t="s">
        <v>0</v>
      </c>
      <c r="BK233">
        <v>42465888</v>
      </c>
      <c r="BN233" t="s">
        <v>73</v>
      </c>
      <c r="BO233">
        <v>42465890</v>
      </c>
      <c r="BR233">
        <v>465.28</v>
      </c>
      <c r="BS233">
        <v>42465892</v>
      </c>
      <c r="BT233" s="73">
        <v>45372.923611111109</v>
      </c>
      <c r="BU233" t="s">
        <v>226</v>
      </c>
      <c r="BV233" t="s">
        <v>338</v>
      </c>
      <c r="BW233" t="s">
        <v>235</v>
      </c>
      <c r="CH233" t="s">
        <v>229</v>
      </c>
      <c r="CI233" t="s">
        <v>99</v>
      </c>
      <c r="CJ233" t="s">
        <v>226</v>
      </c>
      <c r="CK233" t="s">
        <v>338</v>
      </c>
      <c r="CL233" t="s">
        <v>235</v>
      </c>
      <c r="CM233" t="s">
        <v>236</v>
      </c>
      <c r="CN233" t="s">
        <v>73</v>
      </c>
      <c r="CO233">
        <v>465.28</v>
      </c>
      <c r="CP233">
        <v>42465892</v>
      </c>
      <c r="CQ233" s="73">
        <v>45372.923611111109</v>
      </c>
      <c r="CR233" t="s">
        <v>229</v>
      </c>
      <c r="CS233" t="s">
        <v>99</v>
      </c>
      <c r="CU233" t="s">
        <v>225</v>
      </c>
    </row>
    <row r="234" spans="1:99">
      <c r="A234" t="s">
        <v>71</v>
      </c>
      <c r="B234" t="s">
        <v>77</v>
      </c>
      <c r="J234" t="s">
        <v>225</v>
      </c>
      <c r="K234" t="s">
        <v>225</v>
      </c>
      <c r="M234" s="73">
        <v>45372.923611111109</v>
      </c>
      <c r="N234">
        <v>42465885</v>
      </c>
      <c r="O234">
        <v>0.28000000000000003</v>
      </c>
      <c r="P234" t="s">
        <v>73</v>
      </c>
      <c r="Q234">
        <v>0.28000000000000003</v>
      </c>
      <c r="R234" t="s">
        <v>73</v>
      </c>
      <c r="U234" t="s">
        <v>226</v>
      </c>
      <c r="V234" t="s">
        <v>338</v>
      </c>
      <c r="W234" t="s">
        <v>237</v>
      </c>
      <c r="X234" t="s">
        <v>229</v>
      </c>
      <c r="Y234" t="s">
        <v>71</v>
      </c>
      <c r="AD234" t="s">
        <v>73</v>
      </c>
      <c r="AE234">
        <v>0.28000000000000003</v>
      </c>
      <c r="AF234">
        <v>42465885</v>
      </c>
      <c r="AG234" s="73">
        <v>45372.923611111109</v>
      </c>
      <c r="AH234" t="s">
        <v>226</v>
      </c>
      <c r="AI234" t="s">
        <v>338</v>
      </c>
      <c r="AJ234" t="s">
        <v>237</v>
      </c>
      <c r="AK234" t="s">
        <v>229</v>
      </c>
      <c r="AL234" t="s">
        <v>71</v>
      </c>
      <c r="AP234" t="s">
        <v>230</v>
      </c>
      <c r="AQ234" t="s">
        <v>231</v>
      </c>
      <c r="AT234" t="s">
        <v>232</v>
      </c>
      <c r="AU234">
        <v>-99</v>
      </c>
      <c r="AV234" t="s">
        <v>73</v>
      </c>
      <c r="AW234">
        <v>0.28000000000000003</v>
      </c>
      <c r="AX234">
        <v>42465885</v>
      </c>
      <c r="AY234" s="73">
        <v>45372.923611111109</v>
      </c>
      <c r="AZ234" t="s">
        <v>226</v>
      </c>
      <c r="BA234" t="s">
        <v>338</v>
      </c>
      <c r="BB234" t="s">
        <v>237</v>
      </c>
      <c r="BC234" t="s">
        <v>229</v>
      </c>
      <c r="BD234" t="s">
        <v>71</v>
      </c>
      <c r="BI234" t="s">
        <v>233</v>
      </c>
      <c r="BJ234" t="s">
        <v>0</v>
      </c>
      <c r="BK234">
        <v>42465881</v>
      </c>
      <c r="BN234" t="s">
        <v>73</v>
      </c>
      <c r="BO234">
        <v>42465883</v>
      </c>
      <c r="BR234">
        <v>0.28000000000000003</v>
      </c>
      <c r="BS234">
        <v>42465885</v>
      </c>
      <c r="BT234" s="73">
        <v>45372.923611111109</v>
      </c>
      <c r="BU234" t="s">
        <v>226</v>
      </c>
      <c r="BV234" t="s">
        <v>338</v>
      </c>
      <c r="BW234" t="s">
        <v>237</v>
      </c>
      <c r="CH234" t="s">
        <v>229</v>
      </c>
      <c r="CI234" t="s">
        <v>71</v>
      </c>
      <c r="CJ234" t="s">
        <v>226</v>
      </c>
      <c r="CK234" t="s">
        <v>338</v>
      </c>
      <c r="CL234" t="s">
        <v>237</v>
      </c>
      <c r="CM234" t="s">
        <v>236</v>
      </c>
      <c r="CN234" t="s">
        <v>73</v>
      </c>
      <c r="CO234">
        <v>0.28000000000000003</v>
      </c>
      <c r="CP234">
        <v>42465885</v>
      </c>
      <c r="CQ234" s="73">
        <v>45372.923611111109</v>
      </c>
      <c r="CR234" t="s">
        <v>229</v>
      </c>
      <c r="CS234" t="s">
        <v>71</v>
      </c>
      <c r="CU234" t="s">
        <v>225</v>
      </c>
    </row>
    <row r="235" spans="1:99">
      <c r="A235" t="s">
        <v>131</v>
      </c>
      <c r="B235" t="s">
        <v>90</v>
      </c>
      <c r="J235" t="s">
        <v>225</v>
      </c>
      <c r="K235" t="s">
        <v>225</v>
      </c>
      <c r="M235" s="73">
        <v>45372.923611111109</v>
      </c>
      <c r="N235">
        <v>42465878</v>
      </c>
      <c r="O235">
        <v>-43</v>
      </c>
      <c r="P235" t="s">
        <v>73</v>
      </c>
      <c r="Q235">
        <v>-43</v>
      </c>
      <c r="R235" t="s">
        <v>73</v>
      </c>
      <c r="U235" t="s">
        <v>226</v>
      </c>
      <c r="V235" t="s">
        <v>338</v>
      </c>
      <c r="W235" t="s">
        <v>228</v>
      </c>
      <c r="X235" t="s">
        <v>229</v>
      </c>
      <c r="Y235" t="s">
        <v>131</v>
      </c>
      <c r="AD235" t="s">
        <v>73</v>
      </c>
      <c r="AE235">
        <v>-43</v>
      </c>
      <c r="AF235">
        <v>42465878</v>
      </c>
      <c r="AG235" s="73">
        <v>45372.923611111109</v>
      </c>
      <c r="AH235" t="s">
        <v>226</v>
      </c>
      <c r="AI235" t="s">
        <v>338</v>
      </c>
      <c r="AJ235" t="s">
        <v>228</v>
      </c>
      <c r="AK235" t="s">
        <v>229</v>
      </c>
      <c r="AL235" t="s">
        <v>131</v>
      </c>
      <c r="AP235" t="s">
        <v>230</v>
      </c>
      <c r="AQ235" t="s">
        <v>231</v>
      </c>
      <c r="AT235" t="s">
        <v>232</v>
      </c>
      <c r="AU235">
        <v>-99</v>
      </c>
      <c r="AV235" t="s">
        <v>73</v>
      </c>
      <c r="AW235">
        <v>-43</v>
      </c>
      <c r="AX235">
        <v>42465878</v>
      </c>
      <c r="AY235" s="73">
        <v>45372.923611111109</v>
      </c>
      <c r="AZ235" t="s">
        <v>226</v>
      </c>
      <c r="BA235" t="s">
        <v>338</v>
      </c>
      <c r="BB235" t="s">
        <v>228</v>
      </c>
      <c r="BC235" t="s">
        <v>229</v>
      </c>
      <c r="BD235" t="s">
        <v>131</v>
      </c>
      <c r="BI235" t="s">
        <v>233</v>
      </c>
      <c r="BJ235" t="s">
        <v>0</v>
      </c>
      <c r="BK235">
        <v>42465874</v>
      </c>
      <c r="BN235" t="s">
        <v>73</v>
      </c>
      <c r="BR235">
        <v>-43</v>
      </c>
      <c r="BS235">
        <v>42465878</v>
      </c>
      <c r="BT235" s="73">
        <v>45372.923611111109</v>
      </c>
      <c r="BU235" t="s">
        <v>226</v>
      </c>
      <c r="BV235" t="s">
        <v>338</v>
      </c>
      <c r="BW235" t="s">
        <v>228</v>
      </c>
      <c r="CH235" t="s">
        <v>229</v>
      </c>
      <c r="CI235" t="s">
        <v>131</v>
      </c>
      <c r="CJ235" t="s">
        <v>226</v>
      </c>
      <c r="CK235" t="s">
        <v>338</v>
      </c>
      <c r="CL235" t="s">
        <v>228</v>
      </c>
      <c r="CM235" t="s">
        <v>234</v>
      </c>
      <c r="CN235" t="s">
        <v>73</v>
      </c>
      <c r="CO235">
        <v>-43</v>
      </c>
      <c r="CP235">
        <v>42465878</v>
      </c>
      <c r="CQ235" s="73">
        <v>45372.923611111109</v>
      </c>
      <c r="CR235" t="s">
        <v>229</v>
      </c>
      <c r="CS235" t="s">
        <v>131</v>
      </c>
      <c r="CU235" t="s">
        <v>225</v>
      </c>
    </row>
    <row r="236" spans="1:99">
      <c r="A236" t="s">
        <v>87</v>
      </c>
      <c r="B236" t="s">
        <v>90</v>
      </c>
      <c r="J236" t="s">
        <v>225</v>
      </c>
      <c r="K236" t="s">
        <v>225</v>
      </c>
      <c r="M236" s="73">
        <v>45372.923611111109</v>
      </c>
      <c r="N236">
        <v>42465871</v>
      </c>
      <c r="O236">
        <v>-24</v>
      </c>
      <c r="P236" t="s">
        <v>73</v>
      </c>
      <c r="Q236">
        <v>-24</v>
      </c>
      <c r="R236" t="s">
        <v>73</v>
      </c>
      <c r="U236" t="s">
        <v>226</v>
      </c>
      <c r="V236" t="s">
        <v>338</v>
      </c>
      <c r="W236" t="s">
        <v>228</v>
      </c>
      <c r="X236" t="s">
        <v>229</v>
      </c>
      <c r="Y236" t="s">
        <v>87</v>
      </c>
      <c r="AD236" t="s">
        <v>73</v>
      </c>
      <c r="AE236">
        <v>-24</v>
      </c>
      <c r="AF236">
        <v>42465871</v>
      </c>
      <c r="AG236" s="73">
        <v>45372.923611111109</v>
      </c>
      <c r="AH236" t="s">
        <v>226</v>
      </c>
      <c r="AI236" t="s">
        <v>338</v>
      </c>
      <c r="AJ236" t="s">
        <v>228</v>
      </c>
      <c r="AK236" t="s">
        <v>229</v>
      </c>
      <c r="AL236" t="s">
        <v>87</v>
      </c>
      <c r="AP236" t="s">
        <v>230</v>
      </c>
      <c r="AQ236" t="s">
        <v>231</v>
      </c>
      <c r="AT236" t="s">
        <v>232</v>
      </c>
      <c r="AU236">
        <v>-99</v>
      </c>
      <c r="AV236" t="s">
        <v>73</v>
      </c>
      <c r="AW236">
        <v>-24</v>
      </c>
      <c r="AX236">
        <v>42465871</v>
      </c>
      <c r="AY236" s="73">
        <v>45372.923611111109</v>
      </c>
      <c r="AZ236" t="s">
        <v>226</v>
      </c>
      <c r="BA236" t="s">
        <v>338</v>
      </c>
      <c r="BB236" t="s">
        <v>228</v>
      </c>
      <c r="BC236" t="s">
        <v>229</v>
      </c>
      <c r="BD236" t="s">
        <v>87</v>
      </c>
      <c r="BI236" t="s">
        <v>233</v>
      </c>
      <c r="BJ236" t="s">
        <v>0</v>
      </c>
      <c r="BK236">
        <v>42465867</v>
      </c>
      <c r="BN236" t="s">
        <v>73</v>
      </c>
      <c r="BR236">
        <v>-24</v>
      </c>
      <c r="BS236">
        <v>42465871</v>
      </c>
      <c r="BT236" s="73">
        <v>45372.923611111109</v>
      </c>
      <c r="BU236" t="s">
        <v>226</v>
      </c>
      <c r="BV236" t="s">
        <v>338</v>
      </c>
      <c r="BW236" t="s">
        <v>228</v>
      </c>
      <c r="CH236" t="s">
        <v>229</v>
      </c>
      <c r="CI236" t="s">
        <v>87</v>
      </c>
      <c r="CJ236" t="s">
        <v>226</v>
      </c>
      <c r="CK236" t="s">
        <v>338</v>
      </c>
      <c r="CL236" t="s">
        <v>228</v>
      </c>
      <c r="CM236" t="s">
        <v>234</v>
      </c>
      <c r="CN236" t="s">
        <v>73</v>
      </c>
      <c r="CO236">
        <v>-24</v>
      </c>
      <c r="CP236">
        <v>42465871</v>
      </c>
      <c r="CQ236" s="73">
        <v>45372.923611111109</v>
      </c>
      <c r="CR236" t="s">
        <v>229</v>
      </c>
      <c r="CS236" t="s">
        <v>87</v>
      </c>
      <c r="CU236" t="s">
        <v>225</v>
      </c>
    </row>
    <row r="237" spans="1:99">
      <c r="A237" t="s">
        <v>133</v>
      </c>
      <c r="B237" t="s">
        <v>90</v>
      </c>
      <c r="J237" t="s">
        <v>225</v>
      </c>
      <c r="K237" t="s">
        <v>225</v>
      </c>
      <c r="M237" s="73">
        <v>45372.923611111109</v>
      </c>
      <c r="N237">
        <v>42465864</v>
      </c>
      <c r="O237">
        <v>-197.1</v>
      </c>
      <c r="P237" t="s">
        <v>73</v>
      </c>
      <c r="Q237">
        <v>-197.1</v>
      </c>
      <c r="R237" t="s">
        <v>73</v>
      </c>
      <c r="U237" t="s">
        <v>226</v>
      </c>
      <c r="V237" t="s">
        <v>338</v>
      </c>
      <c r="W237" t="s">
        <v>228</v>
      </c>
      <c r="X237" t="s">
        <v>229</v>
      </c>
      <c r="Y237" t="s">
        <v>133</v>
      </c>
      <c r="AD237" t="s">
        <v>73</v>
      </c>
      <c r="AE237">
        <v>-197.1</v>
      </c>
      <c r="AF237">
        <v>42465864</v>
      </c>
      <c r="AG237" s="73">
        <v>45372.923611111109</v>
      </c>
      <c r="AH237" t="s">
        <v>226</v>
      </c>
      <c r="AI237" t="s">
        <v>338</v>
      </c>
      <c r="AJ237" t="s">
        <v>228</v>
      </c>
      <c r="AK237" t="s">
        <v>229</v>
      </c>
      <c r="AL237" t="s">
        <v>133</v>
      </c>
      <c r="AP237" t="s">
        <v>230</v>
      </c>
      <c r="AQ237" t="s">
        <v>231</v>
      </c>
      <c r="AT237" t="s">
        <v>232</v>
      </c>
      <c r="AU237">
        <v>-99</v>
      </c>
      <c r="AV237" t="s">
        <v>73</v>
      </c>
      <c r="AW237">
        <v>-197.1</v>
      </c>
      <c r="AX237">
        <v>42465864</v>
      </c>
      <c r="AY237" s="73">
        <v>45372.923611111109</v>
      </c>
      <c r="AZ237" t="s">
        <v>226</v>
      </c>
      <c r="BA237" t="s">
        <v>338</v>
      </c>
      <c r="BB237" t="s">
        <v>228</v>
      </c>
      <c r="BC237" t="s">
        <v>229</v>
      </c>
      <c r="BD237" t="s">
        <v>133</v>
      </c>
      <c r="BI237" t="s">
        <v>233</v>
      </c>
      <c r="BJ237" t="s">
        <v>0</v>
      </c>
      <c r="BK237">
        <v>42465860</v>
      </c>
      <c r="BN237" t="s">
        <v>73</v>
      </c>
      <c r="BR237">
        <v>-197.1</v>
      </c>
      <c r="BS237">
        <v>42465864</v>
      </c>
      <c r="BT237" s="73">
        <v>45372.923611111109</v>
      </c>
      <c r="BU237" t="s">
        <v>226</v>
      </c>
      <c r="BV237" t="s">
        <v>338</v>
      </c>
      <c r="BW237" t="s">
        <v>228</v>
      </c>
      <c r="CH237" t="s">
        <v>229</v>
      </c>
      <c r="CI237" t="s">
        <v>133</v>
      </c>
      <c r="CJ237" t="s">
        <v>226</v>
      </c>
      <c r="CK237" t="s">
        <v>338</v>
      </c>
      <c r="CL237" t="s">
        <v>228</v>
      </c>
      <c r="CM237" t="s">
        <v>234</v>
      </c>
      <c r="CN237" t="s">
        <v>73</v>
      </c>
      <c r="CO237">
        <v>-197.1</v>
      </c>
      <c r="CP237">
        <v>42465864</v>
      </c>
      <c r="CQ237" s="73">
        <v>45372.923611111109</v>
      </c>
      <c r="CR237" t="s">
        <v>229</v>
      </c>
      <c r="CS237" t="s">
        <v>133</v>
      </c>
      <c r="CU237" t="s">
        <v>225</v>
      </c>
    </row>
    <row r="238" spans="1:99">
      <c r="A238" t="s">
        <v>127</v>
      </c>
      <c r="B238" t="s">
        <v>90</v>
      </c>
      <c r="J238" t="s">
        <v>225</v>
      </c>
      <c r="K238" t="s">
        <v>225</v>
      </c>
      <c r="M238" s="73">
        <v>45372.923611111109</v>
      </c>
      <c r="N238">
        <v>42465857</v>
      </c>
      <c r="O238">
        <v>-216.8</v>
      </c>
      <c r="P238" t="s">
        <v>73</v>
      </c>
      <c r="Q238">
        <v>-216.8</v>
      </c>
      <c r="R238" t="s">
        <v>73</v>
      </c>
      <c r="U238" t="s">
        <v>226</v>
      </c>
      <c r="V238" t="s">
        <v>338</v>
      </c>
      <c r="W238" t="s">
        <v>228</v>
      </c>
      <c r="X238" t="s">
        <v>229</v>
      </c>
      <c r="Y238" t="s">
        <v>127</v>
      </c>
      <c r="AD238" t="s">
        <v>73</v>
      </c>
      <c r="AE238">
        <v>-216.8</v>
      </c>
      <c r="AF238">
        <v>42465857</v>
      </c>
      <c r="AG238" s="73">
        <v>45372.923611111109</v>
      </c>
      <c r="AH238" t="s">
        <v>226</v>
      </c>
      <c r="AI238" t="s">
        <v>338</v>
      </c>
      <c r="AJ238" t="s">
        <v>228</v>
      </c>
      <c r="AK238" t="s">
        <v>229</v>
      </c>
      <c r="AL238" t="s">
        <v>127</v>
      </c>
      <c r="AP238" t="s">
        <v>230</v>
      </c>
      <c r="AQ238" t="s">
        <v>231</v>
      </c>
      <c r="AT238" t="s">
        <v>232</v>
      </c>
      <c r="AU238">
        <v>-99</v>
      </c>
      <c r="AV238" t="s">
        <v>73</v>
      </c>
      <c r="AW238">
        <v>-216.8</v>
      </c>
      <c r="AX238">
        <v>42465857</v>
      </c>
      <c r="AY238" s="73">
        <v>45372.923611111109</v>
      </c>
      <c r="AZ238" t="s">
        <v>226</v>
      </c>
      <c r="BA238" t="s">
        <v>338</v>
      </c>
      <c r="BB238" t="s">
        <v>228</v>
      </c>
      <c r="BC238" t="s">
        <v>229</v>
      </c>
      <c r="BD238" t="s">
        <v>127</v>
      </c>
      <c r="BI238" t="s">
        <v>233</v>
      </c>
      <c r="BJ238" t="s">
        <v>0</v>
      </c>
      <c r="BK238">
        <v>42465853</v>
      </c>
      <c r="BN238" t="s">
        <v>73</v>
      </c>
      <c r="BR238">
        <v>-216.8</v>
      </c>
      <c r="BS238">
        <v>42465857</v>
      </c>
      <c r="BT238" s="73">
        <v>45372.923611111109</v>
      </c>
      <c r="BU238" t="s">
        <v>226</v>
      </c>
      <c r="BV238" t="s">
        <v>338</v>
      </c>
      <c r="BW238" t="s">
        <v>228</v>
      </c>
      <c r="CH238" t="s">
        <v>229</v>
      </c>
      <c r="CI238" t="s">
        <v>127</v>
      </c>
      <c r="CJ238" t="s">
        <v>226</v>
      </c>
      <c r="CK238" t="s">
        <v>338</v>
      </c>
      <c r="CL238" t="s">
        <v>228</v>
      </c>
      <c r="CM238" t="s">
        <v>234</v>
      </c>
      <c r="CN238" t="s">
        <v>73</v>
      </c>
      <c r="CO238">
        <v>-216.8</v>
      </c>
      <c r="CP238">
        <v>42465857</v>
      </c>
      <c r="CQ238" s="73">
        <v>45372.923611111109</v>
      </c>
      <c r="CR238" t="s">
        <v>229</v>
      </c>
      <c r="CS238" t="s">
        <v>127</v>
      </c>
      <c r="CU238" t="s">
        <v>225</v>
      </c>
    </row>
    <row r="239" spans="1:99">
      <c r="A239" t="s">
        <v>52</v>
      </c>
      <c r="B239" t="s">
        <v>92</v>
      </c>
      <c r="J239" t="s">
        <v>225</v>
      </c>
      <c r="K239" t="s">
        <v>225</v>
      </c>
      <c r="M239" s="73">
        <v>45372.916666666664</v>
      </c>
      <c r="N239">
        <v>42471383</v>
      </c>
      <c r="O239">
        <v>-3130</v>
      </c>
      <c r="P239" t="s">
        <v>45</v>
      </c>
      <c r="Q239">
        <v>-3130</v>
      </c>
      <c r="R239" t="s">
        <v>45</v>
      </c>
      <c r="U239" t="s">
        <v>226</v>
      </c>
      <c r="V239" t="s">
        <v>339</v>
      </c>
      <c r="W239" t="s">
        <v>228</v>
      </c>
      <c r="X239" t="s">
        <v>229</v>
      </c>
      <c r="Y239" t="s">
        <v>52</v>
      </c>
      <c r="AD239" t="s">
        <v>45</v>
      </c>
      <c r="AE239">
        <v>-3130</v>
      </c>
      <c r="AF239">
        <v>42471383</v>
      </c>
      <c r="AG239" s="73">
        <v>45372.916666666664</v>
      </c>
      <c r="AH239" t="s">
        <v>226</v>
      </c>
      <c r="AI239" t="s">
        <v>339</v>
      </c>
      <c r="AJ239" t="s">
        <v>228</v>
      </c>
      <c r="AK239" t="s">
        <v>229</v>
      </c>
      <c r="AL239" t="s">
        <v>52</v>
      </c>
      <c r="AP239" t="s">
        <v>230</v>
      </c>
      <c r="AQ239" t="s">
        <v>231</v>
      </c>
      <c r="AT239" t="s">
        <v>232</v>
      </c>
      <c r="AU239">
        <v>-99</v>
      </c>
      <c r="AV239" t="s">
        <v>45</v>
      </c>
      <c r="AW239">
        <v>-3130</v>
      </c>
      <c r="AX239">
        <v>42471383</v>
      </c>
      <c r="AY239" s="73">
        <v>45372.916666666664</v>
      </c>
      <c r="AZ239" t="s">
        <v>226</v>
      </c>
      <c r="BA239" t="s">
        <v>339</v>
      </c>
      <c r="BB239" t="s">
        <v>228</v>
      </c>
      <c r="BC239" t="s">
        <v>229</v>
      </c>
      <c r="BD239" t="s">
        <v>52</v>
      </c>
      <c r="BI239" t="s">
        <v>233</v>
      </c>
      <c r="BJ239" t="s">
        <v>0</v>
      </c>
      <c r="BK239">
        <v>42471184</v>
      </c>
      <c r="BN239" t="s">
        <v>45</v>
      </c>
      <c r="BR239">
        <v>-3130</v>
      </c>
      <c r="BS239">
        <v>42471383</v>
      </c>
      <c r="BT239" s="73">
        <v>45372.916666666664</v>
      </c>
      <c r="BU239" t="s">
        <v>226</v>
      </c>
      <c r="BV239" t="s">
        <v>339</v>
      </c>
      <c r="BW239" t="s">
        <v>228</v>
      </c>
      <c r="CH239" t="s">
        <v>229</v>
      </c>
      <c r="CI239" t="s">
        <v>52</v>
      </c>
      <c r="CJ239" t="s">
        <v>226</v>
      </c>
      <c r="CK239" t="s">
        <v>339</v>
      </c>
      <c r="CL239" t="s">
        <v>228</v>
      </c>
      <c r="CM239" t="s">
        <v>234</v>
      </c>
      <c r="CN239" t="s">
        <v>45</v>
      </c>
      <c r="CO239">
        <v>-3130</v>
      </c>
      <c r="CP239">
        <v>42471383</v>
      </c>
      <c r="CQ239" s="73">
        <v>45372.916666666664</v>
      </c>
      <c r="CR239" t="s">
        <v>229</v>
      </c>
      <c r="CS239" t="s">
        <v>52</v>
      </c>
      <c r="CU239" t="s">
        <v>225</v>
      </c>
    </row>
    <row r="240" spans="1:99">
      <c r="A240" t="s">
        <v>101</v>
      </c>
      <c r="B240" t="s">
        <v>98</v>
      </c>
      <c r="J240" t="s">
        <v>225</v>
      </c>
      <c r="K240" t="s">
        <v>225</v>
      </c>
      <c r="M240" s="73">
        <v>45372.916666666664</v>
      </c>
      <c r="N240">
        <v>42471382</v>
      </c>
      <c r="O240">
        <v>-156.5</v>
      </c>
      <c r="P240" t="s">
        <v>73</v>
      </c>
      <c r="Q240">
        <v>-156.5</v>
      </c>
      <c r="R240" t="s">
        <v>73</v>
      </c>
      <c r="U240" t="s">
        <v>226</v>
      </c>
      <c r="V240" t="s">
        <v>339</v>
      </c>
      <c r="W240" t="s">
        <v>228</v>
      </c>
      <c r="X240" t="s">
        <v>229</v>
      </c>
      <c r="Y240" t="s">
        <v>101</v>
      </c>
      <c r="AD240" t="s">
        <v>73</v>
      </c>
      <c r="AE240">
        <v>-156.5</v>
      </c>
      <c r="AF240">
        <v>42471382</v>
      </c>
      <c r="AG240" s="73">
        <v>45372.916666666664</v>
      </c>
      <c r="AH240" t="s">
        <v>226</v>
      </c>
      <c r="AI240" t="s">
        <v>339</v>
      </c>
      <c r="AJ240" t="s">
        <v>228</v>
      </c>
      <c r="AK240" t="s">
        <v>229</v>
      </c>
      <c r="AL240" t="s">
        <v>101</v>
      </c>
      <c r="AP240" t="s">
        <v>230</v>
      </c>
      <c r="AQ240" t="s">
        <v>231</v>
      </c>
      <c r="AT240" t="s">
        <v>232</v>
      </c>
      <c r="AU240">
        <v>-99</v>
      </c>
      <c r="AV240" t="s">
        <v>73</v>
      </c>
      <c r="AW240">
        <v>-156.5</v>
      </c>
      <c r="AX240">
        <v>42471382</v>
      </c>
      <c r="AY240" s="73">
        <v>45372.916666666664</v>
      </c>
      <c r="AZ240" t="s">
        <v>226</v>
      </c>
      <c r="BA240" t="s">
        <v>339</v>
      </c>
      <c r="BB240" t="s">
        <v>228</v>
      </c>
      <c r="BC240" t="s">
        <v>229</v>
      </c>
      <c r="BD240" t="s">
        <v>101</v>
      </c>
      <c r="BI240" t="s">
        <v>233</v>
      </c>
      <c r="BJ240" t="s">
        <v>0</v>
      </c>
      <c r="BK240">
        <v>42471184</v>
      </c>
      <c r="BN240" t="s">
        <v>73</v>
      </c>
      <c r="BR240">
        <v>-156.5</v>
      </c>
      <c r="BS240">
        <v>42471382</v>
      </c>
      <c r="BT240" s="73">
        <v>45372.916666666664</v>
      </c>
      <c r="BU240" t="s">
        <v>226</v>
      </c>
      <c r="BV240" t="s">
        <v>339</v>
      </c>
      <c r="BW240" t="s">
        <v>228</v>
      </c>
      <c r="CH240" t="s">
        <v>229</v>
      </c>
      <c r="CI240" t="s">
        <v>101</v>
      </c>
      <c r="CJ240" t="s">
        <v>226</v>
      </c>
      <c r="CK240" t="s">
        <v>339</v>
      </c>
      <c r="CL240" t="s">
        <v>228</v>
      </c>
      <c r="CM240" t="s">
        <v>234</v>
      </c>
      <c r="CN240" t="s">
        <v>73</v>
      </c>
      <c r="CO240">
        <v>-156.5</v>
      </c>
      <c r="CP240">
        <v>42471382</v>
      </c>
      <c r="CQ240" s="73">
        <v>45372.916666666664</v>
      </c>
      <c r="CR240" t="s">
        <v>229</v>
      </c>
      <c r="CS240" t="s">
        <v>101</v>
      </c>
      <c r="CU240" t="s">
        <v>225</v>
      </c>
    </row>
    <row r="241" spans="1:99">
      <c r="A241" t="s">
        <v>107</v>
      </c>
      <c r="B241" t="s">
        <v>98</v>
      </c>
      <c r="J241" t="s">
        <v>225</v>
      </c>
      <c r="K241" t="s">
        <v>225</v>
      </c>
      <c r="M241" s="73">
        <v>45372.916666666664</v>
      </c>
      <c r="N241">
        <v>42471381</v>
      </c>
      <c r="O241">
        <v>3130</v>
      </c>
      <c r="P241" t="s">
        <v>104</v>
      </c>
      <c r="Q241">
        <v>3130</v>
      </c>
      <c r="R241" t="s">
        <v>104</v>
      </c>
      <c r="S241">
        <v>156.5</v>
      </c>
      <c r="T241" t="s">
        <v>73</v>
      </c>
      <c r="U241" t="s">
        <v>226</v>
      </c>
      <c r="V241" t="s">
        <v>339</v>
      </c>
      <c r="W241" t="s">
        <v>235</v>
      </c>
      <c r="X241" t="s">
        <v>229</v>
      </c>
      <c r="Y241" t="s">
        <v>107</v>
      </c>
      <c r="AD241" t="s">
        <v>104</v>
      </c>
      <c r="AE241">
        <v>3130</v>
      </c>
      <c r="AF241">
        <v>42471381</v>
      </c>
      <c r="AG241" s="73">
        <v>45372.916666666664</v>
      </c>
      <c r="AH241" t="s">
        <v>226</v>
      </c>
      <c r="AI241" t="s">
        <v>339</v>
      </c>
      <c r="AJ241" t="s">
        <v>235</v>
      </c>
      <c r="AK241" t="s">
        <v>229</v>
      </c>
      <c r="AL241" t="s">
        <v>107</v>
      </c>
      <c r="AP241" t="s">
        <v>230</v>
      </c>
      <c r="AQ241" t="s">
        <v>231</v>
      </c>
      <c r="AT241" t="s">
        <v>232</v>
      </c>
      <c r="AU241">
        <v>-99</v>
      </c>
      <c r="AV241" t="s">
        <v>104</v>
      </c>
      <c r="AW241">
        <v>3130</v>
      </c>
      <c r="AX241">
        <v>42471381</v>
      </c>
      <c r="AY241" s="73">
        <v>45372.916666666664</v>
      </c>
      <c r="AZ241" t="s">
        <v>226</v>
      </c>
      <c r="BA241" t="s">
        <v>339</v>
      </c>
      <c r="BB241" t="s">
        <v>235</v>
      </c>
      <c r="BC241" t="s">
        <v>229</v>
      </c>
      <c r="BD241" t="s">
        <v>107</v>
      </c>
      <c r="BI241" t="s">
        <v>233</v>
      </c>
      <c r="BJ241" t="s">
        <v>0</v>
      </c>
      <c r="BK241">
        <v>42471184</v>
      </c>
      <c r="BN241" t="s">
        <v>104</v>
      </c>
      <c r="BO241">
        <v>42471377</v>
      </c>
      <c r="BR241">
        <v>3130</v>
      </c>
      <c r="BS241">
        <v>42471381</v>
      </c>
      <c r="BT241" s="73">
        <v>45372.916666666664</v>
      </c>
      <c r="BU241" t="s">
        <v>226</v>
      </c>
      <c r="BV241" t="s">
        <v>339</v>
      </c>
      <c r="BW241" t="s">
        <v>235</v>
      </c>
      <c r="CH241" t="s">
        <v>229</v>
      </c>
      <c r="CI241" t="s">
        <v>107</v>
      </c>
      <c r="CJ241" t="s">
        <v>226</v>
      </c>
      <c r="CK241" t="s">
        <v>339</v>
      </c>
      <c r="CL241" t="s">
        <v>235</v>
      </c>
      <c r="CM241" t="s">
        <v>236</v>
      </c>
      <c r="CN241" t="s">
        <v>104</v>
      </c>
      <c r="CO241">
        <v>3130</v>
      </c>
      <c r="CP241">
        <v>42471381</v>
      </c>
      <c r="CQ241" s="73">
        <v>45372.916666666664</v>
      </c>
      <c r="CR241" t="s">
        <v>229</v>
      </c>
      <c r="CS241" t="s">
        <v>107</v>
      </c>
      <c r="CU241" t="s">
        <v>225</v>
      </c>
    </row>
    <row r="242" spans="1:99">
      <c r="A242" t="s">
        <v>46</v>
      </c>
      <c r="B242" t="s">
        <v>92</v>
      </c>
      <c r="J242" t="s">
        <v>225</v>
      </c>
      <c r="K242" t="s">
        <v>225</v>
      </c>
      <c r="M242" s="73">
        <v>45372.916666666664</v>
      </c>
      <c r="N242">
        <v>42471097</v>
      </c>
      <c r="O242">
        <v>-702</v>
      </c>
      <c r="P242" t="s">
        <v>45</v>
      </c>
      <c r="Q242">
        <v>-702</v>
      </c>
      <c r="R242" t="s">
        <v>45</v>
      </c>
      <c r="U242" t="s">
        <v>226</v>
      </c>
      <c r="V242" t="s">
        <v>340</v>
      </c>
      <c r="W242" t="s">
        <v>228</v>
      </c>
      <c r="X242" t="s">
        <v>229</v>
      </c>
      <c r="Y242" t="s">
        <v>46</v>
      </c>
      <c r="AD242" t="s">
        <v>45</v>
      </c>
      <c r="AE242">
        <v>-702</v>
      </c>
      <c r="AF242">
        <v>42471097</v>
      </c>
      <c r="AG242" s="73">
        <v>45372.916666666664</v>
      </c>
      <c r="AH242" t="s">
        <v>226</v>
      </c>
      <c r="AI242" t="s">
        <v>340</v>
      </c>
      <c r="AJ242" t="s">
        <v>228</v>
      </c>
      <c r="AK242" t="s">
        <v>229</v>
      </c>
      <c r="AL242" t="s">
        <v>46</v>
      </c>
      <c r="AP242" t="s">
        <v>230</v>
      </c>
      <c r="AQ242" t="s">
        <v>231</v>
      </c>
      <c r="AT242" t="s">
        <v>232</v>
      </c>
      <c r="AU242">
        <v>-99</v>
      </c>
      <c r="AV242" t="s">
        <v>45</v>
      </c>
      <c r="AW242">
        <v>-702</v>
      </c>
      <c r="AX242">
        <v>42471097</v>
      </c>
      <c r="AY242" s="73">
        <v>45372.916666666664</v>
      </c>
      <c r="AZ242" t="s">
        <v>226</v>
      </c>
      <c r="BA242" t="s">
        <v>340</v>
      </c>
      <c r="BB242" t="s">
        <v>228</v>
      </c>
      <c r="BC242" t="s">
        <v>229</v>
      </c>
      <c r="BD242" t="s">
        <v>46</v>
      </c>
      <c r="BI242" t="s">
        <v>233</v>
      </c>
      <c r="BJ242" t="s">
        <v>0</v>
      </c>
      <c r="BK242">
        <v>42471076</v>
      </c>
      <c r="BN242" t="s">
        <v>45</v>
      </c>
      <c r="BR242">
        <v>-702</v>
      </c>
      <c r="BS242">
        <v>42471097</v>
      </c>
      <c r="BT242" s="73">
        <v>45372.916666666664</v>
      </c>
      <c r="BU242" t="s">
        <v>226</v>
      </c>
      <c r="BV242" t="s">
        <v>340</v>
      </c>
      <c r="BW242" t="s">
        <v>228</v>
      </c>
      <c r="CH242" t="s">
        <v>229</v>
      </c>
      <c r="CI242" t="s">
        <v>46</v>
      </c>
      <c r="CJ242" t="s">
        <v>226</v>
      </c>
      <c r="CK242" t="s">
        <v>340</v>
      </c>
      <c r="CL242" t="s">
        <v>228</v>
      </c>
      <c r="CM242" t="s">
        <v>234</v>
      </c>
      <c r="CN242" t="s">
        <v>45</v>
      </c>
      <c r="CO242">
        <v>-702</v>
      </c>
      <c r="CP242">
        <v>42471097</v>
      </c>
      <c r="CQ242" s="73">
        <v>45372.916666666664</v>
      </c>
      <c r="CR242" t="s">
        <v>229</v>
      </c>
      <c r="CS242" t="s">
        <v>46</v>
      </c>
      <c r="CU242" t="s">
        <v>225</v>
      </c>
    </row>
    <row r="243" spans="1:99">
      <c r="A243" t="s">
        <v>93</v>
      </c>
      <c r="B243" t="s">
        <v>98</v>
      </c>
      <c r="J243" t="s">
        <v>225</v>
      </c>
      <c r="K243" t="s">
        <v>225</v>
      </c>
      <c r="M243" s="73">
        <v>45372.916666666664</v>
      </c>
      <c r="N243">
        <v>42471096</v>
      </c>
      <c r="O243">
        <v>-35</v>
      </c>
      <c r="P243" t="s">
        <v>73</v>
      </c>
      <c r="Q243">
        <v>-35</v>
      </c>
      <c r="R243" t="s">
        <v>73</v>
      </c>
      <c r="U243" t="s">
        <v>226</v>
      </c>
      <c r="V243" t="s">
        <v>340</v>
      </c>
      <c r="W243" t="s">
        <v>228</v>
      </c>
      <c r="X243" t="s">
        <v>229</v>
      </c>
      <c r="Y243" t="s">
        <v>93</v>
      </c>
      <c r="AD243" t="s">
        <v>73</v>
      </c>
      <c r="AE243">
        <v>-35</v>
      </c>
      <c r="AF243">
        <v>42471096</v>
      </c>
      <c r="AG243" s="73">
        <v>45372.916666666664</v>
      </c>
      <c r="AH243" t="s">
        <v>226</v>
      </c>
      <c r="AI243" t="s">
        <v>340</v>
      </c>
      <c r="AJ243" t="s">
        <v>228</v>
      </c>
      <c r="AK243" t="s">
        <v>229</v>
      </c>
      <c r="AL243" t="s">
        <v>93</v>
      </c>
      <c r="AP243" t="s">
        <v>230</v>
      </c>
      <c r="AQ243" t="s">
        <v>231</v>
      </c>
      <c r="AT243" t="s">
        <v>232</v>
      </c>
      <c r="AU243">
        <v>-99</v>
      </c>
      <c r="AV243" t="s">
        <v>73</v>
      </c>
      <c r="AW243">
        <v>-35</v>
      </c>
      <c r="AX243">
        <v>42471096</v>
      </c>
      <c r="AY243" s="73">
        <v>45372.916666666664</v>
      </c>
      <c r="AZ243" t="s">
        <v>226</v>
      </c>
      <c r="BA243" t="s">
        <v>340</v>
      </c>
      <c r="BB243" t="s">
        <v>228</v>
      </c>
      <c r="BC243" t="s">
        <v>229</v>
      </c>
      <c r="BD243" t="s">
        <v>93</v>
      </c>
      <c r="BI243" t="s">
        <v>233</v>
      </c>
      <c r="BJ243" t="s">
        <v>0</v>
      </c>
      <c r="BK243">
        <v>42471076</v>
      </c>
      <c r="BN243" t="s">
        <v>73</v>
      </c>
      <c r="BR243">
        <v>-35</v>
      </c>
      <c r="BS243">
        <v>42471096</v>
      </c>
      <c r="BT243" s="73">
        <v>45372.916666666664</v>
      </c>
      <c r="BU243" t="s">
        <v>226</v>
      </c>
      <c r="BV243" t="s">
        <v>340</v>
      </c>
      <c r="BW243" t="s">
        <v>228</v>
      </c>
      <c r="CH243" t="s">
        <v>229</v>
      </c>
      <c r="CI243" t="s">
        <v>93</v>
      </c>
      <c r="CJ243" t="s">
        <v>226</v>
      </c>
      <c r="CK243" t="s">
        <v>340</v>
      </c>
      <c r="CL243" t="s">
        <v>228</v>
      </c>
      <c r="CM243" t="s">
        <v>234</v>
      </c>
      <c r="CN243" t="s">
        <v>73</v>
      </c>
      <c r="CO243">
        <v>-35</v>
      </c>
      <c r="CP243">
        <v>42471096</v>
      </c>
      <c r="CQ243" s="73">
        <v>45372.916666666664</v>
      </c>
      <c r="CR243" t="s">
        <v>229</v>
      </c>
      <c r="CS243" t="s">
        <v>93</v>
      </c>
      <c r="CU243" t="s">
        <v>225</v>
      </c>
    </row>
    <row r="244" spans="1:99">
      <c r="A244" t="s">
        <v>108</v>
      </c>
      <c r="B244" t="s">
        <v>98</v>
      </c>
      <c r="J244" t="s">
        <v>225</v>
      </c>
      <c r="K244" t="s">
        <v>225</v>
      </c>
      <c r="M244" s="73">
        <v>45372.916666666664</v>
      </c>
      <c r="N244">
        <v>42471095</v>
      </c>
      <c r="O244">
        <v>700</v>
      </c>
      <c r="P244" t="s">
        <v>104</v>
      </c>
      <c r="Q244">
        <v>700</v>
      </c>
      <c r="R244" t="s">
        <v>104</v>
      </c>
      <c r="S244">
        <v>35</v>
      </c>
      <c r="T244" t="s">
        <v>73</v>
      </c>
      <c r="U244" t="s">
        <v>226</v>
      </c>
      <c r="V244" t="s">
        <v>340</v>
      </c>
      <c r="W244" t="s">
        <v>235</v>
      </c>
      <c r="X244" t="s">
        <v>229</v>
      </c>
      <c r="Y244" t="s">
        <v>108</v>
      </c>
      <c r="AD244" t="s">
        <v>104</v>
      </c>
      <c r="AE244">
        <v>700</v>
      </c>
      <c r="AF244">
        <v>42471095</v>
      </c>
      <c r="AG244" s="73">
        <v>45372.916666666664</v>
      </c>
      <c r="AH244" t="s">
        <v>226</v>
      </c>
      <c r="AI244" t="s">
        <v>340</v>
      </c>
      <c r="AJ244" t="s">
        <v>235</v>
      </c>
      <c r="AK244" t="s">
        <v>229</v>
      </c>
      <c r="AL244" t="s">
        <v>108</v>
      </c>
      <c r="AP244" t="s">
        <v>230</v>
      </c>
      <c r="AQ244" t="s">
        <v>231</v>
      </c>
      <c r="AT244" t="s">
        <v>232</v>
      </c>
      <c r="AU244">
        <v>-99</v>
      </c>
      <c r="AV244" t="s">
        <v>104</v>
      </c>
      <c r="AW244">
        <v>700</v>
      </c>
      <c r="AX244">
        <v>42471095</v>
      </c>
      <c r="AY244" s="73">
        <v>45372.916666666664</v>
      </c>
      <c r="AZ244" t="s">
        <v>226</v>
      </c>
      <c r="BA244" t="s">
        <v>340</v>
      </c>
      <c r="BB244" t="s">
        <v>235</v>
      </c>
      <c r="BC244" t="s">
        <v>229</v>
      </c>
      <c r="BD244" t="s">
        <v>108</v>
      </c>
      <c r="BI244" t="s">
        <v>233</v>
      </c>
      <c r="BJ244" t="s">
        <v>0</v>
      </c>
      <c r="BK244">
        <v>42471076</v>
      </c>
      <c r="BN244" t="s">
        <v>104</v>
      </c>
      <c r="BO244">
        <v>42471087</v>
      </c>
      <c r="BR244">
        <v>700</v>
      </c>
      <c r="BS244">
        <v>42471095</v>
      </c>
      <c r="BT244" s="73">
        <v>45372.916666666664</v>
      </c>
      <c r="BU244" t="s">
        <v>226</v>
      </c>
      <c r="BV244" t="s">
        <v>340</v>
      </c>
      <c r="BW244" t="s">
        <v>235</v>
      </c>
      <c r="CH244" t="s">
        <v>229</v>
      </c>
      <c r="CI244" t="s">
        <v>108</v>
      </c>
      <c r="CJ244" t="s">
        <v>226</v>
      </c>
      <c r="CK244" t="s">
        <v>340</v>
      </c>
      <c r="CL244" t="s">
        <v>235</v>
      </c>
      <c r="CM244" t="s">
        <v>236</v>
      </c>
      <c r="CN244" t="s">
        <v>104</v>
      </c>
      <c r="CO244">
        <v>700</v>
      </c>
      <c r="CP244">
        <v>42471095</v>
      </c>
      <c r="CQ244" s="73">
        <v>45372.916666666664</v>
      </c>
      <c r="CR244" t="s">
        <v>229</v>
      </c>
      <c r="CS244" t="s">
        <v>108</v>
      </c>
      <c r="CU244" t="s">
        <v>225</v>
      </c>
    </row>
    <row r="245" spans="1:99">
      <c r="A245" t="s">
        <v>111</v>
      </c>
      <c r="B245" t="s">
        <v>77</v>
      </c>
      <c r="J245" t="s">
        <v>225</v>
      </c>
      <c r="K245" t="s">
        <v>225</v>
      </c>
      <c r="M245" s="73">
        <v>45372.916666666664</v>
      </c>
      <c r="N245">
        <v>42471094</v>
      </c>
      <c r="O245">
        <v>2</v>
      </c>
      <c r="P245" t="s">
        <v>45</v>
      </c>
      <c r="Q245">
        <v>2</v>
      </c>
      <c r="R245" t="s">
        <v>45</v>
      </c>
      <c r="U245" t="s">
        <v>226</v>
      </c>
      <c r="V245" t="s">
        <v>340</v>
      </c>
      <c r="W245" t="s">
        <v>237</v>
      </c>
      <c r="X245" t="s">
        <v>229</v>
      </c>
      <c r="Y245" t="s">
        <v>111</v>
      </c>
      <c r="AD245" t="s">
        <v>45</v>
      </c>
      <c r="AE245">
        <v>2</v>
      </c>
      <c r="AF245">
        <v>42471094</v>
      </c>
      <c r="AG245" s="73">
        <v>45372.916666666664</v>
      </c>
      <c r="AH245" t="s">
        <v>226</v>
      </c>
      <c r="AI245" t="s">
        <v>340</v>
      </c>
      <c r="AJ245" t="s">
        <v>237</v>
      </c>
      <c r="AK245" t="s">
        <v>229</v>
      </c>
      <c r="AL245" t="s">
        <v>111</v>
      </c>
      <c r="AP245" t="s">
        <v>230</v>
      </c>
      <c r="AQ245" t="s">
        <v>231</v>
      </c>
      <c r="AT245" t="s">
        <v>232</v>
      </c>
      <c r="AU245">
        <v>-99</v>
      </c>
      <c r="AV245" t="s">
        <v>45</v>
      </c>
      <c r="AW245">
        <v>2</v>
      </c>
      <c r="AX245">
        <v>42471094</v>
      </c>
      <c r="AY245" s="73">
        <v>45372.916666666664</v>
      </c>
      <c r="AZ245" t="s">
        <v>226</v>
      </c>
      <c r="BA245" t="s">
        <v>340</v>
      </c>
      <c r="BB245" t="s">
        <v>237</v>
      </c>
      <c r="BC245" t="s">
        <v>229</v>
      </c>
      <c r="BD245" t="s">
        <v>111</v>
      </c>
      <c r="BI245" t="s">
        <v>233</v>
      </c>
      <c r="BJ245" t="s">
        <v>0</v>
      </c>
      <c r="BK245">
        <v>42471076</v>
      </c>
      <c r="BN245" t="s">
        <v>45</v>
      </c>
      <c r="BO245">
        <v>42471089</v>
      </c>
      <c r="BR245">
        <v>2</v>
      </c>
      <c r="BS245">
        <v>42471094</v>
      </c>
      <c r="BT245" s="73">
        <v>45372.916666666664</v>
      </c>
      <c r="BU245" t="s">
        <v>226</v>
      </c>
      <c r="BV245" t="s">
        <v>340</v>
      </c>
      <c r="BW245" t="s">
        <v>237</v>
      </c>
      <c r="CH245" t="s">
        <v>229</v>
      </c>
      <c r="CI245" t="s">
        <v>111</v>
      </c>
      <c r="CJ245" t="s">
        <v>226</v>
      </c>
      <c r="CK245" t="s">
        <v>340</v>
      </c>
      <c r="CL245" t="s">
        <v>237</v>
      </c>
      <c r="CM245" t="s">
        <v>236</v>
      </c>
      <c r="CN245" t="s">
        <v>45</v>
      </c>
      <c r="CO245">
        <v>2</v>
      </c>
      <c r="CP245">
        <v>42471094</v>
      </c>
      <c r="CQ245" s="73">
        <v>45372.916666666664</v>
      </c>
      <c r="CR245" t="s">
        <v>229</v>
      </c>
      <c r="CS245" t="s">
        <v>111</v>
      </c>
      <c r="CU245" t="s">
        <v>225</v>
      </c>
    </row>
    <row r="246" spans="1:99">
      <c r="A246" t="s">
        <v>46</v>
      </c>
      <c r="B246" t="s">
        <v>92</v>
      </c>
      <c r="J246" t="s">
        <v>225</v>
      </c>
      <c r="K246" t="s">
        <v>225</v>
      </c>
      <c r="M246" s="73">
        <v>45372.614583333336</v>
      </c>
      <c r="N246">
        <v>42463797</v>
      </c>
      <c r="O246">
        <v>-852</v>
      </c>
      <c r="P246" t="s">
        <v>45</v>
      </c>
      <c r="Q246">
        <v>-852</v>
      </c>
      <c r="R246" t="s">
        <v>45</v>
      </c>
      <c r="U246" t="s">
        <v>226</v>
      </c>
      <c r="V246" t="s">
        <v>341</v>
      </c>
      <c r="W246" t="s">
        <v>228</v>
      </c>
      <c r="X246" t="s">
        <v>229</v>
      </c>
      <c r="Y246" t="s">
        <v>46</v>
      </c>
      <c r="AD246" t="s">
        <v>45</v>
      </c>
      <c r="AE246">
        <v>-852</v>
      </c>
      <c r="AF246">
        <v>42463797</v>
      </c>
      <c r="AG246" s="73">
        <v>45372.614583333336</v>
      </c>
      <c r="AH246" t="s">
        <v>226</v>
      </c>
      <c r="AI246" t="s">
        <v>341</v>
      </c>
      <c r="AJ246" t="s">
        <v>228</v>
      </c>
      <c r="AK246" t="s">
        <v>229</v>
      </c>
      <c r="AL246" t="s">
        <v>46</v>
      </c>
      <c r="AP246" t="s">
        <v>230</v>
      </c>
      <c r="AQ246" t="s">
        <v>231</v>
      </c>
      <c r="AT246" t="s">
        <v>232</v>
      </c>
      <c r="AU246">
        <v>-99</v>
      </c>
      <c r="AV246" t="s">
        <v>45</v>
      </c>
      <c r="AW246">
        <v>-852</v>
      </c>
      <c r="AX246">
        <v>42463797</v>
      </c>
      <c r="AY246" s="73">
        <v>45372.614583333336</v>
      </c>
      <c r="AZ246" t="s">
        <v>226</v>
      </c>
      <c r="BA246" t="s">
        <v>341</v>
      </c>
      <c r="BB246" t="s">
        <v>228</v>
      </c>
      <c r="BC246" t="s">
        <v>229</v>
      </c>
      <c r="BD246" t="s">
        <v>46</v>
      </c>
      <c r="BI246" t="s">
        <v>233</v>
      </c>
      <c r="BJ246" t="s">
        <v>0</v>
      </c>
      <c r="BK246">
        <v>42463766</v>
      </c>
      <c r="BN246" t="s">
        <v>45</v>
      </c>
      <c r="BR246">
        <v>-852</v>
      </c>
      <c r="BS246">
        <v>42463797</v>
      </c>
      <c r="BT246" s="73">
        <v>45372.614583333336</v>
      </c>
      <c r="BU246" t="s">
        <v>226</v>
      </c>
      <c r="BV246" t="s">
        <v>341</v>
      </c>
      <c r="BW246" t="s">
        <v>228</v>
      </c>
      <c r="CH246" t="s">
        <v>229</v>
      </c>
      <c r="CI246" t="s">
        <v>46</v>
      </c>
      <c r="CJ246" t="s">
        <v>226</v>
      </c>
      <c r="CK246" t="s">
        <v>341</v>
      </c>
      <c r="CL246" t="s">
        <v>228</v>
      </c>
      <c r="CM246" t="s">
        <v>234</v>
      </c>
      <c r="CN246" t="s">
        <v>45</v>
      </c>
      <c r="CO246">
        <v>-852</v>
      </c>
      <c r="CP246">
        <v>42463797</v>
      </c>
      <c r="CQ246" s="73">
        <v>45372.614583333336</v>
      </c>
      <c r="CR246" t="s">
        <v>229</v>
      </c>
      <c r="CS246" t="s">
        <v>46</v>
      </c>
      <c r="CU246" t="s">
        <v>225</v>
      </c>
    </row>
    <row r="247" spans="1:99">
      <c r="A247" t="s">
        <v>93</v>
      </c>
      <c r="B247" t="s">
        <v>98</v>
      </c>
      <c r="J247" t="s">
        <v>225</v>
      </c>
      <c r="K247" t="s">
        <v>225</v>
      </c>
      <c r="M247" s="73">
        <v>45372.614583333336</v>
      </c>
      <c r="N247">
        <v>42463796</v>
      </c>
      <c r="O247">
        <v>-42.5</v>
      </c>
      <c r="P247" t="s">
        <v>73</v>
      </c>
      <c r="Q247">
        <v>-42.5</v>
      </c>
      <c r="R247" t="s">
        <v>73</v>
      </c>
      <c r="U247" t="s">
        <v>226</v>
      </c>
      <c r="V247" t="s">
        <v>341</v>
      </c>
      <c r="W247" t="s">
        <v>228</v>
      </c>
      <c r="X247" t="s">
        <v>229</v>
      </c>
      <c r="Y247" t="s">
        <v>93</v>
      </c>
      <c r="AD247" t="s">
        <v>73</v>
      </c>
      <c r="AE247">
        <v>-42.5</v>
      </c>
      <c r="AF247">
        <v>42463796</v>
      </c>
      <c r="AG247" s="73">
        <v>45372.614583333336</v>
      </c>
      <c r="AH247" t="s">
        <v>226</v>
      </c>
      <c r="AI247" t="s">
        <v>341</v>
      </c>
      <c r="AJ247" t="s">
        <v>228</v>
      </c>
      <c r="AK247" t="s">
        <v>229</v>
      </c>
      <c r="AL247" t="s">
        <v>93</v>
      </c>
      <c r="AP247" t="s">
        <v>230</v>
      </c>
      <c r="AQ247" t="s">
        <v>231</v>
      </c>
      <c r="AT247" t="s">
        <v>232</v>
      </c>
      <c r="AU247">
        <v>-99</v>
      </c>
      <c r="AV247" t="s">
        <v>73</v>
      </c>
      <c r="AW247">
        <v>-42.5</v>
      </c>
      <c r="AX247">
        <v>42463796</v>
      </c>
      <c r="AY247" s="73">
        <v>45372.614583333336</v>
      </c>
      <c r="AZ247" t="s">
        <v>226</v>
      </c>
      <c r="BA247" t="s">
        <v>341</v>
      </c>
      <c r="BB247" t="s">
        <v>228</v>
      </c>
      <c r="BC247" t="s">
        <v>229</v>
      </c>
      <c r="BD247" t="s">
        <v>93</v>
      </c>
      <c r="BI247" t="s">
        <v>233</v>
      </c>
      <c r="BJ247" t="s">
        <v>0</v>
      </c>
      <c r="BK247">
        <v>42463766</v>
      </c>
      <c r="BN247" t="s">
        <v>73</v>
      </c>
      <c r="BR247">
        <v>-42.5</v>
      </c>
      <c r="BS247">
        <v>42463796</v>
      </c>
      <c r="BT247" s="73">
        <v>45372.614583333336</v>
      </c>
      <c r="BU247" t="s">
        <v>226</v>
      </c>
      <c r="BV247" t="s">
        <v>341</v>
      </c>
      <c r="BW247" t="s">
        <v>228</v>
      </c>
      <c r="CH247" t="s">
        <v>229</v>
      </c>
      <c r="CI247" t="s">
        <v>93</v>
      </c>
      <c r="CJ247" t="s">
        <v>226</v>
      </c>
      <c r="CK247" t="s">
        <v>341</v>
      </c>
      <c r="CL247" t="s">
        <v>228</v>
      </c>
      <c r="CM247" t="s">
        <v>234</v>
      </c>
      <c r="CN247" t="s">
        <v>73</v>
      </c>
      <c r="CO247">
        <v>-42.5</v>
      </c>
      <c r="CP247">
        <v>42463796</v>
      </c>
      <c r="CQ247" s="73">
        <v>45372.614583333336</v>
      </c>
      <c r="CR247" t="s">
        <v>229</v>
      </c>
      <c r="CS247" t="s">
        <v>93</v>
      </c>
      <c r="CU247" t="s">
        <v>225</v>
      </c>
    </row>
    <row r="248" spans="1:99">
      <c r="A248" t="s">
        <v>108</v>
      </c>
      <c r="B248" t="s">
        <v>98</v>
      </c>
      <c r="J248" t="s">
        <v>225</v>
      </c>
      <c r="K248" t="s">
        <v>225</v>
      </c>
      <c r="M248" s="73">
        <v>45372.614583333336</v>
      </c>
      <c r="N248">
        <v>42463795</v>
      </c>
      <c r="O248">
        <v>850</v>
      </c>
      <c r="P248" t="s">
        <v>104</v>
      </c>
      <c r="Q248">
        <v>850</v>
      </c>
      <c r="R248" t="s">
        <v>104</v>
      </c>
      <c r="S248">
        <v>42.5</v>
      </c>
      <c r="T248" t="s">
        <v>73</v>
      </c>
      <c r="U248" t="s">
        <v>226</v>
      </c>
      <c r="V248" t="s">
        <v>341</v>
      </c>
      <c r="W248" t="s">
        <v>235</v>
      </c>
      <c r="X248" t="s">
        <v>229</v>
      </c>
      <c r="Y248" t="s">
        <v>108</v>
      </c>
      <c r="AD248" t="s">
        <v>104</v>
      </c>
      <c r="AE248">
        <v>850</v>
      </c>
      <c r="AF248">
        <v>42463795</v>
      </c>
      <c r="AG248" s="73">
        <v>45372.614583333336</v>
      </c>
      <c r="AH248" t="s">
        <v>226</v>
      </c>
      <c r="AI248" t="s">
        <v>341</v>
      </c>
      <c r="AJ248" t="s">
        <v>235</v>
      </c>
      <c r="AK248" t="s">
        <v>229</v>
      </c>
      <c r="AL248" t="s">
        <v>108</v>
      </c>
      <c r="AP248" t="s">
        <v>230</v>
      </c>
      <c r="AQ248" t="s">
        <v>231</v>
      </c>
      <c r="AT248" t="s">
        <v>232</v>
      </c>
      <c r="AU248">
        <v>-99</v>
      </c>
      <c r="AV248" t="s">
        <v>104</v>
      </c>
      <c r="AW248">
        <v>850</v>
      </c>
      <c r="AX248">
        <v>42463795</v>
      </c>
      <c r="AY248" s="73">
        <v>45372.614583333336</v>
      </c>
      <c r="AZ248" t="s">
        <v>226</v>
      </c>
      <c r="BA248" t="s">
        <v>341</v>
      </c>
      <c r="BB248" t="s">
        <v>235</v>
      </c>
      <c r="BC248" t="s">
        <v>229</v>
      </c>
      <c r="BD248" t="s">
        <v>108</v>
      </c>
      <c r="BI248" t="s">
        <v>233</v>
      </c>
      <c r="BJ248" t="s">
        <v>0</v>
      </c>
      <c r="BK248">
        <v>42463766</v>
      </c>
      <c r="BN248" t="s">
        <v>104</v>
      </c>
      <c r="BO248">
        <v>42463787</v>
      </c>
      <c r="BR248">
        <v>850</v>
      </c>
      <c r="BS248">
        <v>42463795</v>
      </c>
      <c r="BT248" s="73">
        <v>45372.614583333336</v>
      </c>
      <c r="BU248" t="s">
        <v>226</v>
      </c>
      <c r="BV248" t="s">
        <v>341</v>
      </c>
      <c r="BW248" t="s">
        <v>235</v>
      </c>
      <c r="CH248" t="s">
        <v>229</v>
      </c>
      <c r="CI248" t="s">
        <v>108</v>
      </c>
      <c r="CJ248" t="s">
        <v>226</v>
      </c>
      <c r="CK248" t="s">
        <v>341</v>
      </c>
      <c r="CL248" t="s">
        <v>235</v>
      </c>
      <c r="CM248" t="s">
        <v>236</v>
      </c>
      <c r="CN248" t="s">
        <v>104</v>
      </c>
      <c r="CO248">
        <v>850</v>
      </c>
      <c r="CP248">
        <v>42463795</v>
      </c>
      <c r="CQ248" s="73">
        <v>45372.614583333336</v>
      </c>
      <c r="CR248" t="s">
        <v>229</v>
      </c>
      <c r="CS248" t="s">
        <v>108</v>
      </c>
      <c r="CU248" t="s">
        <v>225</v>
      </c>
    </row>
    <row r="249" spans="1:99">
      <c r="A249" t="s">
        <v>111</v>
      </c>
      <c r="B249" t="s">
        <v>77</v>
      </c>
      <c r="J249" t="s">
        <v>225</v>
      </c>
      <c r="K249" t="s">
        <v>225</v>
      </c>
      <c r="M249" s="73">
        <v>45372.614583333336</v>
      </c>
      <c r="N249">
        <v>42463794</v>
      </c>
      <c r="O249">
        <v>2</v>
      </c>
      <c r="P249" t="s">
        <v>45</v>
      </c>
      <c r="Q249">
        <v>2</v>
      </c>
      <c r="R249" t="s">
        <v>45</v>
      </c>
      <c r="U249" t="s">
        <v>226</v>
      </c>
      <c r="V249" t="s">
        <v>341</v>
      </c>
      <c r="W249" t="s">
        <v>237</v>
      </c>
      <c r="X249" t="s">
        <v>229</v>
      </c>
      <c r="Y249" t="s">
        <v>111</v>
      </c>
      <c r="AD249" t="s">
        <v>45</v>
      </c>
      <c r="AE249">
        <v>2</v>
      </c>
      <c r="AF249">
        <v>42463794</v>
      </c>
      <c r="AG249" s="73">
        <v>45372.614583333336</v>
      </c>
      <c r="AH249" t="s">
        <v>226</v>
      </c>
      <c r="AI249" t="s">
        <v>341</v>
      </c>
      <c r="AJ249" t="s">
        <v>237</v>
      </c>
      <c r="AK249" t="s">
        <v>229</v>
      </c>
      <c r="AL249" t="s">
        <v>111</v>
      </c>
      <c r="AP249" t="s">
        <v>230</v>
      </c>
      <c r="AQ249" t="s">
        <v>231</v>
      </c>
      <c r="AT249" t="s">
        <v>232</v>
      </c>
      <c r="AU249">
        <v>-99</v>
      </c>
      <c r="AV249" t="s">
        <v>45</v>
      </c>
      <c r="AW249">
        <v>2</v>
      </c>
      <c r="AX249">
        <v>42463794</v>
      </c>
      <c r="AY249" s="73">
        <v>45372.614583333336</v>
      </c>
      <c r="AZ249" t="s">
        <v>226</v>
      </c>
      <c r="BA249" t="s">
        <v>341</v>
      </c>
      <c r="BB249" t="s">
        <v>237</v>
      </c>
      <c r="BC249" t="s">
        <v>229</v>
      </c>
      <c r="BD249" t="s">
        <v>111</v>
      </c>
      <c r="BI249" t="s">
        <v>233</v>
      </c>
      <c r="BJ249" t="s">
        <v>0</v>
      </c>
      <c r="BK249">
        <v>42463766</v>
      </c>
      <c r="BN249" t="s">
        <v>45</v>
      </c>
      <c r="BO249">
        <v>42463789</v>
      </c>
      <c r="BR249">
        <v>2</v>
      </c>
      <c r="BS249">
        <v>42463794</v>
      </c>
      <c r="BT249" s="73">
        <v>45372.614583333336</v>
      </c>
      <c r="BU249" t="s">
        <v>226</v>
      </c>
      <c r="BV249" t="s">
        <v>341</v>
      </c>
      <c r="BW249" t="s">
        <v>237</v>
      </c>
      <c r="CH249" t="s">
        <v>229</v>
      </c>
      <c r="CI249" t="s">
        <v>111</v>
      </c>
      <c r="CJ249" t="s">
        <v>226</v>
      </c>
      <c r="CK249" t="s">
        <v>341</v>
      </c>
      <c r="CL249" t="s">
        <v>237</v>
      </c>
      <c r="CM249" t="s">
        <v>236</v>
      </c>
      <c r="CN249" t="s">
        <v>45</v>
      </c>
      <c r="CO249">
        <v>2</v>
      </c>
      <c r="CP249">
        <v>42463794</v>
      </c>
      <c r="CQ249" s="73">
        <v>45372.614583333336</v>
      </c>
      <c r="CR249" t="s">
        <v>229</v>
      </c>
      <c r="CS249" t="s">
        <v>111</v>
      </c>
      <c r="CU249" t="s">
        <v>225</v>
      </c>
    </row>
    <row r="250" spans="1:99">
      <c r="A250" t="s">
        <v>52</v>
      </c>
      <c r="B250" t="s">
        <v>92</v>
      </c>
      <c r="J250" t="s">
        <v>225</v>
      </c>
      <c r="K250" t="s">
        <v>225</v>
      </c>
      <c r="M250" s="73">
        <v>45372.607638888891</v>
      </c>
      <c r="N250">
        <v>42464865</v>
      </c>
      <c r="O250">
        <v>-2403</v>
      </c>
      <c r="P250" t="s">
        <v>45</v>
      </c>
      <c r="Q250">
        <v>-2403</v>
      </c>
      <c r="R250" t="s">
        <v>45</v>
      </c>
      <c r="U250" t="s">
        <v>226</v>
      </c>
      <c r="V250" t="s">
        <v>342</v>
      </c>
      <c r="W250" t="s">
        <v>228</v>
      </c>
      <c r="X250" t="s">
        <v>229</v>
      </c>
      <c r="Y250" t="s">
        <v>52</v>
      </c>
      <c r="AD250" t="s">
        <v>45</v>
      </c>
      <c r="AE250">
        <v>-2403</v>
      </c>
      <c r="AF250">
        <v>42464865</v>
      </c>
      <c r="AG250" s="73">
        <v>45372.607638888891</v>
      </c>
      <c r="AH250" t="s">
        <v>226</v>
      </c>
      <c r="AI250" t="s">
        <v>342</v>
      </c>
      <c r="AJ250" t="s">
        <v>228</v>
      </c>
      <c r="AK250" t="s">
        <v>229</v>
      </c>
      <c r="AL250" t="s">
        <v>52</v>
      </c>
      <c r="AP250" t="s">
        <v>230</v>
      </c>
      <c r="AQ250" t="s">
        <v>231</v>
      </c>
      <c r="AT250" t="s">
        <v>232</v>
      </c>
      <c r="AU250">
        <v>-99</v>
      </c>
      <c r="AV250" t="s">
        <v>45</v>
      </c>
      <c r="AW250">
        <v>-2403</v>
      </c>
      <c r="AX250">
        <v>42464865</v>
      </c>
      <c r="AY250" s="73">
        <v>45372.607638888891</v>
      </c>
      <c r="AZ250" t="s">
        <v>226</v>
      </c>
      <c r="BA250" t="s">
        <v>342</v>
      </c>
      <c r="BB250" t="s">
        <v>228</v>
      </c>
      <c r="BC250" t="s">
        <v>229</v>
      </c>
      <c r="BD250" t="s">
        <v>52</v>
      </c>
      <c r="BI250" t="s">
        <v>233</v>
      </c>
      <c r="BJ250" t="s">
        <v>0</v>
      </c>
      <c r="BK250">
        <v>42464849</v>
      </c>
      <c r="BN250" t="s">
        <v>45</v>
      </c>
      <c r="BR250">
        <v>-2403</v>
      </c>
      <c r="BS250">
        <v>42464865</v>
      </c>
      <c r="BT250" s="73">
        <v>45372.607638888891</v>
      </c>
      <c r="BU250" t="s">
        <v>226</v>
      </c>
      <c r="BV250" t="s">
        <v>342</v>
      </c>
      <c r="BW250" t="s">
        <v>228</v>
      </c>
      <c r="CH250" t="s">
        <v>229</v>
      </c>
      <c r="CI250" t="s">
        <v>52</v>
      </c>
      <c r="CJ250" t="s">
        <v>226</v>
      </c>
      <c r="CK250" t="s">
        <v>342</v>
      </c>
      <c r="CL250" t="s">
        <v>228</v>
      </c>
      <c r="CM250" t="s">
        <v>234</v>
      </c>
      <c r="CN250" t="s">
        <v>45</v>
      </c>
      <c r="CO250">
        <v>-2403</v>
      </c>
      <c r="CP250">
        <v>42464865</v>
      </c>
      <c r="CQ250" s="73">
        <v>45372.607638888891</v>
      </c>
      <c r="CR250" t="s">
        <v>229</v>
      </c>
      <c r="CS250" t="s">
        <v>52</v>
      </c>
      <c r="CU250" t="s">
        <v>225</v>
      </c>
    </row>
    <row r="251" spans="1:99">
      <c r="A251" t="s">
        <v>101</v>
      </c>
      <c r="B251" t="s">
        <v>98</v>
      </c>
      <c r="J251" t="s">
        <v>225</v>
      </c>
      <c r="K251" t="s">
        <v>225</v>
      </c>
      <c r="M251" s="73">
        <v>45372.607638888891</v>
      </c>
      <c r="N251">
        <v>42464864</v>
      </c>
      <c r="O251">
        <v>-120</v>
      </c>
      <c r="P251" t="s">
        <v>73</v>
      </c>
      <c r="Q251">
        <v>-120</v>
      </c>
      <c r="R251" t="s">
        <v>73</v>
      </c>
      <c r="U251" t="s">
        <v>226</v>
      </c>
      <c r="V251" t="s">
        <v>342</v>
      </c>
      <c r="W251" t="s">
        <v>228</v>
      </c>
      <c r="X251" t="s">
        <v>229</v>
      </c>
      <c r="Y251" t="s">
        <v>101</v>
      </c>
      <c r="AD251" t="s">
        <v>73</v>
      </c>
      <c r="AE251">
        <v>-120</v>
      </c>
      <c r="AF251">
        <v>42464864</v>
      </c>
      <c r="AG251" s="73">
        <v>45372.607638888891</v>
      </c>
      <c r="AH251" t="s">
        <v>226</v>
      </c>
      <c r="AI251" t="s">
        <v>342</v>
      </c>
      <c r="AJ251" t="s">
        <v>228</v>
      </c>
      <c r="AK251" t="s">
        <v>229</v>
      </c>
      <c r="AL251" t="s">
        <v>101</v>
      </c>
      <c r="AP251" t="s">
        <v>230</v>
      </c>
      <c r="AQ251" t="s">
        <v>231</v>
      </c>
      <c r="AT251" t="s">
        <v>232</v>
      </c>
      <c r="AU251">
        <v>-99</v>
      </c>
      <c r="AV251" t="s">
        <v>73</v>
      </c>
      <c r="AW251">
        <v>-120</v>
      </c>
      <c r="AX251">
        <v>42464864</v>
      </c>
      <c r="AY251" s="73">
        <v>45372.607638888891</v>
      </c>
      <c r="AZ251" t="s">
        <v>226</v>
      </c>
      <c r="BA251" t="s">
        <v>342</v>
      </c>
      <c r="BB251" t="s">
        <v>228</v>
      </c>
      <c r="BC251" t="s">
        <v>229</v>
      </c>
      <c r="BD251" t="s">
        <v>101</v>
      </c>
      <c r="BI251" t="s">
        <v>233</v>
      </c>
      <c r="BJ251" t="s">
        <v>0</v>
      </c>
      <c r="BK251">
        <v>42464849</v>
      </c>
      <c r="BN251" t="s">
        <v>73</v>
      </c>
      <c r="BR251">
        <v>-120</v>
      </c>
      <c r="BS251">
        <v>42464864</v>
      </c>
      <c r="BT251" s="73">
        <v>45372.607638888891</v>
      </c>
      <c r="BU251" t="s">
        <v>226</v>
      </c>
      <c r="BV251" t="s">
        <v>342</v>
      </c>
      <c r="BW251" t="s">
        <v>228</v>
      </c>
      <c r="CH251" t="s">
        <v>229</v>
      </c>
      <c r="CI251" t="s">
        <v>101</v>
      </c>
      <c r="CJ251" t="s">
        <v>226</v>
      </c>
      <c r="CK251" t="s">
        <v>342</v>
      </c>
      <c r="CL251" t="s">
        <v>228</v>
      </c>
      <c r="CM251" t="s">
        <v>234</v>
      </c>
      <c r="CN251" t="s">
        <v>73</v>
      </c>
      <c r="CO251">
        <v>-120</v>
      </c>
      <c r="CP251">
        <v>42464864</v>
      </c>
      <c r="CQ251" s="73">
        <v>45372.607638888891</v>
      </c>
      <c r="CR251" t="s">
        <v>229</v>
      </c>
      <c r="CS251" t="s">
        <v>101</v>
      </c>
      <c r="CU251" t="s">
        <v>225</v>
      </c>
    </row>
    <row r="252" spans="1:99">
      <c r="A252" t="s">
        <v>107</v>
      </c>
      <c r="B252" t="s">
        <v>98</v>
      </c>
      <c r="J252" t="s">
        <v>225</v>
      </c>
      <c r="K252" t="s">
        <v>225</v>
      </c>
      <c r="M252" s="73">
        <v>45372.607638888891</v>
      </c>
      <c r="N252">
        <v>42464863</v>
      </c>
      <c r="O252">
        <v>2400</v>
      </c>
      <c r="P252" t="s">
        <v>104</v>
      </c>
      <c r="Q252">
        <v>2400</v>
      </c>
      <c r="R252" t="s">
        <v>104</v>
      </c>
      <c r="S252">
        <v>120</v>
      </c>
      <c r="T252" t="s">
        <v>73</v>
      </c>
      <c r="U252" t="s">
        <v>226</v>
      </c>
      <c r="V252" t="s">
        <v>342</v>
      </c>
      <c r="W252" t="s">
        <v>235</v>
      </c>
      <c r="X252" t="s">
        <v>229</v>
      </c>
      <c r="Y252" t="s">
        <v>107</v>
      </c>
      <c r="AD252" t="s">
        <v>104</v>
      </c>
      <c r="AE252">
        <v>2400</v>
      </c>
      <c r="AF252">
        <v>42464863</v>
      </c>
      <c r="AG252" s="73">
        <v>45372.607638888891</v>
      </c>
      <c r="AH252" t="s">
        <v>226</v>
      </c>
      <c r="AI252" t="s">
        <v>342</v>
      </c>
      <c r="AJ252" t="s">
        <v>235</v>
      </c>
      <c r="AK252" t="s">
        <v>229</v>
      </c>
      <c r="AL252" t="s">
        <v>107</v>
      </c>
      <c r="AP252" t="s">
        <v>230</v>
      </c>
      <c r="AQ252" t="s">
        <v>231</v>
      </c>
      <c r="AT252" t="s">
        <v>232</v>
      </c>
      <c r="AU252">
        <v>-99</v>
      </c>
      <c r="AV252" t="s">
        <v>104</v>
      </c>
      <c r="AW252">
        <v>2400</v>
      </c>
      <c r="AX252">
        <v>42464863</v>
      </c>
      <c r="AY252" s="73">
        <v>45372.607638888891</v>
      </c>
      <c r="AZ252" t="s">
        <v>226</v>
      </c>
      <c r="BA252" t="s">
        <v>342</v>
      </c>
      <c r="BB252" t="s">
        <v>235</v>
      </c>
      <c r="BC252" t="s">
        <v>229</v>
      </c>
      <c r="BD252" t="s">
        <v>107</v>
      </c>
      <c r="BI252" t="s">
        <v>233</v>
      </c>
      <c r="BJ252" t="s">
        <v>0</v>
      </c>
      <c r="BK252">
        <v>42464849</v>
      </c>
      <c r="BN252" t="s">
        <v>104</v>
      </c>
      <c r="BO252">
        <v>42464855</v>
      </c>
      <c r="BR252">
        <v>2400</v>
      </c>
      <c r="BS252">
        <v>42464863</v>
      </c>
      <c r="BT252" s="73">
        <v>45372.607638888891</v>
      </c>
      <c r="BU252" t="s">
        <v>226</v>
      </c>
      <c r="BV252" t="s">
        <v>342</v>
      </c>
      <c r="BW252" t="s">
        <v>235</v>
      </c>
      <c r="CH252" t="s">
        <v>229</v>
      </c>
      <c r="CI252" t="s">
        <v>107</v>
      </c>
      <c r="CJ252" t="s">
        <v>226</v>
      </c>
      <c r="CK252" t="s">
        <v>342</v>
      </c>
      <c r="CL252" t="s">
        <v>235</v>
      </c>
      <c r="CM252" t="s">
        <v>236</v>
      </c>
      <c r="CN252" t="s">
        <v>104</v>
      </c>
      <c r="CO252">
        <v>2400</v>
      </c>
      <c r="CP252">
        <v>42464863</v>
      </c>
      <c r="CQ252" s="73">
        <v>45372.607638888891</v>
      </c>
      <c r="CR252" t="s">
        <v>229</v>
      </c>
      <c r="CS252" t="s">
        <v>107</v>
      </c>
      <c r="CU252" t="s">
        <v>225</v>
      </c>
    </row>
    <row r="253" spans="1:99">
      <c r="A253" t="s">
        <v>111</v>
      </c>
      <c r="B253" t="s">
        <v>77</v>
      </c>
      <c r="J253" t="s">
        <v>225</v>
      </c>
      <c r="K253" t="s">
        <v>225</v>
      </c>
      <c r="M253" s="73">
        <v>45372.607638888891</v>
      </c>
      <c r="N253">
        <v>42464862</v>
      </c>
      <c r="O253">
        <v>3</v>
      </c>
      <c r="P253" t="s">
        <v>45</v>
      </c>
      <c r="Q253">
        <v>3</v>
      </c>
      <c r="R253" t="s">
        <v>45</v>
      </c>
      <c r="U253" t="s">
        <v>226</v>
      </c>
      <c r="V253" t="s">
        <v>342</v>
      </c>
      <c r="W253" t="s">
        <v>237</v>
      </c>
      <c r="X253" t="s">
        <v>229</v>
      </c>
      <c r="Y253" t="s">
        <v>111</v>
      </c>
      <c r="AD253" t="s">
        <v>45</v>
      </c>
      <c r="AE253">
        <v>3</v>
      </c>
      <c r="AF253">
        <v>42464862</v>
      </c>
      <c r="AG253" s="73">
        <v>45372.607638888891</v>
      </c>
      <c r="AH253" t="s">
        <v>226</v>
      </c>
      <c r="AI253" t="s">
        <v>342</v>
      </c>
      <c r="AJ253" t="s">
        <v>237</v>
      </c>
      <c r="AK253" t="s">
        <v>229</v>
      </c>
      <c r="AL253" t="s">
        <v>111</v>
      </c>
      <c r="AP253" t="s">
        <v>230</v>
      </c>
      <c r="AQ253" t="s">
        <v>231</v>
      </c>
      <c r="AT253" t="s">
        <v>232</v>
      </c>
      <c r="AU253">
        <v>-99</v>
      </c>
      <c r="AV253" t="s">
        <v>45</v>
      </c>
      <c r="AW253">
        <v>3</v>
      </c>
      <c r="AX253">
        <v>42464862</v>
      </c>
      <c r="AY253" s="73">
        <v>45372.607638888891</v>
      </c>
      <c r="AZ253" t="s">
        <v>226</v>
      </c>
      <c r="BA253" t="s">
        <v>342</v>
      </c>
      <c r="BB253" t="s">
        <v>237</v>
      </c>
      <c r="BC253" t="s">
        <v>229</v>
      </c>
      <c r="BD253" t="s">
        <v>111</v>
      </c>
      <c r="BI253" t="s">
        <v>233</v>
      </c>
      <c r="BJ253" t="s">
        <v>0</v>
      </c>
      <c r="BK253">
        <v>42464849</v>
      </c>
      <c r="BN253" t="s">
        <v>45</v>
      </c>
      <c r="BO253">
        <v>42464857</v>
      </c>
      <c r="BR253">
        <v>3</v>
      </c>
      <c r="BS253">
        <v>42464862</v>
      </c>
      <c r="BT253" s="73">
        <v>45372.607638888891</v>
      </c>
      <c r="BU253" t="s">
        <v>226</v>
      </c>
      <c r="BV253" t="s">
        <v>342</v>
      </c>
      <c r="BW253" t="s">
        <v>237</v>
      </c>
      <c r="CH253" t="s">
        <v>229</v>
      </c>
      <c r="CI253" t="s">
        <v>111</v>
      </c>
      <c r="CJ253" t="s">
        <v>226</v>
      </c>
      <c r="CK253" t="s">
        <v>342</v>
      </c>
      <c r="CL253" t="s">
        <v>237</v>
      </c>
      <c r="CM253" t="s">
        <v>236</v>
      </c>
      <c r="CN253" t="s">
        <v>45</v>
      </c>
      <c r="CO253">
        <v>3</v>
      </c>
      <c r="CP253">
        <v>42464862</v>
      </c>
      <c r="CQ253" s="73">
        <v>45372.607638888891</v>
      </c>
      <c r="CR253" t="s">
        <v>229</v>
      </c>
      <c r="CS253" t="s">
        <v>111</v>
      </c>
      <c r="CU253" t="s">
        <v>225</v>
      </c>
    </row>
    <row r="254" spans="1:99">
      <c r="A254" t="s">
        <v>113</v>
      </c>
      <c r="B254" t="s">
        <v>90</v>
      </c>
      <c r="J254" t="s">
        <v>225</v>
      </c>
      <c r="K254" t="s">
        <v>225</v>
      </c>
      <c r="M254" s="73">
        <v>45372.590289351851</v>
      </c>
      <c r="N254">
        <v>42466043</v>
      </c>
      <c r="O254">
        <v>-145</v>
      </c>
      <c r="P254" t="s">
        <v>115</v>
      </c>
      <c r="Q254">
        <v>-145</v>
      </c>
      <c r="R254" t="s">
        <v>115</v>
      </c>
      <c r="U254" t="s">
        <v>226</v>
      </c>
      <c r="V254" t="s">
        <v>338</v>
      </c>
      <c r="W254" t="s">
        <v>228</v>
      </c>
      <c r="X254" t="s">
        <v>229</v>
      </c>
      <c r="Y254" t="s">
        <v>113</v>
      </c>
      <c r="AD254" t="s">
        <v>115</v>
      </c>
      <c r="AE254">
        <v>-145</v>
      </c>
      <c r="AF254">
        <v>42466043</v>
      </c>
      <c r="AG254" s="73">
        <v>45372.590289351851</v>
      </c>
      <c r="AH254" t="s">
        <v>226</v>
      </c>
      <c r="AI254" t="s">
        <v>338</v>
      </c>
      <c r="AJ254" t="s">
        <v>228</v>
      </c>
      <c r="AK254" t="s">
        <v>229</v>
      </c>
      <c r="AL254" t="s">
        <v>113</v>
      </c>
      <c r="AP254" t="s">
        <v>230</v>
      </c>
      <c r="AQ254" t="s">
        <v>231</v>
      </c>
      <c r="AT254" t="s">
        <v>232</v>
      </c>
      <c r="AU254">
        <v>-99</v>
      </c>
      <c r="AV254" t="s">
        <v>115</v>
      </c>
      <c r="AW254">
        <v>-145</v>
      </c>
      <c r="AX254">
        <v>42466043</v>
      </c>
      <c r="AY254" s="73">
        <v>45372.590289351851</v>
      </c>
      <c r="AZ254" t="s">
        <v>226</v>
      </c>
      <c r="BA254" t="s">
        <v>338</v>
      </c>
      <c r="BB254" t="s">
        <v>228</v>
      </c>
      <c r="BC254" t="s">
        <v>229</v>
      </c>
      <c r="BD254" t="s">
        <v>113</v>
      </c>
      <c r="BI254" t="s">
        <v>233</v>
      </c>
      <c r="BJ254" t="s">
        <v>0</v>
      </c>
      <c r="BK254">
        <v>42465972</v>
      </c>
      <c r="BN254" t="s">
        <v>115</v>
      </c>
      <c r="BR254">
        <v>-145</v>
      </c>
      <c r="BS254">
        <v>42466043</v>
      </c>
      <c r="BT254" s="73">
        <v>45372.590289351851</v>
      </c>
      <c r="BU254" t="s">
        <v>226</v>
      </c>
      <c r="BV254" t="s">
        <v>338</v>
      </c>
      <c r="BW254" t="s">
        <v>228</v>
      </c>
      <c r="CH254" t="s">
        <v>229</v>
      </c>
      <c r="CI254" t="s">
        <v>113</v>
      </c>
      <c r="CJ254" t="s">
        <v>226</v>
      </c>
      <c r="CK254" t="s">
        <v>338</v>
      </c>
      <c r="CL254" t="s">
        <v>228</v>
      </c>
      <c r="CM254" t="s">
        <v>234</v>
      </c>
      <c r="CN254" t="s">
        <v>115</v>
      </c>
      <c r="CO254">
        <v>-145</v>
      </c>
      <c r="CP254">
        <v>42466043</v>
      </c>
      <c r="CQ254" s="73">
        <v>45372.590289351851</v>
      </c>
      <c r="CR254" t="s">
        <v>229</v>
      </c>
      <c r="CS254" t="s">
        <v>113</v>
      </c>
      <c r="CU254" t="s">
        <v>225</v>
      </c>
    </row>
    <row r="255" spans="1:99">
      <c r="A255" t="s">
        <v>129</v>
      </c>
      <c r="B255" t="s">
        <v>90</v>
      </c>
      <c r="J255" t="s">
        <v>225</v>
      </c>
      <c r="K255" t="s">
        <v>225</v>
      </c>
      <c r="M255" s="73">
        <v>45372.590289351851</v>
      </c>
      <c r="N255">
        <v>42466042</v>
      </c>
      <c r="O255">
        <v>-1.8</v>
      </c>
      <c r="P255" t="s">
        <v>73</v>
      </c>
      <c r="Q255">
        <v>-1.8</v>
      </c>
      <c r="R255" t="s">
        <v>73</v>
      </c>
      <c r="U255" t="s">
        <v>226</v>
      </c>
      <c r="V255" t="s">
        <v>338</v>
      </c>
      <c r="W255" t="s">
        <v>228</v>
      </c>
      <c r="X255" t="s">
        <v>229</v>
      </c>
      <c r="Y255" t="s">
        <v>129</v>
      </c>
      <c r="AD255" t="s">
        <v>73</v>
      </c>
      <c r="AE255">
        <v>-1.8</v>
      </c>
      <c r="AF255">
        <v>42466042</v>
      </c>
      <c r="AG255" s="73">
        <v>45372.590289351851</v>
      </c>
      <c r="AH255" t="s">
        <v>226</v>
      </c>
      <c r="AI255" t="s">
        <v>338</v>
      </c>
      <c r="AJ255" t="s">
        <v>228</v>
      </c>
      <c r="AK255" t="s">
        <v>229</v>
      </c>
      <c r="AL255" t="s">
        <v>129</v>
      </c>
      <c r="AP255" t="s">
        <v>230</v>
      </c>
      <c r="AQ255" t="s">
        <v>231</v>
      </c>
      <c r="AT255" t="s">
        <v>232</v>
      </c>
      <c r="AU255">
        <v>-99</v>
      </c>
      <c r="AV255" t="s">
        <v>73</v>
      </c>
      <c r="AW255">
        <v>-1.8</v>
      </c>
      <c r="AX255">
        <v>42466042</v>
      </c>
      <c r="AY255" s="73">
        <v>45372.590289351851</v>
      </c>
      <c r="AZ255" t="s">
        <v>226</v>
      </c>
      <c r="BA255" t="s">
        <v>338</v>
      </c>
      <c r="BB255" t="s">
        <v>228</v>
      </c>
      <c r="BC255" t="s">
        <v>229</v>
      </c>
      <c r="BD255" t="s">
        <v>129</v>
      </c>
      <c r="BI255" t="s">
        <v>233</v>
      </c>
      <c r="BJ255" t="s">
        <v>0</v>
      </c>
      <c r="BK255">
        <v>42465972</v>
      </c>
      <c r="BN255" t="s">
        <v>73</v>
      </c>
      <c r="BR255">
        <v>-1.8</v>
      </c>
      <c r="BS255">
        <v>42466042</v>
      </c>
      <c r="BT255" s="73">
        <v>45372.590289351851</v>
      </c>
      <c r="BU255" t="s">
        <v>226</v>
      </c>
      <c r="BV255" t="s">
        <v>338</v>
      </c>
      <c r="BW255" t="s">
        <v>228</v>
      </c>
      <c r="CH255" t="s">
        <v>229</v>
      </c>
      <c r="CI255" t="s">
        <v>129</v>
      </c>
      <c r="CJ255" t="s">
        <v>226</v>
      </c>
      <c r="CK255" t="s">
        <v>338</v>
      </c>
      <c r="CL255" t="s">
        <v>228</v>
      </c>
      <c r="CM255" t="s">
        <v>234</v>
      </c>
      <c r="CN255" t="s">
        <v>73</v>
      </c>
      <c r="CO255">
        <v>-1.8</v>
      </c>
      <c r="CP255">
        <v>42466042</v>
      </c>
      <c r="CQ255" s="73">
        <v>45372.590289351851</v>
      </c>
      <c r="CR255" t="s">
        <v>229</v>
      </c>
      <c r="CS255" t="s">
        <v>129</v>
      </c>
      <c r="CU255" t="s">
        <v>225</v>
      </c>
    </row>
    <row r="256" spans="1:99">
      <c r="A256" t="s">
        <v>101</v>
      </c>
      <c r="B256" t="s">
        <v>98</v>
      </c>
      <c r="J256" t="s">
        <v>225</v>
      </c>
      <c r="K256" t="s">
        <v>225</v>
      </c>
      <c r="M256" s="73">
        <v>45372.590277777781</v>
      </c>
      <c r="N256">
        <v>42458580</v>
      </c>
      <c r="O256">
        <v>1410.43</v>
      </c>
      <c r="P256" t="s">
        <v>73</v>
      </c>
      <c r="Q256">
        <v>1410.43</v>
      </c>
      <c r="R256" t="s">
        <v>73</v>
      </c>
      <c r="U256" t="s">
        <v>226</v>
      </c>
      <c r="V256" t="s">
        <v>343</v>
      </c>
      <c r="W256" t="s">
        <v>235</v>
      </c>
      <c r="X256" t="s">
        <v>229</v>
      </c>
      <c r="Y256" t="s">
        <v>101</v>
      </c>
      <c r="AD256" t="s">
        <v>73</v>
      </c>
      <c r="AE256">
        <v>1410.43</v>
      </c>
      <c r="AF256">
        <v>42458580</v>
      </c>
      <c r="AG256" s="73">
        <v>45372.590277777781</v>
      </c>
      <c r="AH256" t="s">
        <v>226</v>
      </c>
      <c r="AI256" t="s">
        <v>343</v>
      </c>
      <c r="AJ256" t="s">
        <v>235</v>
      </c>
      <c r="AK256" t="s">
        <v>229</v>
      </c>
      <c r="AL256" t="s">
        <v>101</v>
      </c>
      <c r="AP256" t="s">
        <v>230</v>
      </c>
      <c r="AQ256" t="s">
        <v>231</v>
      </c>
      <c r="AT256" t="s">
        <v>232</v>
      </c>
      <c r="AU256">
        <v>-99</v>
      </c>
      <c r="AV256" t="s">
        <v>73</v>
      </c>
      <c r="AW256">
        <v>1410.43</v>
      </c>
      <c r="AX256">
        <v>42458580</v>
      </c>
      <c r="AY256" s="73">
        <v>45372.590277777781</v>
      </c>
      <c r="AZ256" t="s">
        <v>226</v>
      </c>
      <c r="BA256" t="s">
        <v>343</v>
      </c>
      <c r="BB256" t="s">
        <v>235</v>
      </c>
      <c r="BC256" t="s">
        <v>229</v>
      </c>
      <c r="BD256" t="s">
        <v>101</v>
      </c>
      <c r="BI256" t="s">
        <v>233</v>
      </c>
      <c r="BJ256" t="s">
        <v>0</v>
      </c>
      <c r="BK256">
        <v>42458576</v>
      </c>
      <c r="BN256" t="s">
        <v>73</v>
      </c>
      <c r="BO256">
        <v>42458578</v>
      </c>
      <c r="BR256">
        <v>1410.43</v>
      </c>
      <c r="BS256">
        <v>42458580</v>
      </c>
      <c r="BT256" s="73">
        <v>45372.590277777781</v>
      </c>
      <c r="BU256" t="s">
        <v>226</v>
      </c>
      <c r="BV256" t="s">
        <v>343</v>
      </c>
      <c r="BW256" t="s">
        <v>235</v>
      </c>
      <c r="CH256" t="s">
        <v>229</v>
      </c>
      <c r="CI256" t="s">
        <v>101</v>
      </c>
      <c r="CJ256" t="s">
        <v>226</v>
      </c>
      <c r="CK256" t="s">
        <v>343</v>
      </c>
      <c r="CL256" t="s">
        <v>235</v>
      </c>
      <c r="CM256" t="s">
        <v>236</v>
      </c>
      <c r="CN256" t="s">
        <v>73</v>
      </c>
      <c r="CO256">
        <v>1410.43</v>
      </c>
      <c r="CP256">
        <v>42458580</v>
      </c>
      <c r="CQ256" s="73">
        <v>45372.590277777781</v>
      </c>
      <c r="CR256" t="s">
        <v>229</v>
      </c>
      <c r="CS256" t="s">
        <v>101</v>
      </c>
      <c r="CU256" t="s">
        <v>225</v>
      </c>
    </row>
    <row r="257" spans="1:99">
      <c r="A257" t="s">
        <v>71</v>
      </c>
      <c r="B257" t="s">
        <v>77</v>
      </c>
      <c r="J257" t="s">
        <v>225</v>
      </c>
      <c r="K257" t="s">
        <v>225</v>
      </c>
      <c r="M257" s="73">
        <v>45372.590277777781</v>
      </c>
      <c r="N257">
        <v>42458573</v>
      </c>
      <c r="O257">
        <v>0.85</v>
      </c>
      <c r="P257" t="s">
        <v>73</v>
      </c>
      <c r="Q257">
        <v>0.85</v>
      </c>
      <c r="R257" t="s">
        <v>73</v>
      </c>
      <c r="U257" t="s">
        <v>226</v>
      </c>
      <c r="V257" t="s">
        <v>343</v>
      </c>
      <c r="W257" t="s">
        <v>237</v>
      </c>
      <c r="X257" t="s">
        <v>229</v>
      </c>
      <c r="Y257" t="s">
        <v>71</v>
      </c>
      <c r="AD257" t="s">
        <v>73</v>
      </c>
      <c r="AE257">
        <v>0.85</v>
      </c>
      <c r="AF257">
        <v>42458573</v>
      </c>
      <c r="AG257" s="73">
        <v>45372.590277777781</v>
      </c>
      <c r="AH257" t="s">
        <v>226</v>
      </c>
      <c r="AI257" t="s">
        <v>343</v>
      </c>
      <c r="AJ257" t="s">
        <v>237</v>
      </c>
      <c r="AK257" t="s">
        <v>229</v>
      </c>
      <c r="AL257" t="s">
        <v>71</v>
      </c>
      <c r="AP257" t="s">
        <v>230</v>
      </c>
      <c r="AQ257" t="s">
        <v>231</v>
      </c>
      <c r="AT257" t="s">
        <v>232</v>
      </c>
      <c r="AU257">
        <v>-99</v>
      </c>
      <c r="AV257" t="s">
        <v>73</v>
      </c>
      <c r="AW257">
        <v>0.85</v>
      </c>
      <c r="AX257">
        <v>42458573</v>
      </c>
      <c r="AY257" s="73">
        <v>45372.590277777781</v>
      </c>
      <c r="AZ257" t="s">
        <v>226</v>
      </c>
      <c r="BA257" t="s">
        <v>343</v>
      </c>
      <c r="BB257" t="s">
        <v>237</v>
      </c>
      <c r="BC257" t="s">
        <v>229</v>
      </c>
      <c r="BD257" t="s">
        <v>71</v>
      </c>
      <c r="BI257" t="s">
        <v>233</v>
      </c>
      <c r="BJ257" t="s">
        <v>0</v>
      </c>
      <c r="BK257">
        <v>42458569</v>
      </c>
      <c r="BN257" t="s">
        <v>73</v>
      </c>
      <c r="BO257">
        <v>42458571</v>
      </c>
      <c r="BR257">
        <v>0.85</v>
      </c>
      <c r="BS257">
        <v>42458573</v>
      </c>
      <c r="BT257" s="73">
        <v>45372.590277777781</v>
      </c>
      <c r="BU257" t="s">
        <v>226</v>
      </c>
      <c r="BV257" t="s">
        <v>343</v>
      </c>
      <c r="BW257" t="s">
        <v>237</v>
      </c>
      <c r="CH257" t="s">
        <v>229</v>
      </c>
      <c r="CI257" t="s">
        <v>71</v>
      </c>
      <c r="CJ257" t="s">
        <v>226</v>
      </c>
      <c r="CK257" t="s">
        <v>343</v>
      </c>
      <c r="CL257" t="s">
        <v>237</v>
      </c>
      <c r="CM257" t="s">
        <v>236</v>
      </c>
      <c r="CN257" t="s">
        <v>73</v>
      </c>
      <c r="CO257">
        <v>0.85</v>
      </c>
      <c r="CP257">
        <v>42458573</v>
      </c>
      <c r="CQ257" s="73">
        <v>45372.590277777781</v>
      </c>
      <c r="CR257" t="s">
        <v>229</v>
      </c>
      <c r="CS257" t="s">
        <v>71</v>
      </c>
      <c r="CU257" t="s">
        <v>225</v>
      </c>
    </row>
    <row r="258" spans="1:99">
      <c r="A258" t="s">
        <v>131</v>
      </c>
      <c r="B258" t="s">
        <v>90</v>
      </c>
      <c r="J258" t="s">
        <v>225</v>
      </c>
      <c r="K258" t="s">
        <v>225</v>
      </c>
      <c r="M258" s="73">
        <v>45372.590277777781</v>
      </c>
      <c r="N258">
        <v>42458566</v>
      </c>
      <c r="O258">
        <v>-130.4</v>
      </c>
      <c r="P258" t="s">
        <v>73</v>
      </c>
      <c r="Q258">
        <v>-130.4</v>
      </c>
      <c r="R258" t="s">
        <v>73</v>
      </c>
      <c r="U258" t="s">
        <v>226</v>
      </c>
      <c r="V258" t="s">
        <v>343</v>
      </c>
      <c r="W258" t="s">
        <v>228</v>
      </c>
      <c r="X258" t="s">
        <v>229</v>
      </c>
      <c r="Y258" t="s">
        <v>131</v>
      </c>
      <c r="AD258" t="s">
        <v>73</v>
      </c>
      <c r="AE258">
        <v>-130.4</v>
      </c>
      <c r="AF258">
        <v>42458566</v>
      </c>
      <c r="AG258" s="73">
        <v>45372.590277777781</v>
      </c>
      <c r="AH258" t="s">
        <v>226</v>
      </c>
      <c r="AI258" t="s">
        <v>343</v>
      </c>
      <c r="AJ258" t="s">
        <v>228</v>
      </c>
      <c r="AK258" t="s">
        <v>229</v>
      </c>
      <c r="AL258" t="s">
        <v>131</v>
      </c>
      <c r="AP258" t="s">
        <v>230</v>
      </c>
      <c r="AQ258" t="s">
        <v>231</v>
      </c>
      <c r="AT258" t="s">
        <v>232</v>
      </c>
      <c r="AU258">
        <v>-99</v>
      </c>
      <c r="AV258" t="s">
        <v>73</v>
      </c>
      <c r="AW258">
        <v>-130.4</v>
      </c>
      <c r="AX258">
        <v>42458566</v>
      </c>
      <c r="AY258" s="73">
        <v>45372.590277777781</v>
      </c>
      <c r="AZ258" t="s">
        <v>226</v>
      </c>
      <c r="BA258" t="s">
        <v>343</v>
      </c>
      <c r="BB258" t="s">
        <v>228</v>
      </c>
      <c r="BC258" t="s">
        <v>229</v>
      </c>
      <c r="BD258" t="s">
        <v>131</v>
      </c>
      <c r="BI258" t="s">
        <v>233</v>
      </c>
      <c r="BJ258" t="s">
        <v>0</v>
      </c>
      <c r="BK258">
        <v>42458562</v>
      </c>
      <c r="BN258" t="s">
        <v>73</v>
      </c>
      <c r="BR258">
        <v>-130.4</v>
      </c>
      <c r="BS258">
        <v>42458566</v>
      </c>
      <c r="BT258" s="73">
        <v>45372.590277777781</v>
      </c>
      <c r="BU258" t="s">
        <v>226</v>
      </c>
      <c r="BV258" t="s">
        <v>343</v>
      </c>
      <c r="BW258" t="s">
        <v>228</v>
      </c>
      <c r="CH258" t="s">
        <v>229</v>
      </c>
      <c r="CI258" t="s">
        <v>131</v>
      </c>
      <c r="CJ258" t="s">
        <v>226</v>
      </c>
      <c r="CK258" t="s">
        <v>343</v>
      </c>
      <c r="CL258" t="s">
        <v>228</v>
      </c>
      <c r="CM258" t="s">
        <v>234</v>
      </c>
      <c r="CN258" t="s">
        <v>73</v>
      </c>
      <c r="CO258">
        <v>-130.4</v>
      </c>
      <c r="CP258">
        <v>42458566</v>
      </c>
      <c r="CQ258" s="73">
        <v>45372.590277777781</v>
      </c>
      <c r="CR258" t="s">
        <v>229</v>
      </c>
      <c r="CS258" t="s">
        <v>131</v>
      </c>
      <c r="CU258" t="s">
        <v>225</v>
      </c>
    </row>
    <row r="259" spans="1:99">
      <c r="A259" t="s">
        <v>127</v>
      </c>
      <c r="B259" t="s">
        <v>90</v>
      </c>
      <c r="J259" t="s">
        <v>225</v>
      </c>
      <c r="K259" t="s">
        <v>225</v>
      </c>
      <c r="M259" s="73">
        <v>45372.590277777781</v>
      </c>
      <c r="N259">
        <v>42458559</v>
      </c>
      <c r="O259">
        <v>-657.1</v>
      </c>
      <c r="P259" t="s">
        <v>73</v>
      </c>
      <c r="Q259">
        <v>-657.1</v>
      </c>
      <c r="R259" t="s">
        <v>73</v>
      </c>
      <c r="U259" t="s">
        <v>226</v>
      </c>
      <c r="V259" t="s">
        <v>343</v>
      </c>
      <c r="W259" t="s">
        <v>228</v>
      </c>
      <c r="X259" t="s">
        <v>229</v>
      </c>
      <c r="Y259" t="s">
        <v>127</v>
      </c>
      <c r="AD259" t="s">
        <v>73</v>
      </c>
      <c r="AE259">
        <v>-657.1</v>
      </c>
      <c r="AF259">
        <v>42458559</v>
      </c>
      <c r="AG259" s="73">
        <v>45372.590277777781</v>
      </c>
      <c r="AH259" t="s">
        <v>226</v>
      </c>
      <c r="AI259" t="s">
        <v>343</v>
      </c>
      <c r="AJ259" t="s">
        <v>228</v>
      </c>
      <c r="AK259" t="s">
        <v>229</v>
      </c>
      <c r="AL259" t="s">
        <v>127</v>
      </c>
      <c r="AP259" t="s">
        <v>230</v>
      </c>
      <c r="AQ259" t="s">
        <v>231</v>
      </c>
      <c r="AT259" t="s">
        <v>232</v>
      </c>
      <c r="AU259">
        <v>-99</v>
      </c>
      <c r="AV259" t="s">
        <v>73</v>
      </c>
      <c r="AW259">
        <v>-657.1</v>
      </c>
      <c r="AX259">
        <v>42458559</v>
      </c>
      <c r="AY259" s="73">
        <v>45372.590277777781</v>
      </c>
      <c r="AZ259" t="s">
        <v>226</v>
      </c>
      <c r="BA259" t="s">
        <v>343</v>
      </c>
      <c r="BB259" t="s">
        <v>228</v>
      </c>
      <c r="BC259" t="s">
        <v>229</v>
      </c>
      <c r="BD259" t="s">
        <v>127</v>
      </c>
      <c r="BI259" t="s">
        <v>233</v>
      </c>
      <c r="BJ259" t="s">
        <v>0</v>
      </c>
      <c r="BK259">
        <v>42458555</v>
      </c>
      <c r="BN259" t="s">
        <v>73</v>
      </c>
      <c r="BR259">
        <v>-657.1</v>
      </c>
      <c r="BS259">
        <v>42458559</v>
      </c>
      <c r="BT259" s="73">
        <v>45372.590277777781</v>
      </c>
      <c r="BU259" t="s">
        <v>226</v>
      </c>
      <c r="BV259" t="s">
        <v>343</v>
      </c>
      <c r="BW259" t="s">
        <v>228</v>
      </c>
      <c r="CH259" t="s">
        <v>229</v>
      </c>
      <c r="CI259" t="s">
        <v>127</v>
      </c>
      <c r="CJ259" t="s">
        <v>226</v>
      </c>
      <c r="CK259" t="s">
        <v>343</v>
      </c>
      <c r="CL259" t="s">
        <v>228</v>
      </c>
      <c r="CM259" t="s">
        <v>234</v>
      </c>
      <c r="CN259" t="s">
        <v>73</v>
      </c>
      <c r="CO259">
        <v>-657.1</v>
      </c>
      <c r="CP259">
        <v>42458559</v>
      </c>
      <c r="CQ259" s="73">
        <v>45372.590277777781</v>
      </c>
      <c r="CR259" t="s">
        <v>229</v>
      </c>
      <c r="CS259" t="s">
        <v>127</v>
      </c>
      <c r="CU259" t="s">
        <v>225</v>
      </c>
    </row>
    <row r="260" spans="1:99">
      <c r="A260" t="s">
        <v>133</v>
      </c>
      <c r="B260" t="s">
        <v>90</v>
      </c>
      <c r="J260" t="s">
        <v>225</v>
      </c>
      <c r="K260" t="s">
        <v>225</v>
      </c>
      <c r="M260" s="73">
        <v>45372.590277777781</v>
      </c>
      <c r="N260">
        <v>42458552</v>
      </c>
      <c r="O260">
        <v>-598.5</v>
      </c>
      <c r="P260" t="s">
        <v>73</v>
      </c>
      <c r="Q260">
        <v>-598.5</v>
      </c>
      <c r="R260" t="s">
        <v>73</v>
      </c>
      <c r="U260" t="s">
        <v>226</v>
      </c>
      <c r="V260" t="s">
        <v>343</v>
      </c>
      <c r="W260" t="s">
        <v>228</v>
      </c>
      <c r="X260" t="s">
        <v>229</v>
      </c>
      <c r="Y260" t="s">
        <v>133</v>
      </c>
      <c r="AD260" t="s">
        <v>73</v>
      </c>
      <c r="AE260">
        <v>-598.5</v>
      </c>
      <c r="AF260">
        <v>42458552</v>
      </c>
      <c r="AG260" s="73">
        <v>45372.590277777781</v>
      </c>
      <c r="AH260" t="s">
        <v>226</v>
      </c>
      <c r="AI260" t="s">
        <v>343</v>
      </c>
      <c r="AJ260" t="s">
        <v>228</v>
      </c>
      <c r="AK260" t="s">
        <v>229</v>
      </c>
      <c r="AL260" t="s">
        <v>133</v>
      </c>
      <c r="AP260" t="s">
        <v>230</v>
      </c>
      <c r="AQ260" t="s">
        <v>231</v>
      </c>
      <c r="AT260" t="s">
        <v>232</v>
      </c>
      <c r="AU260">
        <v>-99</v>
      </c>
      <c r="AV260" t="s">
        <v>73</v>
      </c>
      <c r="AW260">
        <v>-598.5</v>
      </c>
      <c r="AX260">
        <v>42458552</v>
      </c>
      <c r="AY260" s="73">
        <v>45372.590277777781</v>
      </c>
      <c r="AZ260" t="s">
        <v>226</v>
      </c>
      <c r="BA260" t="s">
        <v>343</v>
      </c>
      <c r="BB260" t="s">
        <v>228</v>
      </c>
      <c r="BC260" t="s">
        <v>229</v>
      </c>
      <c r="BD260" t="s">
        <v>133</v>
      </c>
      <c r="BI260" t="s">
        <v>233</v>
      </c>
      <c r="BJ260" t="s">
        <v>0</v>
      </c>
      <c r="BK260">
        <v>42458548</v>
      </c>
      <c r="BN260" t="s">
        <v>73</v>
      </c>
      <c r="BR260">
        <v>-598.5</v>
      </c>
      <c r="BS260">
        <v>42458552</v>
      </c>
      <c r="BT260" s="73">
        <v>45372.590277777781</v>
      </c>
      <c r="BU260" t="s">
        <v>226</v>
      </c>
      <c r="BV260" t="s">
        <v>343</v>
      </c>
      <c r="BW260" t="s">
        <v>228</v>
      </c>
      <c r="CH260" t="s">
        <v>229</v>
      </c>
      <c r="CI260" t="s">
        <v>133</v>
      </c>
      <c r="CJ260" t="s">
        <v>226</v>
      </c>
      <c r="CK260" t="s">
        <v>343</v>
      </c>
      <c r="CL260" t="s">
        <v>228</v>
      </c>
      <c r="CM260" t="s">
        <v>234</v>
      </c>
      <c r="CN260" t="s">
        <v>73</v>
      </c>
      <c r="CO260">
        <v>-598.5</v>
      </c>
      <c r="CP260">
        <v>42458552</v>
      </c>
      <c r="CQ260" s="73">
        <v>45372.590277777781</v>
      </c>
      <c r="CR260" t="s">
        <v>229</v>
      </c>
      <c r="CS260" t="s">
        <v>133</v>
      </c>
      <c r="CU260" t="s">
        <v>225</v>
      </c>
    </row>
    <row r="261" spans="1:99">
      <c r="A261" t="s">
        <v>87</v>
      </c>
      <c r="B261" t="s">
        <v>90</v>
      </c>
      <c r="J261" t="s">
        <v>225</v>
      </c>
      <c r="K261" t="s">
        <v>225</v>
      </c>
      <c r="M261" s="73">
        <v>45372.590277777781</v>
      </c>
      <c r="N261">
        <v>42458545</v>
      </c>
      <c r="O261">
        <v>-73</v>
      </c>
      <c r="P261" t="s">
        <v>73</v>
      </c>
      <c r="Q261">
        <v>-73</v>
      </c>
      <c r="R261" t="s">
        <v>73</v>
      </c>
      <c r="U261" t="s">
        <v>226</v>
      </c>
      <c r="V261" t="s">
        <v>343</v>
      </c>
      <c r="W261" t="s">
        <v>228</v>
      </c>
      <c r="X261" t="s">
        <v>229</v>
      </c>
      <c r="Y261" t="s">
        <v>87</v>
      </c>
      <c r="AD261" t="s">
        <v>73</v>
      </c>
      <c r="AE261">
        <v>-73</v>
      </c>
      <c r="AF261">
        <v>42458545</v>
      </c>
      <c r="AG261" s="73">
        <v>45372.590277777781</v>
      </c>
      <c r="AH261" t="s">
        <v>226</v>
      </c>
      <c r="AI261" t="s">
        <v>343</v>
      </c>
      <c r="AJ261" t="s">
        <v>228</v>
      </c>
      <c r="AK261" t="s">
        <v>229</v>
      </c>
      <c r="AL261" t="s">
        <v>87</v>
      </c>
      <c r="AP261" t="s">
        <v>230</v>
      </c>
      <c r="AQ261" t="s">
        <v>231</v>
      </c>
      <c r="AT261" t="s">
        <v>232</v>
      </c>
      <c r="AU261">
        <v>-99</v>
      </c>
      <c r="AV261" t="s">
        <v>73</v>
      </c>
      <c r="AW261">
        <v>-73</v>
      </c>
      <c r="AX261">
        <v>42458545</v>
      </c>
      <c r="AY261" s="73">
        <v>45372.590277777781</v>
      </c>
      <c r="AZ261" t="s">
        <v>226</v>
      </c>
      <c r="BA261" t="s">
        <v>343</v>
      </c>
      <c r="BB261" t="s">
        <v>228</v>
      </c>
      <c r="BC261" t="s">
        <v>229</v>
      </c>
      <c r="BD261" t="s">
        <v>87</v>
      </c>
      <c r="BI261" t="s">
        <v>233</v>
      </c>
      <c r="BJ261" t="s">
        <v>0</v>
      </c>
      <c r="BK261">
        <v>42458541</v>
      </c>
      <c r="BN261" t="s">
        <v>73</v>
      </c>
      <c r="BR261">
        <v>-73</v>
      </c>
      <c r="BS261">
        <v>42458545</v>
      </c>
      <c r="BT261" s="73">
        <v>45372.590277777781</v>
      </c>
      <c r="BU261" t="s">
        <v>226</v>
      </c>
      <c r="BV261" t="s">
        <v>343</v>
      </c>
      <c r="BW261" t="s">
        <v>228</v>
      </c>
      <c r="CH261" t="s">
        <v>229</v>
      </c>
      <c r="CI261" t="s">
        <v>87</v>
      </c>
      <c r="CJ261" t="s">
        <v>226</v>
      </c>
      <c r="CK261" t="s">
        <v>343</v>
      </c>
      <c r="CL261" t="s">
        <v>228</v>
      </c>
      <c r="CM261" t="s">
        <v>234</v>
      </c>
      <c r="CN261" t="s">
        <v>73</v>
      </c>
      <c r="CO261">
        <v>-73</v>
      </c>
      <c r="CP261">
        <v>42458545</v>
      </c>
      <c r="CQ261" s="73">
        <v>45372.590277777781</v>
      </c>
      <c r="CR261" t="s">
        <v>229</v>
      </c>
      <c r="CS261" t="s">
        <v>87</v>
      </c>
      <c r="CU261" t="s">
        <v>225</v>
      </c>
    </row>
    <row r="262" spans="1:99">
      <c r="A262" t="s">
        <v>42</v>
      </c>
      <c r="B262" t="s">
        <v>92</v>
      </c>
      <c r="J262" t="s">
        <v>225</v>
      </c>
      <c r="K262" t="s">
        <v>225</v>
      </c>
      <c r="M262" s="73">
        <v>45372.583333333336</v>
      </c>
      <c r="N262">
        <v>42465309</v>
      </c>
      <c r="O262">
        <v>-6453</v>
      </c>
      <c r="P262" t="s">
        <v>45</v>
      </c>
      <c r="Q262">
        <v>-6453</v>
      </c>
      <c r="R262" t="s">
        <v>45</v>
      </c>
      <c r="U262" t="s">
        <v>226</v>
      </c>
      <c r="V262" t="s">
        <v>344</v>
      </c>
      <c r="W262" t="s">
        <v>228</v>
      </c>
      <c r="X262" t="s">
        <v>229</v>
      </c>
      <c r="Y262" t="s">
        <v>42</v>
      </c>
      <c r="AD262" t="s">
        <v>45</v>
      </c>
      <c r="AE262">
        <v>-6453</v>
      </c>
      <c r="AF262">
        <v>42465309</v>
      </c>
      <c r="AG262" s="73">
        <v>45372.583333333336</v>
      </c>
      <c r="AH262" t="s">
        <v>226</v>
      </c>
      <c r="AI262" t="s">
        <v>344</v>
      </c>
      <c r="AJ262" t="s">
        <v>228</v>
      </c>
      <c r="AK262" t="s">
        <v>229</v>
      </c>
      <c r="AL262" t="s">
        <v>42</v>
      </c>
      <c r="AP262" t="s">
        <v>230</v>
      </c>
      <c r="AQ262" t="s">
        <v>231</v>
      </c>
      <c r="AT262" t="s">
        <v>232</v>
      </c>
      <c r="AU262">
        <v>-99</v>
      </c>
      <c r="AV262" t="s">
        <v>45</v>
      </c>
      <c r="AW262">
        <v>-6453</v>
      </c>
      <c r="AX262">
        <v>42465309</v>
      </c>
      <c r="AY262" s="73">
        <v>45372.583333333336</v>
      </c>
      <c r="AZ262" t="s">
        <v>226</v>
      </c>
      <c r="BA262" t="s">
        <v>344</v>
      </c>
      <c r="BB262" t="s">
        <v>228</v>
      </c>
      <c r="BC262" t="s">
        <v>229</v>
      </c>
      <c r="BD262" t="s">
        <v>42</v>
      </c>
      <c r="BI262" t="s">
        <v>233</v>
      </c>
      <c r="BJ262" t="s">
        <v>0</v>
      </c>
      <c r="BK262">
        <v>42465244</v>
      </c>
      <c r="BN262" t="s">
        <v>45</v>
      </c>
      <c r="BR262">
        <v>-6453</v>
      </c>
      <c r="BS262">
        <v>42465309</v>
      </c>
      <c r="BT262" s="73">
        <v>45372.583333333336</v>
      </c>
      <c r="BU262" t="s">
        <v>226</v>
      </c>
      <c r="BV262" t="s">
        <v>344</v>
      </c>
      <c r="BW262" t="s">
        <v>228</v>
      </c>
      <c r="CH262" t="s">
        <v>229</v>
      </c>
      <c r="CI262" t="s">
        <v>42</v>
      </c>
      <c r="CJ262" t="s">
        <v>226</v>
      </c>
      <c r="CK262" t="s">
        <v>344</v>
      </c>
      <c r="CL262" t="s">
        <v>228</v>
      </c>
      <c r="CM262" t="s">
        <v>234</v>
      </c>
      <c r="CN262" t="s">
        <v>45</v>
      </c>
      <c r="CO262">
        <v>-6453</v>
      </c>
      <c r="CP262">
        <v>42465309</v>
      </c>
      <c r="CQ262" s="73">
        <v>45372.583333333336</v>
      </c>
      <c r="CR262" t="s">
        <v>229</v>
      </c>
      <c r="CS262" t="s">
        <v>42</v>
      </c>
      <c r="CU262" t="s">
        <v>225</v>
      </c>
    </row>
    <row r="263" spans="1:99">
      <c r="A263" t="s">
        <v>99</v>
      </c>
      <c r="B263" t="s">
        <v>98</v>
      </c>
      <c r="J263" t="s">
        <v>225</v>
      </c>
      <c r="K263" t="s">
        <v>225</v>
      </c>
      <c r="M263" s="73">
        <v>45372.583333333336</v>
      </c>
      <c r="N263">
        <v>42465308</v>
      </c>
      <c r="O263">
        <v>-322.5</v>
      </c>
      <c r="P263" t="s">
        <v>73</v>
      </c>
      <c r="Q263">
        <v>-322.5</v>
      </c>
      <c r="R263" t="s">
        <v>73</v>
      </c>
      <c r="U263" t="s">
        <v>226</v>
      </c>
      <c r="V263" t="s">
        <v>344</v>
      </c>
      <c r="W263" t="s">
        <v>228</v>
      </c>
      <c r="X263" t="s">
        <v>229</v>
      </c>
      <c r="Y263" t="s">
        <v>99</v>
      </c>
      <c r="AD263" t="s">
        <v>73</v>
      </c>
      <c r="AE263">
        <v>-322.5</v>
      </c>
      <c r="AF263">
        <v>42465308</v>
      </c>
      <c r="AG263" s="73">
        <v>45372.583333333336</v>
      </c>
      <c r="AH263" t="s">
        <v>226</v>
      </c>
      <c r="AI263" t="s">
        <v>344</v>
      </c>
      <c r="AJ263" t="s">
        <v>228</v>
      </c>
      <c r="AK263" t="s">
        <v>229</v>
      </c>
      <c r="AL263" t="s">
        <v>99</v>
      </c>
      <c r="AP263" t="s">
        <v>230</v>
      </c>
      <c r="AQ263" t="s">
        <v>231</v>
      </c>
      <c r="AT263" t="s">
        <v>232</v>
      </c>
      <c r="AU263">
        <v>-99</v>
      </c>
      <c r="AV263" t="s">
        <v>73</v>
      </c>
      <c r="AW263">
        <v>-322.5</v>
      </c>
      <c r="AX263">
        <v>42465308</v>
      </c>
      <c r="AY263" s="73">
        <v>45372.583333333336</v>
      </c>
      <c r="AZ263" t="s">
        <v>226</v>
      </c>
      <c r="BA263" t="s">
        <v>344</v>
      </c>
      <c r="BB263" t="s">
        <v>228</v>
      </c>
      <c r="BC263" t="s">
        <v>229</v>
      </c>
      <c r="BD263" t="s">
        <v>99</v>
      </c>
      <c r="BI263" t="s">
        <v>233</v>
      </c>
      <c r="BJ263" t="s">
        <v>0</v>
      </c>
      <c r="BK263">
        <v>42465244</v>
      </c>
      <c r="BN263" t="s">
        <v>73</v>
      </c>
      <c r="BR263">
        <v>-322.5</v>
      </c>
      <c r="BS263">
        <v>42465308</v>
      </c>
      <c r="BT263" s="73">
        <v>45372.583333333336</v>
      </c>
      <c r="BU263" t="s">
        <v>226</v>
      </c>
      <c r="BV263" t="s">
        <v>344</v>
      </c>
      <c r="BW263" t="s">
        <v>228</v>
      </c>
      <c r="CH263" t="s">
        <v>229</v>
      </c>
      <c r="CI263" t="s">
        <v>99</v>
      </c>
      <c r="CJ263" t="s">
        <v>226</v>
      </c>
      <c r="CK263" t="s">
        <v>344</v>
      </c>
      <c r="CL263" t="s">
        <v>228</v>
      </c>
      <c r="CM263" t="s">
        <v>234</v>
      </c>
      <c r="CN263" t="s">
        <v>73</v>
      </c>
      <c r="CO263">
        <v>-322.5</v>
      </c>
      <c r="CP263">
        <v>42465308</v>
      </c>
      <c r="CQ263" s="73">
        <v>45372.583333333336</v>
      </c>
      <c r="CR263" t="s">
        <v>229</v>
      </c>
      <c r="CS263" t="s">
        <v>99</v>
      </c>
      <c r="CU263" t="s">
        <v>225</v>
      </c>
    </row>
    <row r="264" spans="1:99">
      <c r="A264" t="s">
        <v>103</v>
      </c>
      <c r="B264" t="s">
        <v>98</v>
      </c>
      <c r="J264" t="s">
        <v>225</v>
      </c>
      <c r="K264" t="s">
        <v>225</v>
      </c>
      <c r="M264" s="73">
        <v>45372.583333333336</v>
      </c>
      <c r="N264">
        <v>42465307</v>
      </c>
      <c r="O264">
        <v>6450</v>
      </c>
      <c r="P264" t="s">
        <v>104</v>
      </c>
      <c r="Q264">
        <v>6450</v>
      </c>
      <c r="R264" t="s">
        <v>104</v>
      </c>
      <c r="S264">
        <v>322.5</v>
      </c>
      <c r="T264" t="s">
        <v>73</v>
      </c>
      <c r="U264" t="s">
        <v>226</v>
      </c>
      <c r="V264" t="s">
        <v>344</v>
      </c>
      <c r="W264" t="s">
        <v>235</v>
      </c>
      <c r="X264" t="s">
        <v>229</v>
      </c>
      <c r="Y264" t="s">
        <v>103</v>
      </c>
      <c r="AD264" t="s">
        <v>104</v>
      </c>
      <c r="AE264">
        <v>6450</v>
      </c>
      <c r="AF264">
        <v>42465307</v>
      </c>
      <c r="AG264" s="73">
        <v>45372.583333333336</v>
      </c>
      <c r="AH264" t="s">
        <v>226</v>
      </c>
      <c r="AI264" t="s">
        <v>344</v>
      </c>
      <c r="AJ264" t="s">
        <v>235</v>
      </c>
      <c r="AK264" t="s">
        <v>229</v>
      </c>
      <c r="AL264" t="s">
        <v>103</v>
      </c>
      <c r="AP264" t="s">
        <v>230</v>
      </c>
      <c r="AQ264" t="s">
        <v>231</v>
      </c>
      <c r="AT264" t="s">
        <v>232</v>
      </c>
      <c r="AU264">
        <v>-99</v>
      </c>
      <c r="AV264" t="s">
        <v>104</v>
      </c>
      <c r="AW264">
        <v>6450</v>
      </c>
      <c r="AX264">
        <v>42465307</v>
      </c>
      <c r="AY264" s="73">
        <v>45372.583333333336</v>
      </c>
      <c r="AZ264" t="s">
        <v>226</v>
      </c>
      <c r="BA264" t="s">
        <v>344</v>
      </c>
      <c r="BB264" t="s">
        <v>235</v>
      </c>
      <c r="BC264" t="s">
        <v>229</v>
      </c>
      <c r="BD264" t="s">
        <v>103</v>
      </c>
      <c r="BI264" t="s">
        <v>233</v>
      </c>
      <c r="BJ264" t="s">
        <v>0</v>
      </c>
      <c r="BK264">
        <v>42465244</v>
      </c>
      <c r="BN264" t="s">
        <v>104</v>
      </c>
      <c r="BO264">
        <v>42465250</v>
      </c>
      <c r="BR264">
        <v>6450</v>
      </c>
      <c r="BS264">
        <v>42465307</v>
      </c>
      <c r="BT264" s="73">
        <v>45372.583333333336</v>
      </c>
      <c r="BU264" t="s">
        <v>226</v>
      </c>
      <c r="BV264" t="s">
        <v>344</v>
      </c>
      <c r="BW264" t="s">
        <v>235</v>
      </c>
      <c r="CH264" t="s">
        <v>229</v>
      </c>
      <c r="CI264" t="s">
        <v>103</v>
      </c>
      <c r="CJ264" t="s">
        <v>226</v>
      </c>
      <c r="CK264" t="s">
        <v>344</v>
      </c>
      <c r="CL264" t="s">
        <v>235</v>
      </c>
      <c r="CM264" t="s">
        <v>236</v>
      </c>
      <c r="CN264" t="s">
        <v>104</v>
      </c>
      <c r="CO264">
        <v>6450</v>
      </c>
      <c r="CP264">
        <v>42465307</v>
      </c>
      <c r="CQ264" s="73">
        <v>45372.583333333336</v>
      </c>
      <c r="CR264" t="s">
        <v>229</v>
      </c>
      <c r="CS264" t="s">
        <v>103</v>
      </c>
      <c r="CU264" t="s">
        <v>225</v>
      </c>
    </row>
    <row r="265" spans="1:99">
      <c r="A265" t="s">
        <v>111</v>
      </c>
      <c r="B265" t="s">
        <v>77</v>
      </c>
      <c r="J265" t="s">
        <v>225</v>
      </c>
      <c r="K265" t="s">
        <v>225</v>
      </c>
      <c r="M265" s="73">
        <v>45372.583333333336</v>
      </c>
      <c r="N265">
        <v>42465306</v>
      </c>
      <c r="O265">
        <v>3</v>
      </c>
      <c r="P265" t="s">
        <v>45</v>
      </c>
      <c r="Q265">
        <v>3</v>
      </c>
      <c r="R265" t="s">
        <v>45</v>
      </c>
      <c r="U265" t="s">
        <v>226</v>
      </c>
      <c r="V265" t="s">
        <v>344</v>
      </c>
      <c r="W265" t="s">
        <v>237</v>
      </c>
      <c r="X265" t="s">
        <v>229</v>
      </c>
      <c r="Y265" t="s">
        <v>111</v>
      </c>
      <c r="AD265" t="s">
        <v>45</v>
      </c>
      <c r="AE265">
        <v>3</v>
      </c>
      <c r="AF265">
        <v>42465306</v>
      </c>
      <c r="AG265" s="73">
        <v>45372.583333333336</v>
      </c>
      <c r="AH265" t="s">
        <v>226</v>
      </c>
      <c r="AI265" t="s">
        <v>344</v>
      </c>
      <c r="AJ265" t="s">
        <v>237</v>
      </c>
      <c r="AK265" t="s">
        <v>229</v>
      </c>
      <c r="AL265" t="s">
        <v>111</v>
      </c>
      <c r="AP265" t="s">
        <v>230</v>
      </c>
      <c r="AQ265" t="s">
        <v>231</v>
      </c>
      <c r="AT265" t="s">
        <v>232</v>
      </c>
      <c r="AU265">
        <v>-99</v>
      </c>
      <c r="AV265" t="s">
        <v>45</v>
      </c>
      <c r="AW265">
        <v>3</v>
      </c>
      <c r="AX265">
        <v>42465306</v>
      </c>
      <c r="AY265" s="73">
        <v>45372.583333333336</v>
      </c>
      <c r="AZ265" t="s">
        <v>226</v>
      </c>
      <c r="BA265" t="s">
        <v>344</v>
      </c>
      <c r="BB265" t="s">
        <v>237</v>
      </c>
      <c r="BC265" t="s">
        <v>229</v>
      </c>
      <c r="BD265" t="s">
        <v>111</v>
      </c>
      <c r="BI265" t="s">
        <v>233</v>
      </c>
      <c r="BJ265" t="s">
        <v>0</v>
      </c>
      <c r="BK265">
        <v>42465244</v>
      </c>
      <c r="BN265" t="s">
        <v>45</v>
      </c>
      <c r="BO265">
        <v>42465252</v>
      </c>
      <c r="BR265">
        <v>3</v>
      </c>
      <c r="BS265">
        <v>42465306</v>
      </c>
      <c r="BT265" s="73">
        <v>45372.583333333336</v>
      </c>
      <c r="BU265" t="s">
        <v>226</v>
      </c>
      <c r="BV265" t="s">
        <v>344</v>
      </c>
      <c r="BW265" t="s">
        <v>237</v>
      </c>
      <c r="CH265" t="s">
        <v>229</v>
      </c>
      <c r="CI265" t="s">
        <v>111</v>
      </c>
      <c r="CJ265" t="s">
        <v>226</v>
      </c>
      <c r="CK265" t="s">
        <v>344</v>
      </c>
      <c r="CL265" t="s">
        <v>237</v>
      </c>
      <c r="CM265" t="s">
        <v>236</v>
      </c>
      <c r="CN265" t="s">
        <v>45</v>
      </c>
      <c r="CO265">
        <v>3</v>
      </c>
      <c r="CP265">
        <v>42465306</v>
      </c>
      <c r="CQ265" s="73">
        <v>45372.583333333336</v>
      </c>
      <c r="CR265" t="s">
        <v>229</v>
      </c>
      <c r="CS265" t="s">
        <v>111</v>
      </c>
      <c r="CU265" t="s">
        <v>225</v>
      </c>
    </row>
    <row r="266" spans="1:99">
      <c r="A266" t="s">
        <v>42</v>
      </c>
      <c r="B266" t="s">
        <v>92</v>
      </c>
      <c r="J266" t="s">
        <v>225</v>
      </c>
      <c r="K266" t="s">
        <v>225</v>
      </c>
      <c r="M266" s="73">
        <v>45372.583333333336</v>
      </c>
      <c r="N266">
        <v>42465046</v>
      </c>
      <c r="O266">
        <v>-3175</v>
      </c>
      <c r="P266" t="s">
        <v>45</v>
      </c>
      <c r="Q266">
        <v>-3175</v>
      </c>
      <c r="R266" t="s">
        <v>45</v>
      </c>
      <c r="U266" t="s">
        <v>226</v>
      </c>
      <c r="V266" t="s">
        <v>345</v>
      </c>
      <c r="W266" t="s">
        <v>228</v>
      </c>
      <c r="X266" t="s">
        <v>229</v>
      </c>
      <c r="Y266" t="s">
        <v>42</v>
      </c>
      <c r="AD266" t="s">
        <v>45</v>
      </c>
      <c r="AE266">
        <v>-3175</v>
      </c>
      <c r="AF266">
        <v>42465046</v>
      </c>
      <c r="AG266" s="73">
        <v>45372.583333333336</v>
      </c>
      <c r="AH266" t="s">
        <v>226</v>
      </c>
      <c r="AI266" t="s">
        <v>345</v>
      </c>
      <c r="AJ266" t="s">
        <v>228</v>
      </c>
      <c r="AK266" t="s">
        <v>229</v>
      </c>
      <c r="AL266" t="s">
        <v>42</v>
      </c>
      <c r="AP266" t="s">
        <v>230</v>
      </c>
      <c r="AQ266" t="s">
        <v>231</v>
      </c>
      <c r="AT266" t="s">
        <v>232</v>
      </c>
      <c r="AU266">
        <v>-99</v>
      </c>
      <c r="AV266" t="s">
        <v>45</v>
      </c>
      <c r="AW266">
        <v>-3175</v>
      </c>
      <c r="AX266">
        <v>42465046</v>
      </c>
      <c r="AY266" s="73">
        <v>45372.583333333336</v>
      </c>
      <c r="AZ266" t="s">
        <v>226</v>
      </c>
      <c r="BA266" t="s">
        <v>345</v>
      </c>
      <c r="BB266" t="s">
        <v>228</v>
      </c>
      <c r="BC266" t="s">
        <v>229</v>
      </c>
      <c r="BD266" t="s">
        <v>42</v>
      </c>
      <c r="BI266" t="s">
        <v>233</v>
      </c>
      <c r="BJ266" t="s">
        <v>0</v>
      </c>
      <c r="BK266">
        <v>42465030</v>
      </c>
      <c r="BN266" t="s">
        <v>45</v>
      </c>
      <c r="BR266">
        <v>-3175</v>
      </c>
      <c r="BS266">
        <v>42465046</v>
      </c>
      <c r="BT266" s="73">
        <v>45372.583333333336</v>
      </c>
      <c r="BU266" t="s">
        <v>226</v>
      </c>
      <c r="BV266" t="s">
        <v>345</v>
      </c>
      <c r="BW266" t="s">
        <v>228</v>
      </c>
      <c r="CH266" t="s">
        <v>229</v>
      </c>
      <c r="CI266" t="s">
        <v>42</v>
      </c>
      <c r="CJ266" t="s">
        <v>226</v>
      </c>
      <c r="CK266" t="s">
        <v>345</v>
      </c>
      <c r="CL266" t="s">
        <v>228</v>
      </c>
      <c r="CM266" t="s">
        <v>234</v>
      </c>
      <c r="CN266" t="s">
        <v>45</v>
      </c>
      <c r="CO266">
        <v>-3175</v>
      </c>
      <c r="CP266">
        <v>42465046</v>
      </c>
      <c r="CQ266" s="73">
        <v>45372.583333333336</v>
      </c>
      <c r="CR266" t="s">
        <v>229</v>
      </c>
      <c r="CS266" t="s">
        <v>42</v>
      </c>
      <c r="CU266" t="s">
        <v>225</v>
      </c>
    </row>
    <row r="267" spans="1:99">
      <c r="A267" t="s">
        <v>99</v>
      </c>
      <c r="B267" t="s">
        <v>98</v>
      </c>
      <c r="J267" t="s">
        <v>225</v>
      </c>
      <c r="K267" t="s">
        <v>225</v>
      </c>
      <c r="M267" s="73">
        <v>45372.583333333336</v>
      </c>
      <c r="N267">
        <v>42465045</v>
      </c>
      <c r="O267">
        <v>-158.5</v>
      </c>
      <c r="P267" t="s">
        <v>73</v>
      </c>
      <c r="Q267">
        <v>-158.5</v>
      </c>
      <c r="R267" t="s">
        <v>73</v>
      </c>
      <c r="U267" t="s">
        <v>226</v>
      </c>
      <c r="V267" t="s">
        <v>345</v>
      </c>
      <c r="W267" t="s">
        <v>228</v>
      </c>
      <c r="X267" t="s">
        <v>229</v>
      </c>
      <c r="Y267" t="s">
        <v>99</v>
      </c>
      <c r="AD267" t="s">
        <v>73</v>
      </c>
      <c r="AE267">
        <v>-158.5</v>
      </c>
      <c r="AF267">
        <v>42465045</v>
      </c>
      <c r="AG267" s="73">
        <v>45372.583333333336</v>
      </c>
      <c r="AH267" t="s">
        <v>226</v>
      </c>
      <c r="AI267" t="s">
        <v>345</v>
      </c>
      <c r="AJ267" t="s">
        <v>228</v>
      </c>
      <c r="AK267" t="s">
        <v>229</v>
      </c>
      <c r="AL267" t="s">
        <v>99</v>
      </c>
      <c r="AP267" t="s">
        <v>230</v>
      </c>
      <c r="AQ267" t="s">
        <v>231</v>
      </c>
      <c r="AT267" t="s">
        <v>232</v>
      </c>
      <c r="AU267">
        <v>-99</v>
      </c>
      <c r="AV267" t="s">
        <v>73</v>
      </c>
      <c r="AW267">
        <v>-158.5</v>
      </c>
      <c r="AX267">
        <v>42465045</v>
      </c>
      <c r="AY267" s="73">
        <v>45372.583333333336</v>
      </c>
      <c r="AZ267" t="s">
        <v>226</v>
      </c>
      <c r="BA267" t="s">
        <v>345</v>
      </c>
      <c r="BB267" t="s">
        <v>228</v>
      </c>
      <c r="BC267" t="s">
        <v>229</v>
      </c>
      <c r="BD267" t="s">
        <v>99</v>
      </c>
      <c r="BI267" t="s">
        <v>233</v>
      </c>
      <c r="BJ267" t="s">
        <v>0</v>
      </c>
      <c r="BK267">
        <v>42465030</v>
      </c>
      <c r="BN267" t="s">
        <v>73</v>
      </c>
      <c r="BR267">
        <v>-158.5</v>
      </c>
      <c r="BS267">
        <v>42465045</v>
      </c>
      <c r="BT267" s="73">
        <v>45372.583333333336</v>
      </c>
      <c r="BU267" t="s">
        <v>226</v>
      </c>
      <c r="BV267" t="s">
        <v>345</v>
      </c>
      <c r="BW267" t="s">
        <v>228</v>
      </c>
      <c r="CH267" t="s">
        <v>229</v>
      </c>
      <c r="CI267" t="s">
        <v>99</v>
      </c>
      <c r="CJ267" t="s">
        <v>226</v>
      </c>
      <c r="CK267" t="s">
        <v>345</v>
      </c>
      <c r="CL267" t="s">
        <v>228</v>
      </c>
      <c r="CM267" t="s">
        <v>234</v>
      </c>
      <c r="CN267" t="s">
        <v>73</v>
      </c>
      <c r="CO267">
        <v>-158.5</v>
      </c>
      <c r="CP267">
        <v>42465045</v>
      </c>
      <c r="CQ267" s="73">
        <v>45372.583333333336</v>
      </c>
      <c r="CR267" t="s">
        <v>229</v>
      </c>
      <c r="CS267" t="s">
        <v>99</v>
      </c>
      <c r="CU267" t="s">
        <v>225</v>
      </c>
    </row>
    <row r="268" spans="1:99">
      <c r="A268" t="s">
        <v>103</v>
      </c>
      <c r="B268" t="s">
        <v>98</v>
      </c>
      <c r="J268" t="s">
        <v>225</v>
      </c>
      <c r="K268" t="s">
        <v>225</v>
      </c>
      <c r="M268" s="73">
        <v>45372.583333333336</v>
      </c>
      <c r="N268">
        <v>42465044</v>
      </c>
      <c r="O268">
        <v>3170</v>
      </c>
      <c r="P268" t="s">
        <v>104</v>
      </c>
      <c r="Q268">
        <v>3170</v>
      </c>
      <c r="R268" t="s">
        <v>104</v>
      </c>
      <c r="S268">
        <v>158.5</v>
      </c>
      <c r="T268" t="s">
        <v>73</v>
      </c>
      <c r="U268" t="s">
        <v>226</v>
      </c>
      <c r="V268" t="s">
        <v>345</v>
      </c>
      <c r="W268" t="s">
        <v>235</v>
      </c>
      <c r="X268" t="s">
        <v>229</v>
      </c>
      <c r="Y268" t="s">
        <v>103</v>
      </c>
      <c r="AD268" t="s">
        <v>104</v>
      </c>
      <c r="AE268">
        <v>3170</v>
      </c>
      <c r="AF268">
        <v>42465044</v>
      </c>
      <c r="AG268" s="73">
        <v>45372.583333333336</v>
      </c>
      <c r="AH268" t="s">
        <v>226</v>
      </c>
      <c r="AI268" t="s">
        <v>345</v>
      </c>
      <c r="AJ268" t="s">
        <v>235</v>
      </c>
      <c r="AK268" t="s">
        <v>229</v>
      </c>
      <c r="AL268" t="s">
        <v>103</v>
      </c>
      <c r="AP268" t="s">
        <v>230</v>
      </c>
      <c r="AQ268" t="s">
        <v>231</v>
      </c>
      <c r="AT268" t="s">
        <v>232</v>
      </c>
      <c r="AU268">
        <v>-99</v>
      </c>
      <c r="AV268" t="s">
        <v>104</v>
      </c>
      <c r="AW268">
        <v>3170</v>
      </c>
      <c r="AX268">
        <v>42465044</v>
      </c>
      <c r="AY268" s="73">
        <v>45372.583333333336</v>
      </c>
      <c r="AZ268" t="s">
        <v>226</v>
      </c>
      <c r="BA268" t="s">
        <v>345</v>
      </c>
      <c r="BB268" t="s">
        <v>235</v>
      </c>
      <c r="BC268" t="s">
        <v>229</v>
      </c>
      <c r="BD268" t="s">
        <v>103</v>
      </c>
      <c r="BI268" t="s">
        <v>233</v>
      </c>
      <c r="BJ268" t="s">
        <v>0</v>
      </c>
      <c r="BK268">
        <v>42465030</v>
      </c>
      <c r="BN268" t="s">
        <v>104</v>
      </c>
      <c r="BO268">
        <v>42465036</v>
      </c>
      <c r="BR268">
        <v>3170</v>
      </c>
      <c r="BS268">
        <v>42465044</v>
      </c>
      <c r="BT268" s="73">
        <v>45372.583333333336</v>
      </c>
      <c r="BU268" t="s">
        <v>226</v>
      </c>
      <c r="BV268" t="s">
        <v>345</v>
      </c>
      <c r="BW268" t="s">
        <v>235</v>
      </c>
      <c r="CH268" t="s">
        <v>229</v>
      </c>
      <c r="CI268" t="s">
        <v>103</v>
      </c>
      <c r="CJ268" t="s">
        <v>226</v>
      </c>
      <c r="CK268" t="s">
        <v>345</v>
      </c>
      <c r="CL268" t="s">
        <v>235</v>
      </c>
      <c r="CM268" t="s">
        <v>236</v>
      </c>
      <c r="CN268" t="s">
        <v>104</v>
      </c>
      <c r="CO268">
        <v>3170</v>
      </c>
      <c r="CP268">
        <v>42465044</v>
      </c>
      <c r="CQ268" s="73">
        <v>45372.583333333336</v>
      </c>
      <c r="CR268" t="s">
        <v>229</v>
      </c>
      <c r="CS268" t="s">
        <v>103</v>
      </c>
      <c r="CU268" t="s">
        <v>225</v>
      </c>
    </row>
    <row r="269" spans="1:99">
      <c r="A269" t="s">
        <v>111</v>
      </c>
      <c r="B269" t="s">
        <v>77</v>
      </c>
      <c r="J269" t="s">
        <v>225</v>
      </c>
      <c r="K269" t="s">
        <v>225</v>
      </c>
      <c r="M269" s="73">
        <v>45372.583333333336</v>
      </c>
      <c r="N269">
        <v>42465043</v>
      </c>
      <c r="O269">
        <v>5</v>
      </c>
      <c r="P269" t="s">
        <v>45</v>
      </c>
      <c r="Q269">
        <v>5</v>
      </c>
      <c r="R269" t="s">
        <v>45</v>
      </c>
      <c r="U269" t="s">
        <v>226</v>
      </c>
      <c r="V269" t="s">
        <v>345</v>
      </c>
      <c r="W269" t="s">
        <v>237</v>
      </c>
      <c r="X269" t="s">
        <v>229</v>
      </c>
      <c r="Y269" t="s">
        <v>111</v>
      </c>
      <c r="AD269" t="s">
        <v>45</v>
      </c>
      <c r="AE269">
        <v>5</v>
      </c>
      <c r="AF269">
        <v>42465043</v>
      </c>
      <c r="AG269" s="73">
        <v>45372.583333333336</v>
      </c>
      <c r="AH269" t="s">
        <v>226</v>
      </c>
      <c r="AI269" t="s">
        <v>345</v>
      </c>
      <c r="AJ269" t="s">
        <v>237</v>
      </c>
      <c r="AK269" t="s">
        <v>229</v>
      </c>
      <c r="AL269" t="s">
        <v>111</v>
      </c>
      <c r="AP269" t="s">
        <v>230</v>
      </c>
      <c r="AQ269" t="s">
        <v>231</v>
      </c>
      <c r="AT269" t="s">
        <v>232</v>
      </c>
      <c r="AU269">
        <v>-99</v>
      </c>
      <c r="AV269" t="s">
        <v>45</v>
      </c>
      <c r="AW269">
        <v>5</v>
      </c>
      <c r="AX269">
        <v>42465043</v>
      </c>
      <c r="AY269" s="73">
        <v>45372.583333333336</v>
      </c>
      <c r="AZ269" t="s">
        <v>226</v>
      </c>
      <c r="BA269" t="s">
        <v>345</v>
      </c>
      <c r="BB269" t="s">
        <v>237</v>
      </c>
      <c r="BC269" t="s">
        <v>229</v>
      </c>
      <c r="BD269" t="s">
        <v>111</v>
      </c>
      <c r="BI269" t="s">
        <v>233</v>
      </c>
      <c r="BJ269" t="s">
        <v>0</v>
      </c>
      <c r="BK269">
        <v>42465030</v>
      </c>
      <c r="BN269" t="s">
        <v>45</v>
      </c>
      <c r="BO269">
        <v>42465038</v>
      </c>
      <c r="BR269">
        <v>5</v>
      </c>
      <c r="BS269">
        <v>42465043</v>
      </c>
      <c r="BT269" s="73">
        <v>45372.583333333336</v>
      </c>
      <c r="BU269" t="s">
        <v>226</v>
      </c>
      <c r="BV269" t="s">
        <v>345</v>
      </c>
      <c r="BW269" t="s">
        <v>237</v>
      </c>
      <c r="CH269" t="s">
        <v>229</v>
      </c>
      <c r="CI269" t="s">
        <v>111</v>
      </c>
      <c r="CJ269" t="s">
        <v>226</v>
      </c>
      <c r="CK269" t="s">
        <v>345</v>
      </c>
      <c r="CL269" t="s">
        <v>237</v>
      </c>
      <c r="CM269" t="s">
        <v>236</v>
      </c>
      <c r="CN269" t="s">
        <v>45</v>
      </c>
      <c r="CO269">
        <v>5</v>
      </c>
      <c r="CP269">
        <v>42465043</v>
      </c>
      <c r="CQ269" s="73">
        <v>45372.583333333336</v>
      </c>
      <c r="CR269" t="s">
        <v>229</v>
      </c>
      <c r="CS269" t="s">
        <v>111</v>
      </c>
      <c r="CU269" t="s">
        <v>225</v>
      </c>
    </row>
    <row r="270" spans="1:99">
      <c r="A270" t="s">
        <v>52</v>
      </c>
      <c r="B270" t="s">
        <v>92</v>
      </c>
      <c r="J270" t="s">
        <v>225</v>
      </c>
      <c r="K270" t="s">
        <v>225</v>
      </c>
      <c r="M270" s="73">
        <v>45372.578506944446</v>
      </c>
      <c r="N270">
        <v>42455571</v>
      </c>
      <c r="O270">
        <v>-450</v>
      </c>
      <c r="P270" t="s">
        <v>45</v>
      </c>
      <c r="Q270">
        <v>-450</v>
      </c>
      <c r="R270" t="s">
        <v>45</v>
      </c>
      <c r="U270" t="s">
        <v>226</v>
      </c>
      <c r="V270" t="s">
        <v>346</v>
      </c>
      <c r="W270" t="s">
        <v>228</v>
      </c>
      <c r="X270" t="s">
        <v>229</v>
      </c>
      <c r="Y270" t="s">
        <v>52</v>
      </c>
      <c r="AD270" t="s">
        <v>45</v>
      </c>
      <c r="AE270">
        <v>-450</v>
      </c>
      <c r="AF270">
        <v>42455571</v>
      </c>
      <c r="AG270" s="73">
        <v>45372.578506944446</v>
      </c>
      <c r="AH270" t="s">
        <v>226</v>
      </c>
      <c r="AI270" t="s">
        <v>346</v>
      </c>
      <c r="AJ270" t="s">
        <v>228</v>
      </c>
      <c r="AK270" t="s">
        <v>229</v>
      </c>
      <c r="AL270" t="s">
        <v>52</v>
      </c>
      <c r="AP270" t="s">
        <v>230</v>
      </c>
      <c r="AQ270" t="s">
        <v>231</v>
      </c>
      <c r="AT270" t="s">
        <v>232</v>
      </c>
      <c r="AU270">
        <v>-99</v>
      </c>
      <c r="AV270" t="s">
        <v>45</v>
      </c>
      <c r="AW270">
        <v>-450</v>
      </c>
      <c r="AX270">
        <v>42455571</v>
      </c>
      <c r="AY270" s="73">
        <v>45372.578506944446</v>
      </c>
      <c r="AZ270" t="s">
        <v>226</v>
      </c>
      <c r="BA270" t="s">
        <v>346</v>
      </c>
      <c r="BB270" t="s">
        <v>228</v>
      </c>
      <c r="BC270" t="s">
        <v>229</v>
      </c>
      <c r="BD270" t="s">
        <v>52</v>
      </c>
      <c r="BI270" t="s">
        <v>233</v>
      </c>
      <c r="BJ270" t="s">
        <v>0</v>
      </c>
      <c r="BK270">
        <v>42455559</v>
      </c>
      <c r="BN270" t="s">
        <v>45</v>
      </c>
      <c r="BR270">
        <v>-450</v>
      </c>
      <c r="BS270">
        <v>42455571</v>
      </c>
      <c r="BT270" s="73">
        <v>45372.578506944446</v>
      </c>
      <c r="BU270" t="s">
        <v>226</v>
      </c>
      <c r="BV270" t="s">
        <v>346</v>
      </c>
      <c r="BW270" t="s">
        <v>228</v>
      </c>
      <c r="CH270" t="s">
        <v>229</v>
      </c>
      <c r="CI270" t="s">
        <v>52</v>
      </c>
      <c r="CJ270" t="s">
        <v>226</v>
      </c>
      <c r="CK270" t="s">
        <v>346</v>
      </c>
      <c r="CL270" t="s">
        <v>228</v>
      </c>
      <c r="CM270" t="s">
        <v>234</v>
      </c>
      <c r="CN270" t="s">
        <v>45</v>
      </c>
      <c r="CO270">
        <v>-450</v>
      </c>
      <c r="CP270">
        <v>42455571</v>
      </c>
      <c r="CQ270" s="73">
        <v>45372.578506944446</v>
      </c>
      <c r="CR270" t="s">
        <v>229</v>
      </c>
      <c r="CS270" t="s">
        <v>52</v>
      </c>
      <c r="CU270" t="s">
        <v>225</v>
      </c>
    </row>
    <row r="271" spans="1:99">
      <c r="A271" t="s">
        <v>101</v>
      </c>
      <c r="B271" t="s">
        <v>98</v>
      </c>
      <c r="J271" t="s">
        <v>225</v>
      </c>
      <c r="K271" t="s">
        <v>225</v>
      </c>
      <c r="M271" s="73">
        <v>45372.578506944446</v>
      </c>
      <c r="N271">
        <v>42455570</v>
      </c>
      <c r="O271">
        <v>-22.5</v>
      </c>
      <c r="P271" t="s">
        <v>73</v>
      </c>
      <c r="Q271">
        <v>-22.5</v>
      </c>
      <c r="R271" t="s">
        <v>73</v>
      </c>
      <c r="U271" t="s">
        <v>226</v>
      </c>
      <c r="V271" t="s">
        <v>346</v>
      </c>
      <c r="W271" t="s">
        <v>228</v>
      </c>
      <c r="X271" t="s">
        <v>229</v>
      </c>
      <c r="Y271" t="s">
        <v>101</v>
      </c>
      <c r="AD271" t="s">
        <v>73</v>
      </c>
      <c r="AE271">
        <v>-22.5</v>
      </c>
      <c r="AF271">
        <v>42455570</v>
      </c>
      <c r="AG271" s="73">
        <v>45372.578506944446</v>
      </c>
      <c r="AH271" t="s">
        <v>226</v>
      </c>
      <c r="AI271" t="s">
        <v>346</v>
      </c>
      <c r="AJ271" t="s">
        <v>228</v>
      </c>
      <c r="AK271" t="s">
        <v>229</v>
      </c>
      <c r="AL271" t="s">
        <v>101</v>
      </c>
      <c r="AP271" t="s">
        <v>230</v>
      </c>
      <c r="AQ271" t="s">
        <v>231</v>
      </c>
      <c r="AT271" t="s">
        <v>232</v>
      </c>
      <c r="AU271">
        <v>-99</v>
      </c>
      <c r="AV271" t="s">
        <v>73</v>
      </c>
      <c r="AW271">
        <v>-22.5</v>
      </c>
      <c r="AX271">
        <v>42455570</v>
      </c>
      <c r="AY271" s="73">
        <v>45372.578506944446</v>
      </c>
      <c r="AZ271" t="s">
        <v>226</v>
      </c>
      <c r="BA271" t="s">
        <v>346</v>
      </c>
      <c r="BB271" t="s">
        <v>228</v>
      </c>
      <c r="BC271" t="s">
        <v>229</v>
      </c>
      <c r="BD271" t="s">
        <v>101</v>
      </c>
      <c r="BI271" t="s">
        <v>233</v>
      </c>
      <c r="BJ271" t="s">
        <v>0</v>
      </c>
      <c r="BK271">
        <v>42455559</v>
      </c>
      <c r="BN271" t="s">
        <v>73</v>
      </c>
      <c r="BR271">
        <v>-22.5</v>
      </c>
      <c r="BS271">
        <v>42455570</v>
      </c>
      <c r="BT271" s="73">
        <v>45372.578506944446</v>
      </c>
      <c r="BU271" t="s">
        <v>226</v>
      </c>
      <c r="BV271" t="s">
        <v>346</v>
      </c>
      <c r="BW271" t="s">
        <v>228</v>
      </c>
      <c r="CH271" t="s">
        <v>229</v>
      </c>
      <c r="CI271" t="s">
        <v>101</v>
      </c>
      <c r="CJ271" t="s">
        <v>226</v>
      </c>
      <c r="CK271" t="s">
        <v>346</v>
      </c>
      <c r="CL271" t="s">
        <v>228</v>
      </c>
      <c r="CM271" t="s">
        <v>234</v>
      </c>
      <c r="CN271" t="s">
        <v>73</v>
      </c>
      <c r="CO271">
        <v>-22.5</v>
      </c>
      <c r="CP271">
        <v>42455570</v>
      </c>
      <c r="CQ271" s="73">
        <v>45372.578506944446</v>
      </c>
      <c r="CR271" t="s">
        <v>229</v>
      </c>
      <c r="CS271" t="s">
        <v>101</v>
      </c>
      <c r="CU271" t="s">
        <v>225</v>
      </c>
    </row>
    <row r="272" spans="1:99">
      <c r="A272" t="s">
        <v>107</v>
      </c>
      <c r="B272" t="s">
        <v>98</v>
      </c>
      <c r="J272" t="s">
        <v>225</v>
      </c>
      <c r="K272" t="s">
        <v>225</v>
      </c>
      <c r="M272" s="73">
        <v>45372.578506944446</v>
      </c>
      <c r="N272">
        <v>42455569</v>
      </c>
      <c r="O272">
        <v>450</v>
      </c>
      <c r="P272" t="s">
        <v>104</v>
      </c>
      <c r="Q272">
        <v>450</v>
      </c>
      <c r="R272" t="s">
        <v>104</v>
      </c>
      <c r="S272">
        <v>22.5</v>
      </c>
      <c r="T272" t="s">
        <v>73</v>
      </c>
      <c r="U272" t="s">
        <v>226</v>
      </c>
      <c r="V272" t="s">
        <v>346</v>
      </c>
      <c r="W272" t="s">
        <v>235</v>
      </c>
      <c r="X272" t="s">
        <v>229</v>
      </c>
      <c r="Y272" t="s">
        <v>107</v>
      </c>
      <c r="AD272" t="s">
        <v>104</v>
      </c>
      <c r="AE272">
        <v>450</v>
      </c>
      <c r="AF272">
        <v>42455569</v>
      </c>
      <c r="AG272" s="73">
        <v>45372.578506944446</v>
      </c>
      <c r="AH272" t="s">
        <v>226</v>
      </c>
      <c r="AI272" t="s">
        <v>346</v>
      </c>
      <c r="AJ272" t="s">
        <v>235</v>
      </c>
      <c r="AK272" t="s">
        <v>229</v>
      </c>
      <c r="AL272" t="s">
        <v>107</v>
      </c>
      <c r="AP272" t="s">
        <v>230</v>
      </c>
      <c r="AQ272" t="s">
        <v>231</v>
      </c>
      <c r="AT272" t="s">
        <v>232</v>
      </c>
      <c r="AU272">
        <v>-99</v>
      </c>
      <c r="AV272" t="s">
        <v>104</v>
      </c>
      <c r="AW272">
        <v>450</v>
      </c>
      <c r="AX272">
        <v>42455569</v>
      </c>
      <c r="AY272" s="73">
        <v>45372.578506944446</v>
      </c>
      <c r="AZ272" t="s">
        <v>226</v>
      </c>
      <c r="BA272" t="s">
        <v>346</v>
      </c>
      <c r="BB272" t="s">
        <v>235</v>
      </c>
      <c r="BC272" t="s">
        <v>229</v>
      </c>
      <c r="BD272" t="s">
        <v>107</v>
      </c>
      <c r="BI272" t="s">
        <v>233</v>
      </c>
      <c r="BJ272" t="s">
        <v>0</v>
      </c>
      <c r="BK272">
        <v>42455559</v>
      </c>
      <c r="BN272" t="s">
        <v>104</v>
      </c>
      <c r="BO272">
        <v>42455565</v>
      </c>
      <c r="BR272">
        <v>450</v>
      </c>
      <c r="BS272">
        <v>42455569</v>
      </c>
      <c r="BT272" s="73">
        <v>45372.578506944446</v>
      </c>
      <c r="BU272" t="s">
        <v>226</v>
      </c>
      <c r="BV272" t="s">
        <v>346</v>
      </c>
      <c r="BW272" t="s">
        <v>235</v>
      </c>
      <c r="CH272" t="s">
        <v>229</v>
      </c>
      <c r="CI272" t="s">
        <v>107</v>
      </c>
      <c r="CJ272" t="s">
        <v>226</v>
      </c>
      <c r="CK272" t="s">
        <v>346</v>
      </c>
      <c r="CL272" t="s">
        <v>235</v>
      </c>
      <c r="CM272" t="s">
        <v>236</v>
      </c>
      <c r="CN272" t="s">
        <v>104</v>
      </c>
      <c r="CO272">
        <v>450</v>
      </c>
      <c r="CP272">
        <v>42455569</v>
      </c>
      <c r="CQ272" s="73">
        <v>45372.578506944446</v>
      </c>
      <c r="CR272" t="s">
        <v>229</v>
      </c>
      <c r="CS272" t="s">
        <v>107</v>
      </c>
      <c r="CU272" t="s">
        <v>225</v>
      </c>
    </row>
    <row r="273" spans="1:99">
      <c r="A273" t="s">
        <v>46</v>
      </c>
      <c r="B273" t="s">
        <v>92</v>
      </c>
      <c r="J273" t="s">
        <v>225</v>
      </c>
      <c r="K273" t="s">
        <v>225</v>
      </c>
      <c r="M273" s="73">
        <v>45372.575601851851</v>
      </c>
      <c r="N273">
        <v>42455518</v>
      </c>
      <c r="O273">
        <v>-2</v>
      </c>
      <c r="P273" t="s">
        <v>45</v>
      </c>
      <c r="Q273">
        <v>-2</v>
      </c>
      <c r="R273" t="s">
        <v>45</v>
      </c>
      <c r="U273" t="s">
        <v>226</v>
      </c>
      <c r="V273" t="s">
        <v>347</v>
      </c>
      <c r="W273" t="s">
        <v>228</v>
      </c>
      <c r="X273" t="s">
        <v>229</v>
      </c>
      <c r="Y273" t="s">
        <v>46</v>
      </c>
      <c r="AD273" t="s">
        <v>45</v>
      </c>
      <c r="AE273">
        <v>-2</v>
      </c>
      <c r="AF273">
        <v>42455518</v>
      </c>
      <c r="AG273" s="73">
        <v>45372.575601851851</v>
      </c>
      <c r="AH273" t="s">
        <v>226</v>
      </c>
      <c r="AI273" t="s">
        <v>347</v>
      </c>
      <c r="AJ273" t="s">
        <v>228</v>
      </c>
      <c r="AK273" t="s">
        <v>229</v>
      </c>
      <c r="AL273" t="s">
        <v>46</v>
      </c>
      <c r="AP273" t="s">
        <v>230</v>
      </c>
      <c r="AQ273" t="s">
        <v>231</v>
      </c>
      <c r="AT273" t="s">
        <v>232</v>
      </c>
      <c r="AU273">
        <v>-99</v>
      </c>
      <c r="AV273" t="s">
        <v>45</v>
      </c>
      <c r="AW273">
        <v>-2</v>
      </c>
      <c r="AX273">
        <v>42455518</v>
      </c>
      <c r="AY273" s="73">
        <v>45372.575601851851</v>
      </c>
      <c r="AZ273" t="s">
        <v>226</v>
      </c>
      <c r="BA273" t="s">
        <v>347</v>
      </c>
      <c r="BB273" t="s">
        <v>228</v>
      </c>
      <c r="BC273" t="s">
        <v>229</v>
      </c>
      <c r="BD273" t="s">
        <v>46</v>
      </c>
      <c r="BI273" t="s">
        <v>233</v>
      </c>
      <c r="BJ273" t="s">
        <v>0</v>
      </c>
      <c r="BK273">
        <v>42455505</v>
      </c>
      <c r="BN273" t="s">
        <v>45</v>
      </c>
      <c r="BR273">
        <v>-2</v>
      </c>
      <c r="BS273">
        <v>42455518</v>
      </c>
      <c r="BT273" s="73">
        <v>45372.575601851851</v>
      </c>
      <c r="BU273" t="s">
        <v>226</v>
      </c>
      <c r="BV273" t="s">
        <v>347</v>
      </c>
      <c r="BW273" t="s">
        <v>228</v>
      </c>
      <c r="CH273" t="s">
        <v>229</v>
      </c>
      <c r="CI273" t="s">
        <v>46</v>
      </c>
      <c r="CJ273" t="s">
        <v>226</v>
      </c>
      <c r="CK273" t="s">
        <v>347</v>
      </c>
      <c r="CL273" t="s">
        <v>228</v>
      </c>
      <c r="CM273" t="s">
        <v>234</v>
      </c>
      <c r="CN273" t="s">
        <v>45</v>
      </c>
      <c r="CO273">
        <v>-2</v>
      </c>
      <c r="CP273">
        <v>42455518</v>
      </c>
      <c r="CQ273" s="73">
        <v>45372.575601851851</v>
      </c>
      <c r="CR273" t="s">
        <v>229</v>
      </c>
      <c r="CS273" t="s">
        <v>46</v>
      </c>
      <c r="CU273" t="s">
        <v>225</v>
      </c>
    </row>
    <row r="274" spans="1:99">
      <c r="A274" t="s">
        <v>93</v>
      </c>
      <c r="B274" t="s">
        <v>98</v>
      </c>
      <c r="J274" t="s">
        <v>225</v>
      </c>
      <c r="K274" t="s">
        <v>225</v>
      </c>
      <c r="M274" s="73">
        <v>45372.575601851851</v>
      </c>
      <c r="N274">
        <v>42455517</v>
      </c>
      <c r="O274">
        <v>-0.1</v>
      </c>
      <c r="P274" t="s">
        <v>73</v>
      </c>
      <c r="Q274">
        <v>-0.1</v>
      </c>
      <c r="R274" t="s">
        <v>73</v>
      </c>
      <c r="U274" t="s">
        <v>226</v>
      </c>
      <c r="V274" t="s">
        <v>347</v>
      </c>
      <c r="W274" t="s">
        <v>228</v>
      </c>
      <c r="X274" t="s">
        <v>229</v>
      </c>
      <c r="Y274" t="s">
        <v>93</v>
      </c>
      <c r="AD274" t="s">
        <v>73</v>
      </c>
      <c r="AE274">
        <v>-0.1</v>
      </c>
      <c r="AF274">
        <v>42455517</v>
      </c>
      <c r="AG274" s="73">
        <v>45372.575601851851</v>
      </c>
      <c r="AH274" t="s">
        <v>226</v>
      </c>
      <c r="AI274" t="s">
        <v>347</v>
      </c>
      <c r="AJ274" t="s">
        <v>228</v>
      </c>
      <c r="AK274" t="s">
        <v>229</v>
      </c>
      <c r="AL274" t="s">
        <v>93</v>
      </c>
      <c r="AP274" t="s">
        <v>230</v>
      </c>
      <c r="AQ274" t="s">
        <v>231</v>
      </c>
      <c r="AT274" t="s">
        <v>232</v>
      </c>
      <c r="AU274">
        <v>-99</v>
      </c>
      <c r="AV274" t="s">
        <v>73</v>
      </c>
      <c r="AW274">
        <v>-0.1</v>
      </c>
      <c r="AX274">
        <v>42455517</v>
      </c>
      <c r="AY274" s="73">
        <v>45372.575601851851</v>
      </c>
      <c r="AZ274" t="s">
        <v>226</v>
      </c>
      <c r="BA274" t="s">
        <v>347</v>
      </c>
      <c r="BB274" t="s">
        <v>228</v>
      </c>
      <c r="BC274" t="s">
        <v>229</v>
      </c>
      <c r="BD274" t="s">
        <v>93</v>
      </c>
      <c r="BI274" t="s">
        <v>233</v>
      </c>
      <c r="BJ274" t="s">
        <v>0</v>
      </c>
      <c r="BK274">
        <v>42455505</v>
      </c>
      <c r="BN274" t="s">
        <v>73</v>
      </c>
      <c r="BR274">
        <v>-0.1</v>
      </c>
      <c r="BS274">
        <v>42455517</v>
      </c>
      <c r="BT274" s="73">
        <v>45372.575601851851</v>
      </c>
      <c r="BU274" t="s">
        <v>226</v>
      </c>
      <c r="BV274" t="s">
        <v>347</v>
      </c>
      <c r="BW274" t="s">
        <v>228</v>
      </c>
      <c r="CH274" t="s">
        <v>229</v>
      </c>
      <c r="CI274" t="s">
        <v>93</v>
      </c>
      <c r="CJ274" t="s">
        <v>226</v>
      </c>
      <c r="CK274" t="s">
        <v>347</v>
      </c>
      <c r="CL274" t="s">
        <v>228</v>
      </c>
      <c r="CM274" t="s">
        <v>234</v>
      </c>
      <c r="CN274" t="s">
        <v>73</v>
      </c>
      <c r="CO274">
        <v>-0.1</v>
      </c>
      <c r="CP274">
        <v>42455517</v>
      </c>
      <c r="CQ274" s="73">
        <v>45372.575601851851</v>
      </c>
      <c r="CR274" t="s">
        <v>229</v>
      </c>
      <c r="CS274" t="s">
        <v>93</v>
      </c>
      <c r="CU274" t="s">
        <v>225</v>
      </c>
    </row>
    <row r="275" spans="1:99">
      <c r="A275" t="s">
        <v>108</v>
      </c>
      <c r="B275" t="s">
        <v>98</v>
      </c>
      <c r="J275" t="s">
        <v>225</v>
      </c>
      <c r="K275" t="s">
        <v>225</v>
      </c>
      <c r="M275" s="73">
        <v>45372.575601851851</v>
      </c>
      <c r="N275">
        <v>42455516</v>
      </c>
      <c r="O275">
        <v>2</v>
      </c>
      <c r="P275" t="s">
        <v>104</v>
      </c>
      <c r="Q275">
        <v>2</v>
      </c>
      <c r="R275" t="s">
        <v>104</v>
      </c>
      <c r="S275">
        <v>0.1</v>
      </c>
      <c r="T275" t="s">
        <v>73</v>
      </c>
      <c r="U275" t="s">
        <v>226</v>
      </c>
      <c r="V275" t="s">
        <v>347</v>
      </c>
      <c r="W275" t="s">
        <v>235</v>
      </c>
      <c r="X275" t="s">
        <v>229</v>
      </c>
      <c r="Y275" t="s">
        <v>108</v>
      </c>
      <c r="AD275" t="s">
        <v>104</v>
      </c>
      <c r="AE275">
        <v>2</v>
      </c>
      <c r="AF275">
        <v>42455516</v>
      </c>
      <c r="AG275" s="73">
        <v>45372.575601851851</v>
      </c>
      <c r="AH275" t="s">
        <v>226</v>
      </c>
      <c r="AI275" t="s">
        <v>347</v>
      </c>
      <c r="AJ275" t="s">
        <v>235</v>
      </c>
      <c r="AK275" t="s">
        <v>229</v>
      </c>
      <c r="AL275" t="s">
        <v>108</v>
      </c>
      <c r="AP275" t="s">
        <v>230</v>
      </c>
      <c r="AQ275" t="s">
        <v>231</v>
      </c>
      <c r="AT275" t="s">
        <v>232</v>
      </c>
      <c r="AU275">
        <v>-99</v>
      </c>
      <c r="AV275" t="s">
        <v>104</v>
      </c>
      <c r="AW275">
        <v>2</v>
      </c>
      <c r="AX275">
        <v>42455516</v>
      </c>
      <c r="AY275" s="73">
        <v>45372.575601851851</v>
      </c>
      <c r="AZ275" t="s">
        <v>226</v>
      </c>
      <c r="BA275" t="s">
        <v>347</v>
      </c>
      <c r="BB275" t="s">
        <v>235</v>
      </c>
      <c r="BC275" t="s">
        <v>229</v>
      </c>
      <c r="BD275" t="s">
        <v>108</v>
      </c>
      <c r="BI275" t="s">
        <v>233</v>
      </c>
      <c r="BJ275" t="s">
        <v>0</v>
      </c>
      <c r="BK275">
        <v>42455505</v>
      </c>
      <c r="BN275" t="s">
        <v>104</v>
      </c>
      <c r="BO275">
        <v>42455512</v>
      </c>
      <c r="BR275">
        <v>2</v>
      </c>
      <c r="BS275">
        <v>42455516</v>
      </c>
      <c r="BT275" s="73">
        <v>45372.575601851851</v>
      </c>
      <c r="BU275" t="s">
        <v>226</v>
      </c>
      <c r="BV275" t="s">
        <v>347</v>
      </c>
      <c r="BW275" t="s">
        <v>235</v>
      </c>
      <c r="CH275" t="s">
        <v>229</v>
      </c>
      <c r="CI275" t="s">
        <v>108</v>
      </c>
      <c r="CJ275" t="s">
        <v>226</v>
      </c>
      <c r="CK275" t="s">
        <v>347</v>
      </c>
      <c r="CL275" t="s">
        <v>235</v>
      </c>
      <c r="CM275" t="s">
        <v>236</v>
      </c>
      <c r="CN275" t="s">
        <v>104</v>
      </c>
      <c r="CO275">
        <v>2</v>
      </c>
      <c r="CP275">
        <v>42455516</v>
      </c>
      <c r="CQ275" s="73">
        <v>45372.575601851851</v>
      </c>
      <c r="CR275" t="s">
        <v>229</v>
      </c>
      <c r="CS275" t="s">
        <v>108</v>
      </c>
      <c r="CU275" t="s">
        <v>225</v>
      </c>
    </row>
    <row r="276" spans="1:99">
      <c r="A276" t="s">
        <v>42</v>
      </c>
      <c r="B276" t="s">
        <v>92</v>
      </c>
      <c r="J276" t="s">
        <v>225</v>
      </c>
      <c r="K276" t="s">
        <v>225</v>
      </c>
      <c r="M276" s="73">
        <v>45372.574074074073</v>
      </c>
      <c r="N276">
        <v>42455502</v>
      </c>
      <c r="O276">
        <v>-450</v>
      </c>
      <c r="P276" t="s">
        <v>45</v>
      </c>
      <c r="Q276">
        <v>-450</v>
      </c>
      <c r="R276" t="s">
        <v>45</v>
      </c>
      <c r="U276" t="s">
        <v>226</v>
      </c>
      <c r="V276" t="s">
        <v>348</v>
      </c>
      <c r="W276" t="s">
        <v>228</v>
      </c>
      <c r="X276" t="s">
        <v>229</v>
      </c>
      <c r="Y276" t="s">
        <v>42</v>
      </c>
      <c r="AD276" t="s">
        <v>45</v>
      </c>
      <c r="AE276">
        <v>-450</v>
      </c>
      <c r="AF276">
        <v>42455502</v>
      </c>
      <c r="AG276" s="73">
        <v>45372.574074074073</v>
      </c>
      <c r="AH276" t="s">
        <v>226</v>
      </c>
      <c r="AI276" t="s">
        <v>348</v>
      </c>
      <c r="AJ276" t="s">
        <v>228</v>
      </c>
      <c r="AK276" t="s">
        <v>229</v>
      </c>
      <c r="AL276" t="s">
        <v>42</v>
      </c>
      <c r="AP276" t="s">
        <v>230</v>
      </c>
      <c r="AQ276" t="s">
        <v>231</v>
      </c>
      <c r="AT276" t="s">
        <v>232</v>
      </c>
      <c r="AU276">
        <v>-99</v>
      </c>
      <c r="AV276" t="s">
        <v>45</v>
      </c>
      <c r="AW276">
        <v>-450</v>
      </c>
      <c r="AX276">
        <v>42455502</v>
      </c>
      <c r="AY276" s="73">
        <v>45372.574074074073</v>
      </c>
      <c r="AZ276" t="s">
        <v>226</v>
      </c>
      <c r="BA276" t="s">
        <v>348</v>
      </c>
      <c r="BB276" t="s">
        <v>228</v>
      </c>
      <c r="BC276" t="s">
        <v>229</v>
      </c>
      <c r="BD276" t="s">
        <v>42</v>
      </c>
      <c r="BI276" t="s">
        <v>233</v>
      </c>
      <c r="BJ276" t="s">
        <v>0</v>
      </c>
      <c r="BK276">
        <v>42455490</v>
      </c>
      <c r="BN276" t="s">
        <v>45</v>
      </c>
      <c r="BR276">
        <v>-450</v>
      </c>
      <c r="BS276">
        <v>42455502</v>
      </c>
      <c r="BT276" s="73">
        <v>45372.574074074073</v>
      </c>
      <c r="BU276" t="s">
        <v>226</v>
      </c>
      <c r="BV276" t="s">
        <v>348</v>
      </c>
      <c r="BW276" t="s">
        <v>228</v>
      </c>
      <c r="CH276" t="s">
        <v>229</v>
      </c>
      <c r="CI276" t="s">
        <v>42</v>
      </c>
      <c r="CJ276" t="s">
        <v>226</v>
      </c>
      <c r="CK276" t="s">
        <v>348</v>
      </c>
      <c r="CL276" t="s">
        <v>228</v>
      </c>
      <c r="CM276" t="s">
        <v>234</v>
      </c>
      <c r="CN276" t="s">
        <v>45</v>
      </c>
      <c r="CO276">
        <v>-450</v>
      </c>
      <c r="CP276">
        <v>42455502</v>
      </c>
      <c r="CQ276" s="73">
        <v>45372.574074074073</v>
      </c>
      <c r="CR276" t="s">
        <v>229</v>
      </c>
      <c r="CS276" t="s">
        <v>42</v>
      </c>
      <c r="CU276" t="s">
        <v>225</v>
      </c>
    </row>
    <row r="277" spans="1:99">
      <c r="A277" t="s">
        <v>99</v>
      </c>
      <c r="B277" t="s">
        <v>98</v>
      </c>
      <c r="J277" t="s">
        <v>225</v>
      </c>
      <c r="K277" t="s">
        <v>225</v>
      </c>
      <c r="M277" s="73">
        <v>45372.574074074073</v>
      </c>
      <c r="N277">
        <v>42455501</v>
      </c>
      <c r="O277">
        <v>-22.5</v>
      </c>
      <c r="P277" t="s">
        <v>73</v>
      </c>
      <c r="Q277">
        <v>-22.5</v>
      </c>
      <c r="R277" t="s">
        <v>73</v>
      </c>
      <c r="U277" t="s">
        <v>226</v>
      </c>
      <c r="V277" t="s">
        <v>348</v>
      </c>
      <c r="W277" t="s">
        <v>228</v>
      </c>
      <c r="X277" t="s">
        <v>229</v>
      </c>
      <c r="Y277" t="s">
        <v>99</v>
      </c>
      <c r="AD277" t="s">
        <v>73</v>
      </c>
      <c r="AE277">
        <v>-22.5</v>
      </c>
      <c r="AF277">
        <v>42455501</v>
      </c>
      <c r="AG277" s="73">
        <v>45372.574074074073</v>
      </c>
      <c r="AH277" t="s">
        <v>226</v>
      </c>
      <c r="AI277" t="s">
        <v>348</v>
      </c>
      <c r="AJ277" t="s">
        <v>228</v>
      </c>
      <c r="AK277" t="s">
        <v>229</v>
      </c>
      <c r="AL277" t="s">
        <v>99</v>
      </c>
      <c r="AP277" t="s">
        <v>230</v>
      </c>
      <c r="AQ277" t="s">
        <v>231</v>
      </c>
      <c r="AT277" t="s">
        <v>232</v>
      </c>
      <c r="AU277">
        <v>-99</v>
      </c>
      <c r="AV277" t="s">
        <v>73</v>
      </c>
      <c r="AW277">
        <v>-22.5</v>
      </c>
      <c r="AX277">
        <v>42455501</v>
      </c>
      <c r="AY277" s="73">
        <v>45372.574074074073</v>
      </c>
      <c r="AZ277" t="s">
        <v>226</v>
      </c>
      <c r="BA277" t="s">
        <v>348</v>
      </c>
      <c r="BB277" t="s">
        <v>228</v>
      </c>
      <c r="BC277" t="s">
        <v>229</v>
      </c>
      <c r="BD277" t="s">
        <v>99</v>
      </c>
      <c r="BI277" t="s">
        <v>233</v>
      </c>
      <c r="BJ277" t="s">
        <v>0</v>
      </c>
      <c r="BK277">
        <v>42455490</v>
      </c>
      <c r="BN277" t="s">
        <v>73</v>
      </c>
      <c r="BR277">
        <v>-22.5</v>
      </c>
      <c r="BS277">
        <v>42455501</v>
      </c>
      <c r="BT277" s="73">
        <v>45372.574074074073</v>
      </c>
      <c r="BU277" t="s">
        <v>226</v>
      </c>
      <c r="BV277" t="s">
        <v>348</v>
      </c>
      <c r="BW277" t="s">
        <v>228</v>
      </c>
      <c r="CH277" t="s">
        <v>229</v>
      </c>
      <c r="CI277" t="s">
        <v>99</v>
      </c>
      <c r="CJ277" t="s">
        <v>226</v>
      </c>
      <c r="CK277" t="s">
        <v>348</v>
      </c>
      <c r="CL277" t="s">
        <v>228</v>
      </c>
      <c r="CM277" t="s">
        <v>234</v>
      </c>
      <c r="CN277" t="s">
        <v>73</v>
      </c>
      <c r="CO277">
        <v>-22.5</v>
      </c>
      <c r="CP277">
        <v>42455501</v>
      </c>
      <c r="CQ277" s="73">
        <v>45372.574074074073</v>
      </c>
      <c r="CR277" t="s">
        <v>229</v>
      </c>
      <c r="CS277" t="s">
        <v>99</v>
      </c>
      <c r="CU277" t="s">
        <v>225</v>
      </c>
    </row>
    <row r="278" spans="1:99">
      <c r="A278" t="s">
        <v>103</v>
      </c>
      <c r="B278" t="s">
        <v>98</v>
      </c>
      <c r="J278" t="s">
        <v>225</v>
      </c>
      <c r="K278" t="s">
        <v>225</v>
      </c>
      <c r="M278" s="73">
        <v>45372.574074074073</v>
      </c>
      <c r="N278">
        <v>42455500</v>
      </c>
      <c r="O278">
        <v>450</v>
      </c>
      <c r="P278" t="s">
        <v>104</v>
      </c>
      <c r="Q278">
        <v>450</v>
      </c>
      <c r="R278" t="s">
        <v>104</v>
      </c>
      <c r="S278">
        <v>22.5</v>
      </c>
      <c r="T278" t="s">
        <v>73</v>
      </c>
      <c r="U278" t="s">
        <v>226</v>
      </c>
      <c r="V278" t="s">
        <v>348</v>
      </c>
      <c r="W278" t="s">
        <v>235</v>
      </c>
      <c r="X278" t="s">
        <v>229</v>
      </c>
      <c r="Y278" t="s">
        <v>103</v>
      </c>
      <c r="AD278" t="s">
        <v>104</v>
      </c>
      <c r="AE278">
        <v>450</v>
      </c>
      <c r="AF278">
        <v>42455500</v>
      </c>
      <c r="AG278" s="73">
        <v>45372.574074074073</v>
      </c>
      <c r="AH278" t="s">
        <v>226</v>
      </c>
      <c r="AI278" t="s">
        <v>348</v>
      </c>
      <c r="AJ278" t="s">
        <v>235</v>
      </c>
      <c r="AK278" t="s">
        <v>229</v>
      </c>
      <c r="AL278" t="s">
        <v>103</v>
      </c>
      <c r="AP278" t="s">
        <v>230</v>
      </c>
      <c r="AQ278" t="s">
        <v>231</v>
      </c>
      <c r="AT278" t="s">
        <v>232</v>
      </c>
      <c r="AU278">
        <v>-99</v>
      </c>
      <c r="AV278" t="s">
        <v>104</v>
      </c>
      <c r="AW278">
        <v>450</v>
      </c>
      <c r="AX278">
        <v>42455500</v>
      </c>
      <c r="AY278" s="73">
        <v>45372.574074074073</v>
      </c>
      <c r="AZ278" t="s">
        <v>226</v>
      </c>
      <c r="BA278" t="s">
        <v>348</v>
      </c>
      <c r="BB278" t="s">
        <v>235</v>
      </c>
      <c r="BC278" t="s">
        <v>229</v>
      </c>
      <c r="BD278" t="s">
        <v>103</v>
      </c>
      <c r="BI278" t="s">
        <v>233</v>
      </c>
      <c r="BJ278" t="s">
        <v>0</v>
      </c>
      <c r="BK278">
        <v>42455490</v>
      </c>
      <c r="BN278" t="s">
        <v>104</v>
      </c>
      <c r="BO278">
        <v>42455496</v>
      </c>
      <c r="BR278">
        <v>450</v>
      </c>
      <c r="BS278">
        <v>42455500</v>
      </c>
      <c r="BT278" s="73">
        <v>45372.574074074073</v>
      </c>
      <c r="BU278" t="s">
        <v>226</v>
      </c>
      <c r="BV278" t="s">
        <v>348</v>
      </c>
      <c r="BW278" t="s">
        <v>235</v>
      </c>
      <c r="CH278" t="s">
        <v>229</v>
      </c>
      <c r="CI278" t="s">
        <v>103</v>
      </c>
      <c r="CJ278" t="s">
        <v>226</v>
      </c>
      <c r="CK278" t="s">
        <v>348</v>
      </c>
      <c r="CL278" t="s">
        <v>235</v>
      </c>
      <c r="CM278" t="s">
        <v>236</v>
      </c>
      <c r="CN278" t="s">
        <v>104</v>
      </c>
      <c r="CO278">
        <v>450</v>
      </c>
      <c r="CP278">
        <v>42455500</v>
      </c>
      <c r="CQ278" s="73">
        <v>45372.574074074073</v>
      </c>
      <c r="CR278" t="s">
        <v>229</v>
      </c>
      <c r="CS278" t="s">
        <v>103</v>
      </c>
      <c r="CU278" t="s">
        <v>225</v>
      </c>
    </row>
    <row r="279" spans="1:99">
      <c r="A279" t="s">
        <v>42</v>
      </c>
      <c r="B279" t="s">
        <v>92</v>
      </c>
      <c r="J279" t="s">
        <v>225</v>
      </c>
      <c r="K279" t="s">
        <v>225</v>
      </c>
      <c r="M279" s="73">
        <v>45372.572326388887</v>
      </c>
      <c r="N279">
        <v>42455487</v>
      </c>
      <c r="O279">
        <v>-3454</v>
      </c>
      <c r="P279" t="s">
        <v>45</v>
      </c>
      <c r="Q279">
        <v>-3454</v>
      </c>
      <c r="R279" t="s">
        <v>45</v>
      </c>
      <c r="U279" t="s">
        <v>226</v>
      </c>
      <c r="V279" t="s">
        <v>349</v>
      </c>
      <c r="W279" t="s">
        <v>228</v>
      </c>
      <c r="X279" t="s">
        <v>229</v>
      </c>
      <c r="Y279" t="s">
        <v>42</v>
      </c>
      <c r="AD279" t="s">
        <v>45</v>
      </c>
      <c r="AE279">
        <v>-3454</v>
      </c>
      <c r="AF279">
        <v>42455487</v>
      </c>
      <c r="AG279" s="73">
        <v>45372.572326388887</v>
      </c>
      <c r="AH279" t="s">
        <v>226</v>
      </c>
      <c r="AI279" t="s">
        <v>349</v>
      </c>
      <c r="AJ279" t="s">
        <v>228</v>
      </c>
      <c r="AK279" t="s">
        <v>229</v>
      </c>
      <c r="AL279" t="s">
        <v>42</v>
      </c>
      <c r="AP279" t="s">
        <v>230</v>
      </c>
      <c r="AQ279" t="s">
        <v>231</v>
      </c>
      <c r="AT279" t="s">
        <v>232</v>
      </c>
      <c r="AU279">
        <v>-99</v>
      </c>
      <c r="AV279" t="s">
        <v>45</v>
      </c>
      <c r="AW279">
        <v>-3454</v>
      </c>
      <c r="AX279">
        <v>42455487</v>
      </c>
      <c r="AY279" s="73">
        <v>45372.572326388887</v>
      </c>
      <c r="AZ279" t="s">
        <v>226</v>
      </c>
      <c r="BA279" t="s">
        <v>349</v>
      </c>
      <c r="BB279" t="s">
        <v>228</v>
      </c>
      <c r="BC279" t="s">
        <v>229</v>
      </c>
      <c r="BD279" t="s">
        <v>42</v>
      </c>
      <c r="BI279" t="s">
        <v>233</v>
      </c>
      <c r="BJ279" t="s">
        <v>0</v>
      </c>
      <c r="BK279">
        <v>42455471</v>
      </c>
      <c r="BN279" t="s">
        <v>45</v>
      </c>
      <c r="BR279">
        <v>-3454</v>
      </c>
      <c r="BS279">
        <v>42455487</v>
      </c>
      <c r="BT279" s="73">
        <v>45372.572326388887</v>
      </c>
      <c r="BU279" t="s">
        <v>226</v>
      </c>
      <c r="BV279" t="s">
        <v>349</v>
      </c>
      <c r="BW279" t="s">
        <v>228</v>
      </c>
      <c r="CH279" t="s">
        <v>229</v>
      </c>
      <c r="CI279" t="s">
        <v>42</v>
      </c>
      <c r="CJ279" t="s">
        <v>226</v>
      </c>
      <c r="CK279" t="s">
        <v>349</v>
      </c>
      <c r="CL279" t="s">
        <v>228</v>
      </c>
      <c r="CM279" t="s">
        <v>234</v>
      </c>
      <c r="CN279" t="s">
        <v>45</v>
      </c>
      <c r="CO279">
        <v>-3454</v>
      </c>
      <c r="CP279">
        <v>42455487</v>
      </c>
      <c r="CQ279" s="73">
        <v>45372.572326388887</v>
      </c>
      <c r="CR279" t="s">
        <v>229</v>
      </c>
      <c r="CS279" t="s">
        <v>42</v>
      </c>
      <c r="CU279" t="s">
        <v>225</v>
      </c>
    </row>
    <row r="280" spans="1:99">
      <c r="A280" t="s">
        <v>99</v>
      </c>
      <c r="B280" t="s">
        <v>98</v>
      </c>
      <c r="J280" t="s">
        <v>225</v>
      </c>
      <c r="K280" t="s">
        <v>225</v>
      </c>
      <c r="M280" s="73">
        <v>45372.572326388887</v>
      </c>
      <c r="N280">
        <v>42455486</v>
      </c>
      <c r="O280">
        <v>-172.6</v>
      </c>
      <c r="P280" t="s">
        <v>73</v>
      </c>
      <c r="Q280">
        <v>-172.6</v>
      </c>
      <c r="R280" t="s">
        <v>73</v>
      </c>
      <c r="U280" t="s">
        <v>226</v>
      </c>
      <c r="V280" t="s">
        <v>349</v>
      </c>
      <c r="W280" t="s">
        <v>228</v>
      </c>
      <c r="X280" t="s">
        <v>229</v>
      </c>
      <c r="Y280" t="s">
        <v>99</v>
      </c>
      <c r="AD280" t="s">
        <v>73</v>
      </c>
      <c r="AE280">
        <v>-172.6</v>
      </c>
      <c r="AF280">
        <v>42455486</v>
      </c>
      <c r="AG280" s="73">
        <v>45372.572326388887</v>
      </c>
      <c r="AH280" t="s">
        <v>226</v>
      </c>
      <c r="AI280" t="s">
        <v>349</v>
      </c>
      <c r="AJ280" t="s">
        <v>228</v>
      </c>
      <c r="AK280" t="s">
        <v>229</v>
      </c>
      <c r="AL280" t="s">
        <v>99</v>
      </c>
      <c r="AP280" t="s">
        <v>230</v>
      </c>
      <c r="AQ280" t="s">
        <v>231</v>
      </c>
      <c r="AT280" t="s">
        <v>232</v>
      </c>
      <c r="AU280">
        <v>-99</v>
      </c>
      <c r="AV280" t="s">
        <v>73</v>
      </c>
      <c r="AW280">
        <v>-172.6</v>
      </c>
      <c r="AX280">
        <v>42455486</v>
      </c>
      <c r="AY280" s="73">
        <v>45372.572326388887</v>
      </c>
      <c r="AZ280" t="s">
        <v>226</v>
      </c>
      <c r="BA280" t="s">
        <v>349</v>
      </c>
      <c r="BB280" t="s">
        <v>228</v>
      </c>
      <c r="BC280" t="s">
        <v>229</v>
      </c>
      <c r="BD280" t="s">
        <v>99</v>
      </c>
      <c r="BI280" t="s">
        <v>233</v>
      </c>
      <c r="BJ280" t="s">
        <v>0</v>
      </c>
      <c r="BK280">
        <v>42455471</v>
      </c>
      <c r="BN280" t="s">
        <v>73</v>
      </c>
      <c r="BR280">
        <v>-172.6</v>
      </c>
      <c r="BS280">
        <v>42455486</v>
      </c>
      <c r="BT280" s="73">
        <v>45372.572326388887</v>
      </c>
      <c r="BU280" t="s">
        <v>226</v>
      </c>
      <c r="BV280" t="s">
        <v>349</v>
      </c>
      <c r="BW280" t="s">
        <v>228</v>
      </c>
      <c r="CH280" t="s">
        <v>229</v>
      </c>
      <c r="CI280" t="s">
        <v>99</v>
      </c>
      <c r="CJ280" t="s">
        <v>226</v>
      </c>
      <c r="CK280" t="s">
        <v>349</v>
      </c>
      <c r="CL280" t="s">
        <v>228</v>
      </c>
      <c r="CM280" t="s">
        <v>234</v>
      </c>
      <c r="CN280" t="s">
        <v>73</v>
      </c>
      <c r="CO280">
        <v>-172.6</v>
      </c>
      <c r="CP280">
        <v>42455486</v>
      </c>
      <c r="CQ280" s="73">
        <v>45372.572326388887</v>
      </c>
      <c r="CR280" t="s">
        <v>229</v>
      </c>
      <c r="CS280" t="s">
        <v>99</v>
      </c>
      <c r="CU280" t="s">
        <v>225</v>
      </c>
    </row>
    <row r="281" spans="1:99">
      <c r="A281" t="s">
        <v>103</v>
      </c>
      <c r="B281" t="s">
        <v>98</v>
      </c>
      <c r="J281" t="s">
        <v>225</v>
      </c>
      <c r="K281" t="s">
        <v>225</v>
      </c>
      <c r="M281" s="73">
        <v>45372.572326388887</v>
      </c>
      <c r="N281">
        <v>42455485</v>
      </c>
      <c r="O281">
        <v>3452</v>
      </c>
      <c r="P281" t="s">
        <v>104</v>
      </c>
      <c r="Q281">
        <v>3452</v>
      </c>
      <c r="R281" t="s">
        <v>104</v>
      </c>
      <c r="S281">
        <v>172.6</v>
      </c>
      <c r="T281" t="s">
        <v>73</v>
      </c>
      <c r="U281" t="s">
        <v>226</v>
      </c>
      <c r="V281" t="s">
        <v>349</v>
      </c>
      <c r="W281" t="s">
        <v>235</v>
      </c>
      <c r="X281" t="s">
        <v>229</v>
      </c>
      <c r="Y281" t="s">
        <v>103</v>
      </c>
      <c r="AD281" t="s">
        <v>104</v>
      </c>
      <c r="AE281">
        <v>3452</v>
      </c>
      <c r="AF281">
        <v>42455485</v>
      </c>
      <c r="AG281" s="73">
        <v>45372.572326388887</v>
      </c>
      <c r="AH281" t="s">
        <v>226</v>
      </c>
      <c r="AI281" t="s">
        <v>349</v>
      </c>
      <c r="AJ281" t="s">
        <v>235</v>
      </c>
      <c r="AK281" t="s">
        <v>229</v>
      </c>
      <c r="AL281" t="s">
        <v>103</v>
      </c>
      <c r="AP281" t="s">
        <v>230</v>
      </c>
      <c r="AQ281" t="s">
        <v>231</v>
      </c>
      <c r="AT281" t="s">
        <v>232</v>
      </c>
      <c r="AU281">
        <v>-99</v>
      </c>
      <c r="AV281" t="s">
        <v>104</v>
      </c>
      <c r="AW281">
        <v>3452</v>
      </c>
      <c r="AX281">
        <v>42455485</v>
      </c>
      <c r="AY281" s="73">
        <v>45372.572326388887</v>
      </c>
      <c r="AZ281" t="s">
        <v>226</v>
      </c>
      <c r="BA281" t="s">
        <v>349</v>
      </c>
      <c r="BB281" t="s">
        <v>235</v>
      </c>
      <c r="BC281" t="s">
        <v>229</v>
      </c>
      <c r="BD281" t="s">
        <v>103</v>
      </c>
      <c r="BI281" t="s">
        <v>233</v>
      </c>
      <c r="BJ281" t="s">
        <v>0</v>
      </c>
      <c r="BK281">
        <v>42455471</v>
      </c>
      <c r="BN281" t="s">
        <v>104</v>
      </c>
      <c r="BO281">
        <v>42455477</v>
      </c>
      <c r="BR281">
        <v>3452</v>
      </c>
      <c r="BS281">
        <v>42455485</v>
      </c>
      <c r="BT281" s="73">
        <v>45372.572326388887</v>
      </c>
      <c r="BU281" t="s">
        <v>226</v>
      </c>
      <c r="BV281" t="s">
        <v>349</v>
      </c>
      <c r="BW281" t="s">
        <v>235</v>
      </c>
      <c r="CH281" t="s">
        <v>229</v>
      </c>
      <c r="CI281" t="s">
        <v>103</v>
      </c>
      <c r="CJ281" t="s">
        <v>226</v>
      </c>
      <c r="CK281" t="s">
        <v>349</v>
      </c>
      <c r="CL281" t="s">
        <v>235</v>
      </c>
      <c r="CM281" t="s">
        <v>236</v>
      </c>
      <c r="CN281" t="s">
        <v>104</v>
      </c>
      <c r="CO281">
        <v>3452</v>
      </c>
      <c r="CP281">
        <v>42455485</v>
      </c>
      <c r="CQ281" s="73">
        <v>45372.572326388887</v>
      </c>
      <c r="CR281" t="s">
        <v>229</v>
      </c>
      <c r="CS281" t="s">
        <v>103</v>
      </c>
      <c r="CU281" t="s">
        <v>225</v>
      </c>
    </row>
    <row r="282" spans="1:99">
      <c r="A282" t="s">
        <v>111</v>
      </c>
      <c r="B282" t="s">
        <v>77</v>
      </c>
      <c r="J282" t="s">
        <v>225</v>
      </c>
      <c r="K282" t="s">
        <v>225</v>
      </c>
      <c r="M282" s="73">
        <v>45372.572326388887</v>
      </c>
      <c r="N282">
        <v>42455484</v>
      </c>
      <c r="O282">
        <v>2</v>
      </c>
      <c r="P282" t="s">
        <v>45</v>
      </c>
      <c r="Q282">
        <v>2</v>
      </c>
      <c r="R282" t="s">
        <v>45</v>
      </c>
      <c r="U282" t="s">
        <v>226</v>
      </c>
      <c r="V282" t="s">
        <v>349</v>
      </c>
      <c r="W282" t="s">
        <v>237</v>
      </c>
      <c r="X282" t="s">
        <v>229</v>
      </c>
      <c r="Y282" t="s">
        <v>111</v>
      </c>
      <c r="AD282" t="s">
        <v>45</v>
      </c>
      <c r="AE282">
        <v>2</v>
      </c>
      <c r="AF282">
        <v>42455484</v>
      </c>
      <c r="AG282" s="73">
        <v>45372.572326388887</v>
      </c>
      <c r="AH282" t="s">
        <v>226</v>
      </c>
      <c r="AI282" t="s">
        <v>349</v>
      </c>
      <c r="AJ282" t="s">
        <v>237</v>
      </c>
      <c r="AK282" t="s">
        <v>229</v>
      </c>
      <c r="AL282" t="s">
        <v>111</v>
      </c>
      <c r="AP282" t="s">
        <v>230</v>
      </c>
      <c r="AQ282" t="s">
        <v>231</v>
      </c>
      <c r="AT282" t="s">
        <v>232</v>
      </c>
      <c r="AU282">
        <v>-99</v>
      </c>
      <c r="AV282" t="s">
        <v>45</v>
      </c>
      <c r="AW282">
        <v>2</v>
      </c>
      <c r="AX282">
        <v>42455484</v>
      </c>
      <c r="AY282" s="73">
        <v>45372.572326388887</v>
      </c>
      <c r="AZ282" t="s">
        <v>226</v>
      </c>
      <c r="BA282" t="s">
        <v>349</v>
      </c>
      <c r="BB282" t="s">
        <v>237</v>
      </c>
      <c r="BC282" t="s">
        <v>229</v>
      </c>
      <c r="BD282" t="s">
        <v>111</v>
      </c>
      <c r="BI282" t="s">
        <v>233</v>
      </c>
      <c r="BJ282" t="s">
        <v>0</v>
      </c>
      <c r="BK282">
        <v>42455471</v>
      </c>
      <c r="BN282" t="s">
        <v>45</v>
      </c>
      <c r="BO282">
        <v>42455479</v>
      </c>
      <c r="BR282">
        <v>2</v>
      </c>
      <c r="BS282">
        <v>42455484</v>
      </c>
      <c r="BT282" s="73">
        <v>45372.572326388887</v>
      </c>
      <c r="BU282" t="s">
        <v>226</v>
      </c>
      <c r="BV282" t="s">
        <v>349</v>
      </c>
      <c r="BW282" t="s">
        <v>237</v>
      </c>
      <c r="CH282" t="s">
        <v>229</v>
      </c>
      <c r="CI282" t="s">
        <v>111</v>
      </c>
      <c r="CJ282" t="s">
        <v>226</v>
      </c>
      <c r="CK282" t="s">
        <v>349</v>
      </c>
      <c r="CL282" t="s">
        <v>237</v>
      </c>
      <c r="CM282" t="s">
        <v>236</v>
      </c>
      <c r="CN282" t="s">
        <v>45</v>
      </c>
      <c r="CO282">
        <v>2</v>
      </c>
      <c r="CP282">
        <v>42455484</v>
      </c>
      <c r="CQ282" s="73">
        <v>45372.572326388887</v>
      </c>
      <c r="CR282" t="s">
        <v>229</v>
      </c>
      <c r="CS282" t="s">
        <v>111</v>
      </c>
      <c r="CU282" t="s">
        <v>225</v>
      </c>
    </row>
    <row r="283" spans="1:99">
      <c r="A283" t="s">
        <v>42</v>
      </c>
      <c r="B283" t="s">
        <v>92</v>
      </c>
      <c r="J283" t="s">
        <v>225</v>
      </c>
      <c r="K283" t="s">
        <v>225</v>
      </c>
      <c r="M283" s="73">
        <v>45372.320451388892</v>
      </c>
      <c r="N283">
        <v>42450262</v>
      </c>
      <c r="O283">
        <v>-10160</v>
      </c>
      <c r="P283" t="s">
        <v>45</v>
      </c>
      <c r="Q283">
        <v>-10160</v>
      </c>
      <c r="R283" t="s">
        <v>45</v>
      </c>
      <c r="U283" t="s">
        <v>226</v>
      </c>
      <c r="V283" t="s">
        <v>350</v>
      </c>
      <c r="W283" t="s">
        <v>228</v>
      </c>
      <c r="X283" t="s">
        <v>229</v>
      </c>
      <c r="Y283" t="s">
        <v>42</v>
      </c>
      <c r="AD283" t="s">
        <v>45</v>
      </c>
      <c r="AE283">
        <v>-10160</v>
      </c>
      <c r="AF283">
        <v>42450262</v>
      </c>
      <c r="AG283" s="73">
        <v>45372.320451388892</v>
      </c>
      <c r="AH283" t="s">
        <v>226</v>
      </c>
      <c r="AI283" t="s">
        <v>350</v>
      </c>
      <c r="AJ283" t="s">
        <v>228</v>
      </c>
      <c r="AK283" t="s">
        <v>229</v>
      </c>
      <c r="AL283" t="s">
        <v>42</v>
      </c>
      <c r="AP283" t="s">
        <v>230</v>
      </c>
      <c r="AQ283" t="s">
        <v>231</v>
      </c>
      <c r="AT283" t="s">
        <v>232</v>
      </c>
      <c r="AU283">
        <v>-99</v>
      </c>
      <c r="AV283" t="s">
        <v>45</v>
      </c>
      <c r="AW283">
        <v>-10160</v>
      </c>
      <c r="AX283">
        <v>42450262</v>
      </c>
      <c r="AY283" s="73">
        <v>45372.320451388892</v>
      </c>
      <c r="AZ283" t="s">
        <v>226</v>
      </c>
      <c r="BA283" t="s">
        <v>350</v>
      </c>
      <c r="BB283" t="s">
        <v>228</v>
      </c>
      <c r="BC283" t="s">
        <v>229</v>
      </c>
      <c r="BD283" t="s">
        <v>42</v>
      </c>
      <c r="BI283" t="s">
        <v>233</v>
      </c>
      <c r="BJ283" t="s">
        <v>0</v>
      </c>
      <c r="BK283">
        <v>42450238</v>
      </c>
      <c r="BN283" t="s">
        <v>45</v>
      </c>
      <c r="BR283">
        <v>-10160</v>
      </c>
      <c r="BS283">
        <v>42450262</v>
      </c>
      <c r="BT283" s="73">
        <v>45372.320451388892</v>
      </c>
      <c r="BU283" t="s">
        <v>226</v>
      </c>
      <c r="BV283" t="s">
        <v>350</v>
      </c>
      <c r="BW283" t="s">
        <v>228</v>
      </c>
      <c r="CH283" t="s">
        <v>229</v>
      </c>
      <c r="CI283" t="s">
        <v>42</v>
      </c>
      <c r="CJ283" t="s">
        <v>226</v>
      </c>
      <c r="CK283" t="s">
        <v>350</v>
      </c>
      <c r="CL283" t="s">
        <v>228</v>
      </c>
      <c r="CM283" t="s">
        <v>234</v>
      </c>
      <c r="CN283" t="s">
        <v>45</v>
      </c>
      <c r="CO283">
        <v>-10160</v>
      </c>
      <c r="CP283">
        <v>42450262</v>
      </c>
      <c r="CQ283" s="73">
        <v>45372.320451388892</v>
      </c>
      <c r="CR283" t="s">
        <v>229</v>
      </c>
      <c r="CS283" t="s">
        <v>42</v>
      </c>
      <c r="CU283" t="s">
        <v>225</v>
      </c>
    </row>
    <row r="284" spans="1:99">
      <c r="A284" t="s">
        <v>99</v>
      </c>
      <c r="B284" t="s">
        <v>98</v>
      </c>
      <c r="J284" t="s">
        <v>225</v>
      </c>
      <c r="K284" t="s">
        <v>225</v>
      </c>
      <c r="M284" s="73">
        <v>45372.320451388892</v>
      </c>
      <c r="N284">
        <v>42450261</v>
      </c>
      <c r="O284">
        <v>-507.5</v>
      </c>
      <c r="P284" t="s">
        <v>73</v>
      </c>
      <c r="Q284">
        <v>-507.5</v>
      </c>
      <c r="R284" t="s">
        <v>73</v>
      </c>
      <c r="U284" t="s">
        <v>226</v>
      </c>
      <c r="V284" t="s">
        <v>350</v>
      </c>
      <c r="W284" t="s">
        <v>228</v>
      </c>
      <c r="X284" t="s">
        <v>229</v>
      </c>
      <c r="Y284" t="s">
        <v>99</v>
      </c>
      <c r="AD284" t="s">
        <v>73</v>
      </c>
      <c r="AE284">
        <v>-507.5</v>
      </c>
      <c r="AF284">
        <v>42450261</v>
      </c>
      <c r="AG284" s="73">
        <v>45372.320451388892</v>
      </c>
      <c r="AH284" t="s">
        <v>226</v>
      </c>
      <c r="AI284" t="s">
        <v>350</v>
      </c>
      <c r="AJ284" t="s">
        <v>228</v>
      </c>
      <c r="AK284" t="s">
        <v>229</v>
      </c>
      <c r="AL284" t="s">
        <v>99</v>
      </c>
      <c r="AP284" t="s">
        <v>230</v>
      </c>
      <c r="AQ284" t="s">
        <v>231</v>
      </c>
      <c r="AT284" t="s">
        <v>232</v>
      </c>
      <c r="AU284">
        <v>-99</v>
      </c>
      <c r="AV284" t="s">
        <v>73</v>
      </c>
      <c r="AW284">
        <v>-507.5</v>
      </c>
      <c r="AX284">
        <v>42450261</v>
      </c>
      <c r="AY284" s="73">
        <v>45372.320451388892</v>
      </c>
      <c r="AZ284" t="s">
        <v>226</v>
      </c>
      <c r="BA284" t="s">
        <v>350</v>
      </c>
      <c r="BB284" t="s">
        <v>228</v>
      </c>
      <c r="BC284" t="s">
        <v>229</v>
      </c>
      <c r="BD284" t="s">
        <v>99</v>
      </c>
      <c r="BI284" t="s">
        <v>233</v>
      </c>
      <c r="BJ284" t="s">
        <v>0</v>
      </c>
      <c r="BK284">
        <v>42450238</v>
      </c>
      <c r="BN284" t="s">
        <v>73</v>
      </c>
      <c r="BR284">
        <v>-507.5</v>
      </c>
      <c r="BS284">
        <v>42450261</v>
      </c>
      <c r="BT284" s="73">
        <v>45372.320451388892</v>
      </c>
      <c r="BU284" t="s">
        <v>226</v>
      </c>
      <c r="BV284" t="s">
        <v>350</v>
      </c>
      <c r="BW284" t="s">
        <v>228</v>
      </c>
      <c r="CH284" t="s">
        <v>229</v>
      </c>
      <c r="CI284" t="s">
        <v>99</v>
      </c>
      <c r="CJ284" t="s">
        <v>226</v>
      </c>
      <c r="CK284" t="s">
        <v>350</v>
      </c>
      <c r="CL284" t="s">
        <v>228</v>
      </c>
      <c r="CM284" t="s">
        <v>234</v>
      </c>
      <c r="CN284" t="s">
        <v>73</v>
      </c>
      <c r="CO284">
        <v>-507.5</v>
      </c>
      <c r="CP284">
        <v>42450261</v>
      </c>
      <c r="CQ284" s="73">
        <v>45372.320451388892</v>
      </c>
      <c r="CR284" t="s">
        <v>229</v>
      </c>
      <c r="CS284" t="s">
        <v>99</v>
      </c>
      <c r="CU284" t="s">
        <v>225</v>
      </c>
    </row>
    <row r="285" spans="1:99">
      <c r="A285" t="s">
        <v>103</v>
      </c>
      <c r="B285" t="s">
        <v>98</v>
      </c>
      <c r="J285" t="s">
        <v>225</v>
      </c>
      <c r="K285" t="s">
        <v>225</v>
      </c>
      <c r="M285" s="73">
        <v>45372.320451388892</v>
      </c>
      <c r="N285">
        <v>42450260</v>
      </c>
      <c r="O285">
        <v>10150</v>
      </c>
      <c r="P285" t="s">
        <v>104</v>
      </c>
      <c r="Q285">
        <v>10150</v>
      </c>
      <c r="R285" t="s">
        <v>104</v>
      </c>
      <c r="S285">
        <v>507.5</v>
      </c>
      <c r="T285" t="s">
        <v>73</v>
      </c>
      <c r="U285" t="s">
        <v>226</v>
      </c>
      <c r="V285" t="s">
        <v>350</v>
      </c>
      <c r="W285" t="s">
        <v>235</v>
      </c>
      <c r="X285" t="s">
        <v>229</v>
      </c>
      <c r="Y285" t="s">
        <v>103</v>
      </c>
      <c r="AD285" t="s">
        <v>104</v>
      </c>
      <c r="AE285">
        <v>10150</v>
      </c>
      <c r="AF285">
        <v>42450260</v>
      </c>
      <c r="AG285" s="73">
        <v>45372.320451388892</v>
      </c>
      <c r="AH285" t="s">
        <v>226</v>
      </c>
      <c r="AI285" t="s">
        <v>350</v>
      </c>
      <c r="AJ285" t="s">
        <v>235</v>
      </c>
      <c r="AK285" t="s">
        <v>229</v>
      </c>
      <c r="AL285" t="s">
        <v>103</v>
      </c>
      <c r="AP285" t="s">
        <v>230</v>
      </c>
      <c r="AQ285" t="s">
        <v>231</v>
      </c>
      <c r="AT285" t="s">
        <v>232</v>
      </c>
      <c r="AU285">
        <v>-99</v>
      </c>
      <c r="AV285" t="s">
        <v>104</v>
      </c>
      <c r="AW285">
        <v>10150</v>
      </c>
      <c r="AX285">
        <v>42450260</v>
      </c>
      <c r="AY285" s="73">
        <v>45372.320451388892</v>
      </c>
      <c r="AZ285" t="s">
        <v>226</v>
      </c>
      <c r="BA285" t="s">
        <v>350</v>
      </c>
      <c r="BB285" t="s">
        <v>235</v>
      </c>
      <c r="BC285" t="s">
        <v>229</v>
      </c>
      <c r="BD285" t="s">
        <v>103</v>
      </c>
      <c r="BI285" t="s">
        <v>233</v>
      </c>
      <c r="BJ285" t="s">
        <v>0</v>
      </c>
      <c r="BK285">
        <v>42450238</v>
      </c>
      <c r="BN285" t="s">
        <v>104</v>
      </c>
      <c r="BO285">
        <v>42450247</v>
      </c>
      <c r="BR285">
        <v>10150</v>
      </c>
      <c r="BS285">
        <v>42450260</v>
      </c>
      <c r="BT285" s="73">
        <v>45372.320451388892</v>
      </c>
      <c r="BU285" t="s">
        <v>226</v>
      </c>
      <c r="BV285" t="s">
        <v>350</v>
      </c>
      <c r="BW285" t="s">
        <v>235</v>
      </c>
      <c r="CH285" t="s">
        <v>229</v>
      </c>
      <c r="CI285" t="s">
        <v>103</v>
      </c>
      <c r="CJ285" t="s">
        <v>226</v>
      </c>
      <c r="CK285" t="s">
        <v>350</v>
      </c>
      <c r="CL285" t="s">
        <v>235</v>
      </c>
      <c r="CM285" t="s">
        <v>236</v>
      </c>
      <c r="CN285" t="s">
        <v>104</v>
      </c>
      <c r="CO285">
        <v>10150</v>
      </c>
      <c r="CP285">
        <v>42450260</v>
      </c>
      <c r="CQ285" s="73">
        <v>45372.320451388892</v>
      </c>
      <c r="CR285" t="s">
        <v>229</v>
      </c>
      <c r="CS285" t="s">
        <v>103</v>
      </c>
      <c r="CU285" t="s">
        <v>225</v>
      </c>
    </row>
    <row r="286" spans="1:99">
      <c r="A286" t="s">
        <v>111</v>
      </c>
      <c r="B286" t="s">
        <v>77</v>
      </c>
      <c r="J286" t="s">
        <v>225</v>
      </c>
      <c r="K286" t="s">
        <v>225</v>
      </c>
      <c r="M286" s="73">
        <v>45372.320451388892</v>
      </c>
      <c r="N286">
        <v>42450259</v>
      </c>
      <c r="O286">
        <v>10</v>
      </c>
      <c r="P286" t="s">
        <v>45</v>
      </c>
      <c r="Q286">
        <v>10</v>
      </c>
      <c r="R286" t="s">
        <v>45</v>
      </c>
      <c r="U286" t="s">
        <v>226</v>
      </c>
      <c r="V286" t="s">
        <v>350</v>
      </c>
      <c r="W286" t="s">
        <v>237</v>
      </c>
      <c r="X286" t="s">
        <v>229</v>
      </c>
      <c r="Y286" t="s">
        <v>111</v>
      </c>
      <c r="AD286" t="s">
        <v>45</v>
      </c>
      <c r="AE286">
        <v>10</v>
      </c>
      <c r="AF286">
        <v>42450259</v>
      </c>
      <c r="AG286" s="73">
        <v>45372.320451388892</v>
      </c>
      <c r="AH286" t="s">
        <v>226</v>
      </c>
      <c r="AI286" t="s">
        <v>350</v>
      </c>
      <c r="AJ286" t="s">
        <v>237</v>
      </c>
      <c r="AK286" t="s">
        <v>229</v>
      </c>
      <c r="AL286" t="s">
        <v>111</v>
      </c>
      <c r="AP286" t="s">
        <v>230</v>
      </c>
      <c r="AQ286" t="s">
        <v>231</v>
      </c>
      <c r="AT286" t="s">
        <v>232</v>
      </c>
      <c r="AU286">
        <v>-99</v>
      </c>
      <c r="AV286" t="s">
        <v>45</v>
      </c>
      <c r="AW286">
        <v>10</v>
      </c>
      <c r="AX286">
        <v>42450259</v>
      </c>
      <c r="AY286" s="73">
        <v>45372.320451388892</v>
      </c>
      <c r="AZ286" t="s">
        <v>226</v>
      </c>
      <c r="BA286" t="s">
        <v>350</v>
      </c>
      <c r="BB286" t="s">
        <v>237</v>
      </c>
      <c r="BC286" t="s">
        <v>229</v>
      </c>
      <c r="BD286" t="s">
        <v>111</v>
      </c>
      <c r="BI286" t="s">
        <v>233</v>
      </c>
      <c r="BJ286" t="s">
        <v>0</v>
      </c>
      <c r="BK286">
        <v>42450238</v>
      </c>
      <c r="BN286" t="s">
        <v>45</v>
      </c>
      <c r="BO286">
        <v>42450252</v>
      </c>
      <c r="BR286">
        <v>10</v>
      </c>
      <c r="BS286">
        <v>42450259</v>
      </c>
      <c r="BT286" s="73">
        <v>45372.320451388892</v>
      </c>
      <c r="BU286" t="s">
        <v>226</v>
      </c>
      <c r="BV286" t="s">
        <v>350</v>
      </c>
      <c r="BW286" t="s">
        <v>237</v>
      </c>
      <c r="CH286" t="s">
        <v>229</v>
      </c>
      <c r="CI286" t="s">
        <v>111</v>
      </c>
      <c r="CJ286" t="s">
        <v>226</v>
      </c>
      <c r="CK286" t="s">
        <v>350</v>
      </c>
      <c r="CL286" t="s">
        <v>237</v>
      </c>
      <c r="CM286" t="s">
        <v>236</v>
      </c>
      <c r="CN286" t="s">
        <v>45</v>
      </c>
      <c r="CO286">
        <v>10</v>
      </c>
      <c r="CP286">
        <v>42450259</v>
      </c>
      <c r="CQ286" s="73">
        <v>45372.320451388892</v>
      </c>
      <c r="CR286" t="s">
        <v>229</v>
      </c>
      <c r="CS286" t="s">
        <v>111</v>
      </c>
      <c r="CU286" t="s">
        <v>225</v>
      </c>
    </row>
    <row r="287" spans="1:99">
      <c r="A287" t="s">
        <v>42</v>
      </c>
      <c r="B287" t="s">
        <v>92</v>
      </c>
      <c r="J287" t="s">
        <v>225</v>
      </c>
      <c r="K287" t="s">
        <v>225</v>
      </c>
      <c r="M287" s="73">
        <v>45372.316423611112</v>
      </c>
      <c r="N287">
        <v>42450199</v>
      </c>
      <c r="O287">
        <v>-4121</v>
      </c>
      <c r="P287" t="s">
        <v>45</v>
      </c>
      <c r="Q287">
        <v>-4121</v>
      </c>
      <c r="R287" t="s">
        <v>45</v>
      </c>
      <c r="U287" t="s">
        <v>226</v>
      </c>
      <c r="V287" t="s">
        <v>351</v>
      </c>
      <c r="W287" t="s">
        <v>228</v>
      </c>
      <c r="X287" t="s">
        <v>229</v>
      </c>
      <c r="Y287" t="s">
        <v>42</v>
      </c>
      <c r="AD287" t="s">
        <v>45</v>
      </c>
      <c r="AE287">
        <v>-4121</v>
      </c>
      <c r="AF287">
        <v>42450199</v>
      </c>
      <c r="AG287" s="73">
        <v>45372.316423611112</v>
      </c>
      <c r="AH287" t="s">
        <v>226</v>
      </c>
      <c r="AI287" t="s">
        <v>351</v>
      </c>
      <c r="AJ287" t="s">
        <v>228</v>
      </c>
      <c r="AK287" t="s">
        <v>229</v>
      </c>
      <c r="AL287" t="s">
        <v>42</v>
      </c>
      <c r="AP287" t="s">
        <v>230</v>
      </c>
      <c r="AQ287" t="s">
        <v>231</v>
      </c>
      <c r="AT287" t="s">
        <v>232</v>
      </c>
      <c r="AU287">
        <v>-99</v>
      </c>
      <c r="AV287" t="s">
        <v>45</v>
      </c>
      <c r="AW287">
        <v>-4121</v>
      </c>
      <c r="AX287">
        <v>42450199</v>
      </c>
      <c r="AY287" s="73">
        <v>45372.316423611112</v>
      </c>
      <c r="AZ287" t="s">
        <v>226</v>
      </c>
      <c r="BA287" t="s">
        <v>351</v>
      </c>
      <c r="BB287" t="s">
        <v>228</v>
      </c>
      <c r="BC287" t="s">
        <v>229</v>
      </c>
      <c r="BD287" t="s">
        <v>42</v>
      </c>
      <c r="BI287" t="s">
        <v>233</v>
      </c>
      <c r="BJ287" t="s">
        <v>0</v>
      </c>
      <c r="BK287">
        <v>42450158</v>
      </c>
      <c r="BN287" t="s">
        <v>45</v>
      </c>
      <c r="BR287">
        <v>-4121</v>
      </c>
      <c r="BS287">
        <v>42450199</v>
      </c>
      <c r="BT287" s="73">
        <v>45372.316423611112</v>
      </c>
      <c r="BU287" t="s">
        <v>226</v>
      </c>
      <c r="BV287" t="s">
        <v>351</v>
      </c>
      <c r="BW287" t="s">
        <v>228</v>
      </c>
      <c r="CH287" t="s">
        <v>229</v>
      </c>
      <c r="CI287" t="s">
        <v>42</v>
      </c>
      <c r="CJ287" t="s">
        <v>226</v>
      </c>
      <c r="CK287" t="s">
        <v>351</v>
      </c>
      <c r="CL287" t="s">
        <v>228</v>
      </c>
      <c r="CM287" t="s">
        <v>234</v>
      </c>
      <c r="CN287" t="s">
        <v>45</v>
      </c>
      <c r="CO287">
        <v>-4121</v>
      </c>
      <c r="CP287">
        <v>42450199</v>
      </c>
      <c r="CQ287" s="73">
        <v>45372.316423611112</v>
      </c>
      <c r="CR287" t="s">
        <v>229</v>
      </c>
      <c r="CS287" t="s">
        <v>42</v>
      </c>
      <c r="CU287" t="s">
        <v>225</v>
      </c>
    </row>
    <row r="288" spans="1:99">
      <c r="A288" t="s">
        <v>99</v>
      </c>
      <c r="B288" t="s">
        <v>98</v>
      </c>
      <c r="J288" t="s">
        <v>225</v>
      </c>
      <c r="K288" t="s">
        <v>225</v>
      </c>
      <c r="M288" s="73">
        <v>45372.316423611112</v>
      </c>
      <c r="N288">
        <v>42450198</v>
      </c>
      <c r="O288">
        <v>-205.8</v>
      </c>
      <c r="P288" t="s">
        <v>73</v>
      </c>
      <c r="Q288">
        <v>-205.8</v>
      </c>
      <c r="R288" t="s">
        <v>73</v>
      </c>
      <c r="U288" t="s">
        <v>226</v>
      </c>
      <c r="V288" t="s">
        <v>351</v>
      </c>
      <c r="W288" t="s">
        <v>228</v>
      </c>
      <c r="X288" t="s">
        <v>229</v>
      </c>
      <c r="Y288" t="s">
        <v>99</v>
      </c>
      <c r="AD288" t="s">
        <v>73</v>
      </c>
      <c r="AE288">
        <v>-205.8</v>
      </c>
      <c r="AF288">
        <v>42450198</v>
      </c>
      <c r="AG288" s="73">
        <v>45372.316423611112</v>
      </c>
      <c r="AH288" t="s">
        <v>226</v>
      </c>
      <c r="AI288" t="s">
        <v>351</v>
      </c>
      <c r="AJ288" t="s">
        <v>228</v>
      </c>
      <c r="AK288" t="s">
        <v>229</v>
      </c>
      <c r="AL288" t="s">
        <v>99</v>
      </c>
      <c r="AP288" t="s">
        <v>230</v>
      </c>
      <c r="AQ288" t="s">
        <v>231</v>
      </c>
      <c r="AT288" t="s">
        <v>232</v>
      </c>
      <c r="AU288">
        <v>-99</v>
      </c>
      <c r="AV288" t="s">
        <v>73</v>
      </c>
      <c r="AW288">
        <v>-205.8</v>
      </c>
      <c r="AX288">
        <v>42450198</v>
      </c>
      <c r="AY288" s="73">
        <v>45372.316423611112</v>
      </c>
      <c r="AZ288" t="s">
        <v>226</v>
      </c>
      <c r="BA288" t="s">
        <v>351</v>
      </c>
      <c r="BB288" t="s">
        <v>228</v>
      </c>
      <c r="BC288" t="s">
        <v>229</v>
      </c>
      <c r="BD288" t="s">
        <v>99</v>
      </c>
      <c r="BI288" t="s">
        <v>233</v>
      </c>
      <c r="BJ288" t="s">
        <v>0</v>
      </c>
      <c r="BK288">
        <v>42450158</v>
      </c>
      <c r="BN288" t="s">
        <v>73</v>
      </c>
      <c r="BR288">
        <v>-205.8</v>
      </c>
      <c r="BS288">
        <v>42450198</v>
      </c>
      <c r="BT288" s="73">
        <v>45372.316423611112</v>
      </c>
      <c r="BU288" t="s">
        <v>226</v>
      </c>
      <c r="BV288" t="s">
        <v>351</v>
      </c>
      <c r="BW288" t="s">
        <v>228</v>
      </c>
      <c r="CH288" t="s">
        <v>229</v>
      </c>
      <c r="CI288" t="s">
        <v>99</v>
      </c>
      <c r="CJ288" t="s">
        <v>226</v>
      </c>
      <c r="CK288" t="s">
        <v>351</v>
      </c>
      <c r="CL288" t="s">
        <v>228</v>
      </c>
      <c r="CM288" t="s">
        <v>234</v>
      </c>
      <c r="CN288" t="s">
        <v>73</v>
      </c>
      <c r="CO288">
        <v>-205.8</v>
      </c>
      <c r="CP288">
        <v>42450198</v>
      </c>
      <c r="CQ288" s="73">
        <v>45372.316423611112</v>
      </c>
      <c r="CR288" t="s">
        <v>229</v>
      </c>
      <c r="CS288" t="s">
        <v>99</v>
      </c>
      <c r="CU288" t="s">
        <v>225</v>
      </c>
    </row>
    <row r="289" spans="1:99">
      <c r="A289" t="s">
        <v>103</v>
      </c>
      <c r="B289" t="s">
        <v>98</v>
      </c>
      <c r="J289" t="s">
        <v>225</v>
      </c>
      <c r="K289" t="s">
        <v>225</v>
      </c>
      <c r="M289" s="73">
        <v>45372.316423611112</v>
      </c>
      <c r="N289">
        <v>42450197</v>
      </c>
      <c r="O289">
        <v>4116</v>
      </c>
      <c r="P289" t="s">
        <v>104</v>
      </c>
      <c r="Q289">
        <v>4116</v>
      </c>
      <c r="R289" t="s">
        <v>104</v>
      </c>
      <c r="S289">
        <v>205.8</v>
      </c>
      <c r="T289" t="s">
        <v>73</v>
      </c>
      <c r="U289" t="s">
        <v>226</v>
      </c>
      <c r="V289" t="s">
        <v>351</v>
      </c>
      <c r="W289" t="s">
        <v>235</v>
      </c>
      <c r="X289" t="s">
        <v>229</v>
      </c>
      <c r="Y289" t="s">
        <v>103</v>
      </c>
      <c r="AD289" t="s">
        <v>104</v>
      </c>
      <c r="AE289">
        <v>4116</v>
      </c>
      <c r="AF289">
        <v>42450197</v>
      </c>
      <c r="AG289" s="73">
        <v>45372.316423611112</v>
      </c>
      <c r="AH289" t="s">
        <v>226</v>
      </c>
      <c r="AI289" t="s">
        <v>351</v>
      </c>
      <c r="AJ289" t="s">
        <v>235</v>
      </c>
      <c r="AK289" t="s">
        <v>229</v>
      </c>
      <c r="AL289" t="s">
        <v>103</v>
      </c>
      <c r="AP289" t="s">
        <v>230</v>
      </c>
      <c r="AQ289" t="s">
        <v>231</v>
      </c>
      <c r="AT289" t="s">
        <v>232</v>
      </c>
      <c r="AU289">
        <v>-99</v>
      </c>
      <c r="AV289" t="s">
        <v>104</v>
      </c>
      <c r="AW289">
        <v>4116</v>
      </c>
      <c r="AX289">
        <v>42450197</v>
      </c>
      <c r="AY289" s="73">
        <v>45372.316423611112</v>
      </c>
      <c r="AZ289" t="s">
        <v>226</v>
      </c>
      <c r="BA289" t="s">
        <v>351</v>
      </c>
      <c r="BB289" t="s">
        <v>235</v>
      </c>
      <c r="BC289" t="s">
        <v>229</v>
      </c>
      <c r="BD289" t="s">
        <v>103</v>
      </c>
      <c r="BI289" t="s">
        <v>233</v>
      </c>
      <c r="BJ289" t="s">
        <v>0</v>
      </c>
      <c r="BK289">
        <v>42450158</v>
      </c>
      <c r="BN289" t="s">
        <v>104</v>
      </c>
      <c r="BO289">
        <v>42450185</v>
      </c>
      <c r="BR289">
        <v>4116</v>
      </c>
      <c r="BS289">
        <v>42450197</v>
      </c>
      <c r="BT289" s="73">
        <v>45372.316423611112</v>
      </c>
      <c r="BU289" t="s">
        <v>226</v>
      </c>
      <c r="BV289" t="s">
        <v>351</v>
      </c>
      <c r="BW289" t="s">
        <v>235</v>
      </c>
      <c r="CH289" t="s">
        <v>229</v>
      </c>
      <c r="CI289" t="s">
        <v>103</v>
      </c>
      <c r="CJ289" t="s">
        <v>226</v>
      </c>
      <c r="CK289" t="s">
        <v>351</v>
      </c>
      <c r="CL289" t="s">
        <v>235</v>
      </c>
      <c r="CM289" t="s">
        <v>236</v>
      </c>
      <c r="CN289" t="s">
        <v>104</v>
      </c>
      <c r="CO289">
        <v>4116</v>
      </c>
      <c r="CP289">
        <v>42450197</v>
      </c>
      <c r="CQ289" s="73">
        <v>45372.316423611112</v>
      </c>
      <c r="CR289" t="s">
        <v>229</v>
      </c>
      <c r="CS289" t="s">
        <v>103</v>
      </c>
      <c r="CU289" t="s">
        <v>225</v>
      </c>
    </row>
    <row r="290" spans="1:99">
      <c r="A290" t="s">
        <v>111</v>
      </c>
      <c r="B290" t="s">
        <v>77</v>
      </c>
      <c r="J290" t="s">
        <v>225</v>
      </c>
      <c r="K290" t="s">
        <v>225</v>
      </c>
      <c r="M290" s="73">
        <v>45372.316423611112</v>
      </c>
      <c r="N290">
        <v>42450196</v>
      </c>
      <c r="O290">
        <v>5</v>
      </c>
      <c r="P290" t="s">
        <v>45</v>
      </c>
      <c r="Q290">
        <v>5</v>
      </c>
      <c r="R290" t="s">
        <v>45</v>
      </c>
      <c r="U290" t="s">
        <v>226</v>
      </c>
      <c r="V290" t="s">
        <v>351</v>
      </c>
      <c r="W290" t="s">
        <v>237</v>
      </c>
      <c r="X290" t="s">
        <v>229</v>
      </c>
      <c r="Y290" t="s">
        <v>111</v>
      </c>
      <c r="AD290" t="s">
        <v>45</v>
      </c>
      <c r="AE290">
        <v>5</v>
      </c>
      <c r="AF290">
        <v>42450196</v>
      </c>
      <c r="AG290" s="73">
        <v>45372.316423611112</v>
      </c>
      <c r="AH290" t="s">
        <v>226</v>
      </c>
      <c r="AI290" t="s">
        <v>351</v>
      </c>
      <c r="AJ290" t="s">
        <v>237</v>
      </c>
      <c r="AK290" t="s">
        <v>229</v>
      </c>
      <c r="AL290" t="s">
        <v>111</v>
      </c>
      <c r="AP290" t="s">
        <v>230</v>
      </c>
      <c r="AQ290" t="s">
        <v>231</v>
      </c>
      <c r="AT290" t="s">
        <v>232</v>
      </c>
      <c r="AU290">
        <v>-99</v>
      </c>
      <c r="AV290" t="s">
        <v>45</v>
      </c>
      <c r="AW290">
        <v>5</v>
      </c>
      <c r="AX290">
        <v>42450196</v>
      </c>
      <c r="AY290" s="73">
        <v>45372.316423611112</v>
      </c>
      <c r="AZ290" t="s">
        <v>226</v>
      </c>
      <c r="BA290" t="s">
        <v>351</v>
      </c>
      <c r="BB290" t="s">
        <v>237</v>
      </c>
      <c r="BC290" t="s">
        <v>229</v>
      </c>
      <c r="BD290" t="s">
        <v>111</v>
      </c>
      <c r="BI290" t="s">
        <v>233</v>
      </c>
      <c r="BJ290" t="s">
        <v>0</v>
      </c>
      <c r="BK290">
        <v>42450158</v>
      </c>
      <c r="BN290" t="s">
        <v>45</v>
      </c>
      <c r="BO290">
        <v>42450189</v>
      </c>
      <c r="BR290">
        <v>5</v>
      </c>
      <c r="BS290">
        <v>42450196</v>
      </c>
      <c r="BT290" s="73">
        <v>45372.316423611112</v>
      </c>
      <c r="BU290" t="s">
        <v>226</v>
      </c>
      <c r="BV290" t="s">
        <v>351</v>
      </c>
      <c r="BW290" t="s">
        <v>237</v>
      </c>
      <c r="CH290" t="s">
        <v>229</v>
      </c>
      <c r="CI290" t="s">
        <v>111</v>
      </c>
      <c r="CJ290" t="s">
        <v>226</v>
      </c>
      <c r="CK290" t="s">
        <v>351</v>
      </c>
      <c r="CL290" t="s">
        <v>237</v>
      </c>
      <c r="CM290" t="s">
        <v>236</v>
      </c>
      <c r="CN290" t="s">
        <v>45</v>
      </c>
      <c r="CO290">
        <v>5</v>
      </c>
      <c r="CP290">
        <v>42450196</v>
      </c>
      <c r="CQ290" s="73">
        <v>45372.316423611112</v>
      </c>
      <c r="CR290" t="s">
        <v>229</v>
      </c>
      <c r="CS290" t="s">
        <v>111</v>
      </c>
      <c r="CU290" t="s">
        <v>225</v>
      </c>
    </row>
    <row r="291" spans="1:99">
      <c r="A291" t="s">
        <v>52</v>
      </c>
      <c r="B291" t="s">
        <v>92</v>
      </c>
      <c r="J291" t="s">
        <v>225</v>
      </c>
      <c r="K291" t="s">
        <v>225</v>
      </c>
      <c r="M291" s="73">
        <v>45372.312569444446</v>
      </c>
      <c r="N291">
        <v>42450114</v>
      </c>
      <c r="O291">
        <v>-3207</v>
      </c>
      <c r="P291" t="s">
        <v>45</v>
      </c>
      <c r="Q291">
        <v>-3207</v>
      </c>
      <c r="R291" t="s">
        <v>45</v>
      </c>
      <c r="U291" t="s">
        <v>226</v>
      </c>
      <c r="V291" t="s">
        <v>352</v>
      </c>
      <c r="W291" t="s">
        <v>228</v>
      </c>
      <c r="X291" t="s">
        <v>229</v>
      </c>
      <c r="Y291" t="s">
        <v>52</v>
      </c>
      <c r="AD291" t="s">
        <v>45</v>
      </c>
      <c r="AE291">
        <v>-3207</v>
      </c>
      <c r="AF291">
        <v>42450114</v>
      </c>
      <c r="AG291" s="73">
        <v>45372.312569444446</v>
      </c>
      <c r="AH291" t="s">
        <v>226</v>
      </c>
      <c r="AI291" t="s">
        <v>352</v>
      </c>
      <c r="AJ291" t="s">
        <v>228</v>
      </c>
      <c r="AK291" t="s">
        <v>229</v>
      </c>
      <c r="AL291" t="s">
        <v>52</v>
      </c>
      <c r="AP291" t="s">
        <v>230</v>
      </c>
      <c r="AQ291" t="s">
        <v>231</v>
      </c>
      <c r="AT291" t="s">
        <v>232</v>
      </c>
      <c r="AU291">
        <v>-99</v>
      </c>
      <c r="AV291" t="s">
        <v>45</v>
      </c>
      <c r="AW291">
        <v>-3207</v>
      </c>
      <c r="AX291">
        <v>42450114</v>
      </c>
      <c r="AY291" s="73">
        <v>45372.312569444446</v>
      </c>
      <c r="AZ291" t="s">
        <v>226</v>
      </c>
      <c r="BA291" t="s">
        <v>352</v>
      </c>
      <c r="BB291" t="s">
        <v>228</v>
      </c>
      <c r="BC291" t="s">
        <v>229</v>
      </c>
      <c r="BD291" t="s">
        <v>52</v>
      </c>
      <c r="BI291" t="s">
        <v>233</v>
      </c>
      <c r="BJ291" t="s">
        <v>0</v>
      </c>
      <c r="BK291">
        <v>42450052</v>
      </c>
      <c r="BN291" t="s">
        <v>45</v>
      </c>
      <c r="BR291">
        <v>-3207</v>
      </c>
      <c r="BS291">
        <v>42450114</v>
      </c>
      <c r="BT291" s="73">
        <v>45372.312569444446</v>
      </c>
      <c r="BU291" t="s">
        <v>226</v>
      </c>
      <c r="BV291" t="s">
        <v>352</v>
      </c>
      <c r="BW291" t="s">
        <v>228</v>
      </c>
      <c r="CH291" t="s">
        <v>229</v>
      </c>
      <c r="CI291" t="s">
        <v>52</v>
      </c>
      <c r="CJ291" t="s">
        <v>226</v>
      </c>
      <c r="CK291" t="s">
        <v>352</v>
      </c>
      <c r="CL291" t="s">
        <v>228</v>
      </c>
      <c r="CM291" t="s">
        <v>234</v>
      </c>
      <c r="CN291" t="s">
        <v>45</v>
      </c>
      <c r="CO291">
        <v>-3207</v>
      </c>
      <c r="CP291">
        <v>42450114</v>
      </c>
      <c r="CQ291" s="73">
        <v>45372.312569444446</v>
      </c>
      <c r="CR291" t="s">
        <v>229</v>
      </c>
      <c r="CS291" t="s">
        <v>52</v>
      </c>
      <c r="CU291" t="s">
        <v>225</v>
      </c>
    </row>
    <row r="292" spans="1:99">
      <c r="A292" t="s">
        <v>101</v>
      </c>
      <c r="B292" t="s">
        <v>98</v>
      </c>
      <c r="J292" t="s">
        <v>225</v>
      </c>
      <c r="K292" t="s">
        <v>225</v>
      </c>
      <c r="M292" s="73">
        <v>45372.312569444446</v>
      </c>
      <c r="N292">
        <v>42450113</v>
      </c>
      <c r="O292">
        <v>-159.94999999999999</v>
      </c>
      <c r="P292" t="s">
        <v>73</v>
      </c>
      <c r="Q292">
        <v>-159.94999999999999</v>
      </c>
      <c r="R292" t="s">
        <v>73</v>
      </c>
      <c r="U292" t="s">
        <v>226</v>
      </c>
      <c r="V292" t="s">
        <v>352</v>
      </c>
      <c r="W292" t="s">
        <v>228</v>
      </c>
      <c r="X292" t="s">
        <v>229</v>
      </c>
      <c r="Y292" t="s">
        <v>101</v>
      </c>
      <c r="AD292" t="s">
        <v>73</v>
      </c>
      <c r="AE292">
        <v>-159.94999999999999</v>
      </c>
      <c r="AF292">
        <v>42450113</v>
      </c>
      <c r="AG292" s="73">
        <v>45372.312569444446</v>
      </c>
      <c r="AH292" t="s">
        <v>226</v>
      </c>
      <c r="AI292" t="s">
        <v>352</v>
      </c>
      <c r="AJ292" t="s">
        <v>228</v>
      </c>
      <c r="AK292" t="s">
        <v>229</v>
      </c>
      <c r="AL292" t="s">
        <v>101</v>
      </c>
      <c r="AP292" t="s">
        <v>230</v>
      </c>
      <c r="AQ292" t="s">
        <v>231</v>
      </c>
      <c r="AT292" t="s">
        <v>232</v>
      </c>
      <c r="AU292">
        <v>-99</v>
      </c>
      <c r="AV292" t="s">
        <v>73</v>
      </c>
      <c r="AW292">
        <v>-159.94999999999999</v>
      </c>
      <c r="AX292">
        <v>42450113</v>
      </c>
      <c r="AY292" s="73">
        <v>45372.312569444446</v>
      </c>
      <c r="AZ292" t="s">
        <v>226</v>
      </c>
      <c r="BA292" t="s">
        <v>352</v>
      </c>
      <c r="BB292" t="s">
        <v>228</v>
      </c>
      <c r="BC292" t="s">
        <v>229</v>
      </c>
      <c r="BD292" t="s">
        <v>101</v>
      </c>
      <c r="BI292" t="s">
        <v>233</v>
      </c>
      <c r="BJ292" t="s">
        <v>0</v>
      </c>
      <c r="BK292">
        <v>42450052</v>
      </c>
      <c r="BN292" t="s">
        <v>73</v>
      </c>
      <c r="BR292">
        <v>-159.94999999999999</v>
      </c>
      <c r="BS292">
        <v>42450113</v>
      </c>
      <c r="BT292" s="73">
        <v>45372.312569444446</v>
      </c>
      <c r="BU292" t="s">
        <v>226</v>
      </c>
      <c r="BV292" t="s">
        <v>352</v>
      </c>
      <c r="BW292" t="s">
        <v>228</v>
      </c>
      <c r="CH292" t="s">
        <v>229</v>
      </c>
      <c r="CI292" t="s">
        <v>101</v>
      </c>
      <c r="CJ292" t="s">
        <v>226</v>
      </c>
      <c r="CK292" t="s">
        <v>352</v>
      </c>
      <c r="CL292" t="s">
        <v>228</v>
      </c>
      <c r="CM292" t="s">
        <v>234</v>
      </c>
      <c r="CN292" t="s">
        <v>73</v>
      </c>
      <c r="CO292">
        <v>-159.94999999999999</v>
      </c>
      <c r="CP292">
        <v>42450113</v>
      </c>
      <c r="CQ292" s="73">
        <v>45372.312569444446</v>
      </c>
      <c r="CR292" t="s">
        <v>229</v>
      </c>
      <c r="CS292" t="s">
        <v>101</v>
      </c>
      <c r="CU292" t="s">
        <v>225</v>
      </c>
    </row>
    <row r="293" spans="1:99">
      <c r="A293" t="s">
        <v>107</v>
      </c>
      <c r="B293" t="s">
        <v>98</v>
      </c>
      <c r="J293" t="s">
        <v>225</v>
      </c>
      <c r="K293" t="s">
        <v>225</v>
      </c>
      <c r="M293" s="73">
        <v>45372.312569444446</v>
      </c>
      <c r="N293">
        <v>42450112</v>
      </c>
      <c r="O293">
        <v>3199</v>
      </c>
      <c r="P293" t="s">
        <v>104</v>
      </c>
      <c r="Q293">
        <v>3199</v>
      </c>
      <c r="R293" t="s">
        <v>104</v>
      </c>
      <c r="S293">
        <v>159.94999999999999</v>
      </c>
      <c r="T293" t="s">
        <v>73</v>
      </c>
      <c r="U293" t="s">
        <v>226</v>
      </c>
      <c r="V293" t="s">
        <v>352</v>
      </c>
      <c r="W293" t="s">
        <v>235</v>
      </c>
      <c r="X293" t="s">
        <v>229</v>
      </c>
      <c r="Y293" t="s">
        <v>107</v>
      </c>
      <c r="AD293" t="s">
        <v>104</v>
      </c>
      <c r="AE293">
        <v>3199</v>
      </c>
      <c r="AF293">
        <v>42450112</v>
      </c>
      <c r="AG293" s="73">
        <v>45372.312569444446</v>
      </c>
      <c r="AH293" t="s">
        <v>226</v>
      </c>
      <c r="AI293" t="s">
        <v>352</v>
      </c>
      <c r="AJ293" t="s">
        <v>235</v>
      </c>
      <c r="AK293" t="s">
        <v>229</v>
      </c>
      <c r="AL293" t="s">
        <v>107</v>
      </c>
      <c r="AP293" t="s">
        <v>230</v>
      </c>
      <c r="AQ293" t="s">
        <v>231</v>
      </c>
      <c r="AT293" t="s">
        <v>232</v>
      </c>
      <c r="AU293">
        <v>-99</v>
      </c>
      <c r="AV293" t="s">
        <v>104</v>
      </c>
      <c r="AW293">
        <v>3199</v>
      </c>
      <c r="AX293">
        <v>42450112</v>
      </c>
      <c r="AY293" s="73">
        <v>45372.312569444446</v>
      </c>
      <c r="AZ293" t="s">
        <v>226</v>
      </c>
      <c r="BA293" t="s">
        <v>352</v>
      </c>
      <c r="BB293" t="s">
        <v>235</v>
      </c>
      <c r="BC293" t="s">
        <v>229</v>
      </c>
      <c r="BD293" t="s">
        <v>107</v>
      </c>
      <c r="BI293" t="s">
        <v>233</v>
      </c>
      <c r="BJ293" t="s">
        <v>0</v>
      </c>
      <c r="BK293">
        <v>42450052</v>
      </c>
      <c r="BN293" t="s">
        <v>104</v>
      </c>
      <c r="BO293">
        <v>42450091</v>
      </c>
      <c r="BR293">
        <v>3199</v>
      </c>
      <c r="BS293">
        <v>42450112</v>
      </c>
      <c r="BT293" s="73">
        <v>45372.312569444446</v>
      </c>
      <c r="BU293" t="s">
        <v>226</v>
      </c>
      <c r="BV293" t="s">
        <v>352</v>
      </c>
      <c r="BW293" t="s">
        <v>235</v>
      </c>
      <c r="CH293" t="s">
        <v>229</v>
      </c>
      <c r="CI293" t="s">
        <v>107</v>
      </c>
      <c r="CJ293" t="s">
        <v>226</v>
      </c>
      <c r="CK293" t="s">
        <v>352</v>
      </c>
      <c r="CL293" t="s">
        <v>235</v>
      </c>
      <c r="CM293" t="s">
        <v>236</v>
      </c>
      <c r="CN293" t="s">
        <v>104</v>
      </c>
      <c r="CO293">
        <v>3199</v>
      </c>
      <c r="CP293">
        <v>42450112</v>
      </c>
      <c r="CQ293" s="73">
        <v>45372.312569444446</v>
      </c>
      <c r="CR293" t="s">
        <v>229</v>
      </c>
      <c r="CS293" t="s">
        <v>107</v>
      </c>
      <c r="CU293" t="s">
        <v>225</v>
      </c>
    </row>
    <row r="294" spans="1:99">
      <c r="A294" t="s">
        <v>111</v>
      </c>
      <c r="B294" t="s">
        <v>77</v>
      </c>
      <c r="J294" t="s">
        <v>225</v>
      </c>
      <c r="K294" t="s">
        <v>225</v>
      </c>
      <c r="M294" s="73">
        <v>45372.312569444446</v>
      </c>
      <c r="N294">
        <v>42450111</v>
      </c>
      <c r="O294">
        <v>8</v>
      </c>
      <c r="P294" t="s">
        <v>45</v>
      </c>
      <c r="Q294">
        <v>8</v>
      </c>
      <c r="R294" t="s">
        <v>45</v>
      </c>
      <c r="U294" t="s">
        <v>226</v>
      </c>
      <c r="V294" t="s">
        <v>352</v>
      </c>
      <c r="W294" t="s">
        <v>237</v>
      </c>
      <c r="X294" t="s">
        <v>229</v>
      </c>
      <c r="Y294" t="s">
        <v>111</v>
      </c>
      <c r="AD294" t="s">
        <v>45</v>
      </c>
      <c r="AE294">
        <v>8</v>
      </c>
      <c r="AF294">
        <v>42450111</v>
      </c>
      <c r="AG294" s="73">
        <v>45372.312569444446</v>
      </c>
      <c r="AH294" t="s">
        <v>226</v>
      </c>
      <c r="AI294" t="s">
        <v>352</v>
      </c>
      <c r="AJ294" t="s">
        <v>237</v>
      </c>
      <c r="AK294" t="s">
        <v>229</v>
      </c>
      <c r="AL294" t="s">
        <v>111</v>
      </c>
      <c r="AP294" t="s">
        <v>230</v>
      </c>
      <c r="AQ294" t="s">
        <v>231</v>
      </c>
      <c r="AT294" t="s">
        <v>232</v>
      </c>
      <c r="AU294">
        <v>-99</v>
      </c>
      <c r="AV294" t="s">
        <v>45</v>
      </c>
      <c r="AW294">
        <v>8</v>
      </c>
      <c r="AX294">
        <v>42450111</v>
      </c>
      <c r="AY294" s="73">
        <v>45372.312569444446</v>
      </c>
      <c r="AZ294" t="s">
        <v>226</v>
      </c>
      <c r="BA294" t="s">
        <v>352</v>
      </c>
      <c r="BB294" t="s">
        <v>237</v>
      </c>
      <c r="BC294" t="s">
        <v>229</v>
      </c>
      <c r="BD294" t="s">
        <v>111</v>
      </c>
      <c r="BI294" t="s">
        <v>233</v>
      </c>
      <c r="BJ294" t="s">
        <v>0</v>
      </c>
      <c r="BK294">
        <v>42450052</v>
      </c>
      <c r="BN294" t="s">
        <v>45</v>
      </c>
      <c r="BO294">
        <v>42450093</v>
      </c>
      <c r="BR294">
        <v>8</v>
      </c>
      <c r="BS294">
        <v>42450111</v>
      </c>
      <c r="BT294" s="73">
        <v>45372.312569444446</v>
      </c>
      <c r="BU294" t="s">
        <v>226</v>
      </c>
      <c r="BV294" t="s">
        <v>352</v>
      </c>
      <c r="BW294" t="s">
        <v>237</v>
      </c>
      <c r="CH294" t="s">
        <v>229</v>
      </c>
      <c r="CI294" t="s">
        <v>111</v>
      </c>
      <c r="CJ294" t="s">
        <v>226</v>
      </c>
      <c r="CK294" t="s">
        <v>352</v>
      </c>
      <c r="CL294" t="s">
        <v>237</v>
      </c>
      <c r="CM294" t="s">
        <v>236</v>
      </c>
      <c r="CN294" t="s">
        <v>45</v>
      </c>
      <c r="CO294">
        <v>8</v>
      </c>
      <c r="CP294">
        <v>42450111</v>
      </c>
      <c r="CQ294" s="73">
        <v>45372.312569444446</v>
      </c>
      <c r="CR294" t="s">
        <v>229</v>
      </c>
      <c r="CS294" t="s">
        <v>111</v>
      </c>
      <c r="CU294" t="s">
        <v>225</v>
      </c>
    </row>
    <row r="295" spans="1:99">
      <c r="A295" t="s">
        <v>46</v>
      </c>
      <c r="B295" t="s">
        <v>92</v>
      </c>
      <c r="J295" t="s">
        <v>225</v>
      </c>
      <c r="K295" t="s">
        <v>225</v>
      </c>
      <c r="M295" s="73">
        <v>45372.310208333336</v>
      </c>
      <c r="N295">
        <v>42450000</v>
      </c>
      <c r="O295">
        <v>-986</v>
      </c>
      <c r="P295" t="s">
        <v>45</v>
      </c>
      <c r="Q295">
        <v>-986</v>
      </c>
      <c r="R295" t="s">
        <v>45</v>
      </c>
      <c r="U295" t="s">
        <v>226</v>
      </c>
      <c r="V295" t="s">
        <v>353</v>
      </c>
      <c r="W295" t="s">
        <v>228</v>
      </c>
      <c r="X295" t="s">
        <v>229</v>
      </c>
      <c r="Y295" t="s">
        <v>46</v>
      </c>
      <c r="AD295" t="s">
        <v>45</v>
      </c>
      <c r="AE295">
        <v>-986</v>
      </c>
      <c r="AF295">
        <v>42450000</v>
      </c>
      <c r="AG295" s="73">
        <v>45372.310208333336</v>
      </c>
      <c r="AH295" t="s">
        <v>226</v>
      </c>
      <c r="AI295" t="s">
        <v>353</v>
      </c>
      <c r="AJ295" t="s">
        <v>228</v>
      </c>
      <c r="AK295" t="s">
        <v>229</v>
      </c>
      <c r="AL295" t="s">
        <v>46</v>
      </c>
      <c r="AP295" t="s">
        <v>230</v>
      </c>
      <c r="AQ295" t="s">
        <v>231</v>
      </c>
      <c r="AT295" t="s">
        <v>232</v>
      </c>
      <c r="AU295">
        <v>-99</v>
      </c>
      <c r="AV295" t="s">
        <v>45</v>
      </c>
      <c r="AW295">
        <v>-986</v>
      </c>
      <c r="AX295">
        <v>42450000</v>
      </c>
      <c r="AY295" s="73">
        <v>45372.310208333336</v>
      </c>
      <c r="AZ295" t="s">
        <v>226</v>
      </c>
      <c r="BA295" t="s">
        <v>353</v>
      </c>
      <c r="BB295" t="s">
        <v>228</v>
      </c>
      <c r="BC295" t="s">
        <v>229</v>
      </c>
      <c r="BD295" t="s">
        <v>46</v>
      </c>
      <c r="BI295" t="s">
        <v>233</v>
      </c>
      <c r="BJ295" t="s">
        <v>0</v>
      </c>
      <c r="BK295">
        <v>42449959</v>
      </c>
      <c r="BN295" t="s">
        <v>45</v>
      </c>
      <c r="BR295">
        <v>-986</v>
      </c>
      <c r="BS295">
        <v>42450000</v>
      </c>
      <c r="BT295" s="73">
        <v>45372.310208333336</v>
      </c>
      <c r="BU295" t="s">
        <v>226</v>
      </c>
      <c r="BV295" t="s">
        <v>353</v>
      </c>
      <c r="BW295" t="s">
        <v>228</v>
      </c>
      <c r="CH295" t="s">
        <v>229</v>
      </c>
      <c r="CI295" t="s">
        <v>46</v>
      </c>
      <c r="CJ295" t="s">
        <v>226</v>
      </c>
      <c r="CK295" t="s">
        <v>353</v>
      </c>
      <c r="CL295" t="s">
        <v>228</v>
      </c>
      <c r="CM295" t="s">
        <v>234</v>
      </c>
      <c r="CN295" t="s">
        <v>45</v>
      </c>
      <c r="CO295">
        <v>-986</v>
      </c>
      <c r="CP295">
        <v>42450000</v>
      </c>
      <c r="CQ295" s="73">
        <v>45372.310208333336</v>
      </c>
      <c r="CR295" t="s">
        <v>229</v>
      </c>
      <c r="CS295" t="s">
        <v>46</v>
      </c>
      <c r="CU295" t="s">
        <v>225</v>
      </c>
    </row>
    <row r="296" spans="1:99">
      <c r="A296" t="s">
        <v>93</v>
      </c>
      <c r="B296" t="s">
        <v>98</v>
      </c>
      <c r="J296" t="s">
        <v>225</v>
      </c>
      <c r="K296" t="s">
        <v>225</v>
      </c>
      <c r="M296" s="73">
        <v>45372.310208333336</v>
      </c>
      <c r="N296">
        <v>42449999</v>
      </c>
      <c r="O296">
        <v>-49.25</v>
      </c>
      <c r="P296" t="s">
        <v>73</v>
      </c>
      <c r="Q296">
        <v>-49.25</v>
      </c>
      <c r="R296" t="s">
        <v>73</v>
      </c>
      <c r="U296" t="s">
        <v>226</v>
      </c>
      <c r="V296" t="s">
        <v>353</v>
      </c>
      <c r="W296" t="s">
        <v>228</v>
      </c>
      <c r="X296" t="s">
        <v>229</v>
      </c>
      <c r="Y296" t="s">
        <v>93</v>
      </c>
      <c r="AD296" t="s">
        <v>73</v>
      </c>
      <c r="AE296">
        <v>-49.25</v>
      </c>
      <c r="AF296">
        <v>42449999</v>
      </c>
      <c r="AG296" s="73">
        <v>45372.310208333336</v>
      </c>
      <c r="AH296" t="s">
        <v>226</v>
      </c>
      <c r="AI296" t="s">
        <v>353</v>
      </c>
      <c r="AJ296" t="s">
        <v>228</v>
      </c>
      <c r="AK296" t="s">
        <v>229</v>
      </c>
      <c r="AL296" t="s">
        <v>93</v>
      </c>
      <c r="AP296" t="s">
        <v>230</v>
      </c>
      <c r="AQ296" t="s">
        <v>231</v>
      </c>
      <c r="AT296" t="s">
        <v>232</v>
      </c>
      <c r="AU296">
        <v>-99</v>
      </c>
      <c r="AV296" t="s">
        <v>73</v>
      </c>
      <c r="AW296">
        <v>-49.25</v>
      </c>
      <c r="AX296">
        <v>42449999</v>
      </c>
      <c r="AY296" s="73">
        <v>45372.310208333336</v>
      </c>
      <c r="AZ296" t="s">
        <v>226</v>
      </c>
      <c r="BA296" t="s">
        <v>353</v>
      </c>
      <c r="BB296" t="s">
        <v>228</v>
      </c>
      <c r="BC296" t="s">
        <v>229</v>
      </c>
      <c r="BD296" t="s">
        <v>93</v>
      </c>
      <c r="BI296" t="s">
        <v>233</v>
      </c>
      <c r="BJ296" t="s">
        <v>0</v>
      </c>
      <c r="BK296">
        <v>42449959</v>
      </c>
      <c r="BN296" t="s">
        <v>73</v>
      </c>
      <c r="BR296">
        <v>-49.25</v>
      </c>
      <c r="BS296">
        <v>42449999</v>
      </c>
      <c r="BT296" s="73">
        <v>45372.310208333336</v>
      </c>
      <c r="BU296" t="s">
        <v>226</v>
      </c>
      <c r="BV296" t="s">
        <v>353</v>
      </c>
      <c r="BW296" t="s">
        <v>228</v>
      </c>
      <c r="CH296" t="s">
        <v>229</v>
      </c>
      <c r="CI296" t="s">
        <v>93</v>
      </c>
      <c r="CJ296" t="s">
        <v>226</v>
      </c>
      <c r="CK296" t="s">
        <v>353</v>
      </c>
      <c r="CL296" t="s">
        <v>228</v>
      </c>
      <c r="CM296" t="s">
        <v>234</v>
      </c>
      <c r="CN296" t="s">
        <v>73</v>
      </c>
      <c r="CO296">
        <v>-49.25</v>
      </c>
      <c r="CP296">
        <v>42449999</v>
      </c>
      <c r="CQ296" s="73">
        <v>45372.310208333336</v>
      </c>
      <c r="CR296" t="s">
        <v>229</v>
      </c>
      <c r="CS296" t="s">
        <v>93</v>
      </c>
      <c r="CU296" t="s">
        <v>225</v>
      </c>
    </row>
    <row r="297" spans="1:99">
      <c r="A297" t="s">
        <v>108</v>
      </c>
      <c r="B297" t="s">
        <v>98</v>
      </c>
      <c r="J297" t="s">
        <v>225</v>
      </c>
      <c r="K297" t="s">
        <v>225</v>
      </c>
      <c r="M297" s="73">
        <v>45372.310208333336</v>
      </c>
      <c r="N297">
        <v>42449998</v>
      </c>
      <c r="O297">
        <v>985</v>
      </c>
      <c r="P297" t="s">
        <v>104</v>
      </c>
      <c r="Q297">
        <v>985</v>
      </c>
      <c r="R297" t="s">
        <v>104</v>
      </c>
      <c r="S297">
        <v>49.25</v>
      </c>
      <c r="T297" t="s">
        <v>73</v>
      </c>
      <c r="U297" t="s">
        <v>226</v>
      </c>
      <c r="V297" t="s">
        <v>353</v>
      </c>
      <c r="W297" t="s">
        <v>235</v>
      </c>
      <c r="X297" t="s">
        <v>229</v>
      </c>
      <c r="Y297" t="s">
        <v>108</v>
      </c>
      <c r="AD297" t="s">
        <v>104</v>
      </c>
      <c r="AE297">
        <v>985</v>
      </c>
      <c r="AF297">
        <v>42449998</v>
      </c>
      <c r="AG297" s="73">
        <v>45372.310208333336</v>
      </c>
      <c r="AH297" t="s">
        <v>226</v>
      </c>
      <c r="AI297" t="s">
        <v>353</v>
      </c>
      <c r="AJ297" t="s">
        <v>235</v>
      </c>
      <c r="AK297" t="s">
        <v>229</v>
      </c>
      <c r="AL297" t="s">
        <v>108</v>
      </c>
      <c r="AP297" t="s">
        <v>230</v>
      </c>
      <c r="AQ297" t="s">
        <v>231</v>
      </c>
      <c r="AT297" t="s">
        <v>232</v>
      </c>
      <c r="AU297">
        <v>-99</v>
      </c>
      <c r="AV297" t="s">
        <v>104</v>
      </c>
      <c r="AW297">
        <v>985</v>
      </c>
      <c r="AX297">
        <v>42449998</v>
      </c>
      <c r="AY297" s="73">
        <v>45372.310208333336</v>
      </c>
      <c r="AZ297" t="s">
        <v>226</v>
      </c>
      <c r="BA297" t="s">
        <v>353</v>
      </c>
      <c r="BB297" t="s">
        <v>235</v>
      </c>
      <c r="BC297" t="s">
        <v>229</v>
      </c>
      <c r="BD297" t="s">
        <v>108</v>
      </c>
      <c r="BI297" t="s">
        <v>233</v>
      </c>
      <c r="BJ297" t="s">
        <v>0</v>
      </c>
      <c r="BK297">
        <v>42449959</v>
      </c>
      <c r="BN297" t="s">
        <v>104</v>
      </c>
      <c r="BO297">
        <v>42449985</v>
      </c>
      <c r="BR297">
        <v>985</v>
      </c>
      <c r="BS297">
        <v>42449998</v>
      </c>
      <c r="BT297" s="73">
        <v>45372.310208333336</v>
      </c>
      <c r="BU297" t="s">
        <v>226</v>
      </c>
      <c r="BV297" t="s">
        <v>353</v>
      </c>
      <c r="BW297" t="s">
        <v>235</v>
      </c>
      <c r="CH297" t="s">
        <v>229</v>
      </c>
      <c r="CI297" t="s">
        <v>108</v>
      </c>
      <c r="CJ297" t="s">
        <v>226</v>
      </c>
      <c r="CK297" t="s">
        <v>353</v>
      </c>
      <c r="CL297" t="s">
        <v>235</v>
      </c>
      <c r="CM297" t="s">
        <v>236</v>
      </c>
      <c r="CN297" t="s">
        <v>104</v>
      </c>
      <c r="CO297">
        <v>985</v>
      </c>
      <c r="CP297">
        <v>42449998</v>
      </c>
      <c r="CQ297" s="73">
        <v>45372.310208333336</v>
      </c>
      <c r="CR297" t="s">
        <v>229</v>
      </c>
      <c r="CS297" t="s">
        <v>108</v>
      </c>
      <c r="CU297" t="s">
        <v>225</v>
      </c>
    </row>
    <row r="298" spans="1:99">
      <c r="A298" t="s">
        <v>111</v>
      </c>
      <c r="B298" t="s">
        <v>77</v>
      </c>
      <c r="J298" t="s">
        <v>225</v>
      </c>
      <c r="K298" t="s">
        <v>225</v>
      </c>
      <c r="M298" s="73">
        <v>45372.310208333336</v>
      </c>
      <c r="N298">
        <v>42449997</v>
      </c>
      <c r="O298">
        <v>1</v>
      </c>
      <c r="P298" t="s">
        <v>45</v>
      </c>
      <c r="Q298">
        <v>1</v>
      </c>
      <c r="R298" t="s">
        <v>45</v>
      </c>
      <c r="U298" t="s">
        <v>226</v>
      </c>
      <c r="V298" t="s">
        <v>353</v>
      </c>
      <c r="W298" t="s">
        <v>237</v>
      </c>
      <c r="X298" t="s">
        <v>229</v>
      </c>
      <c r="Y298" t="s">
        <v>111</v>
      </c>
      <c r="AD298" t="s">
        <v>45</v>
      </c>
      <c r="AE298">
        <v>1</v>
      </c>
      <c r="AF298">
        <v>42449997</v>
      </c>
      <c r="AG298" s="73">
        <v>45372.310208333336</v>
      </c>
      <c r="AH298" t="s">
        <v>226</v>
      </c>
      <c r="AI298" t="s">
        <v>353</v>
      </c>
      <c r="AJ298" t="s">
        <v>237</v>
      </c>
      <c r="AK298" t="s">
        <v>229</v>
      </c>
      <c r="AL298" t="s">
        <v>111</v>
      </c>
      <c r="AP298" t="s">
        <v>230</v>
      </c>
      <c r="AQ298" t="s">
        <v>231</v>
      </c>
      <c r="AT298" t="s">
        <v>232</v>
      </c>
      <c r="AU298">
        <v>-99</v>
      </c>
      <c r="AV298" t="s">
        <v>45</v>
      </c>
      <c r="AW298">
        <v>1</v>
      </c>
      <c r="AX298">
        <v>42449997</v>
      </c>
      <c r="AY298" s="73">
        <v>45372.310208333336</v>
      </c>
      <c r="AZ298" t="s">
        <v>226</v>
      </c>
      <c r="BA298" t="s">
        <v>353</v>
      </c>
      <c r="BB298" t="s">
        <v>237</v>
      </c>
      <c r="BC298" t="s">
        <v>229</v>
      </c>
      <c r="BD298" t="s">
        <v>111</v>
      </c>
      <c r="BI298" t="s">
        <v>233</v>
      </c>
      <c r="BJ298" t="s">
        <v>0</v>
      </c>
      <c r="BK298">
        <v>42449959</v>
      </c>
      <c r="BN298" t="s">
        <v>45</v>
      </c>
      <c r="BO298">
        <v>42449987</v>
      </c>
      <c r="BR298">
        <v>1</v>
      </c>
      <c r="BS298">
        <v>42449997</v>
      </c>
      <c r="BT298" s="73">
        <v>45372.310208333336</v>
      </c>
      <c r="BU298" t="s">
        <v>226</v>
      </c>
      <c r="BV298" t="s">
        <v>353</v>
      </c>
      <c r="BW298" t="s">
        <v>237</v>
      </c>
      <c r="CH298" t="s">
        <v>229</v>
      </c>
      <c r="CI298" t="s">
        <v>111</v>
      </c>
      <c r="CJ298" t="s">
        <v>226</v>
      </c>
      <c r="CK298" t="s">
        <v>353</v>
      </c>
      <c r="CL298" t="s">
        <v>237</v>
      </c>
      <c r="CM298" t="s">
        <v>236</v>
      </c>
      <c r="CN298" t="s">
        <v>45</v>
      </c>
      <c r="CO298">
        <v>1</v>
      </c>
      <c r="CP298">
        <v>42449997</v>
      </c>
      <c r="CQ298" s="73">
        <v>45372.310208333336</v>
      </c>
      <c r="CR298" t="s">
        <v>229</v>
      </c>
      <c r="CS298" t="s">
        <v>111</v>
      </c>
      <c r="CU298" t="s">
        <v>225</v>
      </c>
    </row>
    <row r="299" spans="1:99">
      <c r="A299" t="s">
        <v>42</v>
      </c>
      <c r="B299" t="s">
        <v>92</v>
      </c>
      <c r="J299" t="s">
        <v>225</v>
      </c>
      <c r="K299" t="s">
        <v>225</v>
      </c>
      <c r="M299" s="73">
        <v>45372.305983796294</v>
      </c>
      <c r="N299">
        <v>42449922</v>
      </c>
      <c r="O299">
        <v>-8141</v>
      </c>
      <c r="P299" t="s">
        <v>45</v>
      </c>
      <c r="Q299">
        <v>-8141</v>
      </c>
      <c r="R299" t="s">
        <v>45</v>
      </c>
      <c r="U299" t="s">
        <v>226</v>
      </c>
      <c r="V299" t="s">
        <v>354</v>
      </c>
      <c r="W299" t="s">
        <v>228</v>
      </c>
      <c r="X299" t="s">
        <v>229</v>
      </c>
      <c r="Y299" t="s">
        <v>42</v>
      </c>
      <c r="AD299" t="s">
        <v>45</v>
      </c>
      <c r="AE299">
        <v>-8141</v>
      </c>
      <c r="AF299">
        <v>42449922</v>
      </c>
      <c r="AG299" s="73">
        <v>45372.305983796294</v>
      </c>
      <c r="AH299" t="s">
        <v>226</v>
      </c>
      <c r="AI299" t="s">
        <v>354</v>
      </c>
      <c r="AJ299" t="s">
        <v>228</v>
      </c>
      <c r="AK299" t="s">
        <v>229</v>
      </c>
      <c r="AL299" t="s">
        <v>42</v>
      </c>
      <c r="AP299" t="s">
        <v>230</v>
      </c>
      <c r="AQ299" t="s">
        <v>231</v>
      </c>
      <c r="AT299" t="s">
        <v>232</v>
      </c>
      <c r="AU299">
        <v>-99</v>
      </c>
      <c r="AV299" t="s">
        <v>45</v>
      </c>
      <c r="AW299">
        <v>-8141</v>
      </c>
      <c r="AX299">
        <v>42449922</v>
      </c>
      <c r="AY299" s="73">
        <v>45372.305983796294</v>
      </c>
      <c r="AZ299" t="s">
        <v>226</v>
      </c>
      <c r="BA299" t="s">
        <v>354</v>
      </c>
      <c r="BB299" t="s">
        <v>228</v>
      </c>
      <c r="BC299" t="s">
        <v>229</v>
      </c>
      <c r="BD299" t="s">
        <v>42</v>
      </c>
      <c r="BI299" t="s">
        <v>233</v>
      </c>
      <c r="BJ299" t="s">
        <v>0</v>
      </c>
      <c r="BK299">
        <v>42449887</v>
      </c>
      <c r="BN299" t="s">
        <v>45</v>
      </c>
      <c r="BR299">
        <v>-8141</v>
      </c>
      <c r="BS299">
        <v>42449922</v>
      </c>
      <c r="BT299" s="73">
        <v>45372.305983796294</v>
      </c>
      <c r="BU299" t="s">
        <v>226</v>
      </c>
      <c r="BV299" t="s">
        <v>354</v>
      </c>
      <c r="BW299" t="s">
        <v>228</v>
      </c>
      <c r="CH299" t="s">
        <v>229</v>
      </c>
      <c r="CI299" t="s">
        <v>42</v>
      </c>
      <c r="CJ299" t="s">
        <v>226</v>
      </c>
      <c r="CK299" t="s">
        <v>354</v>
      </c>
      <c r="CL299" t="s">
        <v>228</v>
      </c>
      <c r="CM299" t="s">
        <v>234</v>
      </c>
      <c r="CN299" t="s">
        <v>45</v>
      </c>
      <c r="CO299">
        <v>-8141</v>
      </c>
      <c r="CP299">
        <v>42449922</v>
      </c>
      <c r="CQ299" s="73">
        <v>45372.305983796294</v>
      </c>
      <c r="CR299" t="s">
        <v>229</v>
      </c>
      <c r="CS299" t="s">
        <v>42</v>
      </c>
      <c r="CU299" t="s">
        <v>225</v>
      </c>
    </row>
    <row r="300" spans="1:99">
      <c r="A300" t="s">
        <v>99</v>
      </c>
      <c r="B300" t="s">
        <v>98</v>
      </c>
      <c r="J300" t="s">
        <v>225</v>
      </c>
      <c r="K300" t="s">
        <v>225</v>
      </c>
      <c r="M300" s="73">
        <v>45372.305983796294</v>
      </c>
      <c r="N300">
        <v>42449921</v>
      </c>
      <c r="O300">
        <v>-406.3</v>
      </c>
      <c r="P300" t="s">
        <v>73</v>
      </c>
      <c r="Q300">
        <v>-406.3</v>
      </c>
      <c r="R300" t="s">
        <v>73</v>
      </c>
      <c r="U300" t="s">
        <v>226</v>
      </c>
      <c r="V300" t="s">
        <v>354</v>
      </c>
      <c r="W300" t="s">
        <v>228</v>
      </c>
      <c r="X300" t="s">
        <v>229</v>
      </c>
      <c r="Y300" t="s">
        <v>99</v>
      </c>
      <c r="AD300" t="s">
        <v>73</v>
      </c>
      <c r="AE300">
        <v>-406.3</v>
      </c>
      <c r="AF300">
        <v>42449921</v>
      </c>
      <c r="AG300" s="73">
        <v>45372.305983796294</v>
      </c>
      <c r="AH300" t="s">
        <v>226</v>
      </c>
      <c r="AI300" t="s">
        <v>354</v>
      </c>
      <c r="AJ300" t="s">
        <v>228</v>
      </c>
      <c r="AK300" t="s">
        <v>229</v>
      </c>
      <c r="AL300" t="s">
        <v>99</v>
      </c>
      <c r="AP300" t="s">
        <v>230</v>
      </c>
      <c r="AQ300" t="s">
        <v>231</v>
      </c>
      <c r="AT300" t="s">
        <v>232</v>
      </c>
      <c r="AU300">
        <v>-99</v>
      </c>
      <c r="AV300" t="s">
        <v>73</v>
      </c>
      <c r="AW300">
        <v>-406.3</v>
      </c>
      <c r="AX300">
        <v>42449921</v>
      </c>
      <c r="AY300" s="73">
        <v>45372.305983796294</v>
      </c>
      <c r="AZ300" t="s">
        <v>226</v>
      </c>
      <c r="BA300" t="s">
        <v>354</v>
      </c>
      <c r="BB300" t="s">
        <v>228</v>
      </c>
      <c r="BC300" t="s">
        <v>229</v>
      </c>
      <c r="BD300" t="s">
        <v>99</v>
      </c>
      <c r="BI300" t="s">
        <v>233</v>
      </c>
      <c r="BJ300" t="s">
        <v>0</v>
      </c>
      <c r="BK300">
        <v>42449887</v>
      </c>
      <c r="BN300" t="s">
        <v>73</v>
      </c>
      <c r="BR300">
        <v>-406.3</v>
      </c>
      <c r="BS300">
        <v>42449921</v>
      </c>
      <c r="BT300" s="73">
        <v>45372.305983796294</v>
      </c>
      <c r="BU300" t="s">
        <v>226</v>
      </c>
      <c r="BV300" t="s">
        <v>354</v>
      </c>
      <c r="BW300" t="s">
        <v>228</v>
      </c>
      <c r="CH300" t="s">
        <v>229</v>
      </c>
      <c r="CI300" t="s">
        <v>99</v>
      </c>
      <c r="CJ300" t="s">
        <v>226</v>
      </c>
      <c r="CK300" t="s">
        <v>354</v>
      </c>
      <c r="CL300" t="s">
        <v>228</v>
      </c>
      <c r="CM300" t="s">
        <v>234</v>
      </c>
      <c r="CN300" t="s">
        <v>73</v>
      </c>
      <c r="CO300">
        <v>-406.3</v>
      </c>
      <c r="CP300">
        <v>42449921</v>
      </c>
      <c r="CQ300" s="73">
        <v>45372.305983796294</v>
      </c>
      <c r="CR300" t="s">
        <v>229</v>
      </c>
      <c r="CS300" t="s">
        <v>99</v>
      </c>
      <c r="CU300" t="s">
        <v>225</v>
      </c>
    </row>
    <row r="301" spans="1:99">
      <c r="A301" t="s">
        <v>103</v>
      </c>
      <c r="B301" t="s">
        <v>98</v>
      </c>
      <c r="J301" t="s">
        <v>225</v>
      </c>
      <c r="K301" t="s">
        <v>225</v>
      </c>
      <c r="M301" s="73">
        <v>45372.305983796294</v>
      </c>
      <c r="N301">
        <v>42449920</v>
      </c>
      <c r="O301">
        <v>8126</v>
      </c>
      <c r="P301" t="s">
        <v>104</v>
      </c>
      <c r="Q301">
        <v>8126</v>
      </c>
      <c r="R301" t="s">
        <v>104</v>
      </c>
      <c r="S301">
        <v>406.3</v>
      </c>
      <c r="T301" t="s">
        <v>73</v>
      </c>
      <c r="U301" t="s">
        <v>226</v>
      </c>
      <c r="V301" t="s">
        <v>354</v>
      </c>
      <c r="W301" t="s">
        <v>235</v>
      </c>
      <c r="X301" t="s">
        <v>229</v>
      </c>
      <c r="Y301" t="s">
        <v>103</v>
      </c>
      <c r="AD301" t="s">
        <v>104</v>
      </c>
      <c r="AE301">
        <v>8126</v>
      </c>
      <c r="AF301">
        <v>42449920</v>
      </c>
      <c r="AG301" s="73">
        <v>45372.305983796294</v>
      </c>
      <c r="AH301" t="s">
        <v>226</v>
      </c>
      <c r="AI301" t="s">
        <v>354</v>
      </c>
      <c r="AJ301" t="s">
        <v>235</v>
      </c>
      <c r="AK301" t="s">
        <v>229</v>
      </c>
      <c r="AL301" t="s">
        <v>103</v>
      </c>
      <c r="AP301" t="s">
        <v>230</v>
      </c>
      <c r="AQ301" t="s">
        <v>231</v>
      </c>
      <c r="AT301" t="s">
        <v>232</v>
      </c>
      <c r="AU301">
        <v>-99</v>
      </c>
      <c r="AV301" t="s">
        <v>104</v>
      </c>
      <c r="AW301">
        <v>8126</v>
      </c>
      <c r="AX301">
        <v>42449920</v>
      </c>
      <c r="AY301" s="73">
        <v>45372.305983796294</v>
      </c>
      <c r="AZ301" t="s">
        <v>226</v>
      </c>
      <c r="BA301" t="s">
        <v>354</v>
      </c>
      <c r="BB301" t="s">
        <v>235</v>
      </c>
      <c r="BC301" t="s">
        <v>229</v>
      </c>
      <c r="BD301" t="s">
        <v>103</v>
      </c>
      <c r="BI301" t="s">
        <v>233</v>
      </c>
      <c r="BJ301" t="s">
        <v>0</v>
      </c>
      <c r="BK301">
        <v>42449887</v>
      </c>
      <c r="BN301" t="s">
        <v>104</v>
      </c>
      <c r="BO301">
        <v>42449912</v>
      </c>
      <c r="BR301">
        <v>8126</v>
      </c>
      <c r="BS301">
        <v>42449920</v>
      </c>
      <c r="BT301" s="73">
        <v>45372.305983796294</v>
      </c>
      <c r="BU301" t="s">
        <v>226</v>
      </c>
      <c r="BV301" t="s">
        <v>354</v>
      </c>
      <c r="BW301" t="s">
        <v>235</v>
      </c>
      <c r="CH301" t="s">
        <v>229</v>
      </c>
      <c r="CI301" t="s">
        <v>103</v>
      </c>
      <c r="CJ301" t="s">
        <v>226</v>
      </c>
      <c r="CK301" t="s">
        <v>354</v>
      </c>
      <c r="CL301" t="s">
        <v>235</v>
      </c>
      <c r="CM301" t="s">
        <v>236</v>
      </c>
      <c r="CN301" t="s">
        <v>104</v>
      </c>
      <c r="CO301">
        <v>8126</v>
      </c>
      <c r="CP301">
        <v>42449920</v>
      </c>
      <c r="CQ301" s="73">
        <v>45372.305983796294</v>
      </c>
      <c r="CR301" t="s">
        <v>229</v>
      </c>
      <c r="CS301" t="s">
        <v>103</v>
      </c>
      <c r="CU301" t="s">
        <v>225</v>
      </c>
    </row>
    <row r="302" spans="1:99">
      <c r="A302" t="s">
        <v>111</v>
      </c>
      <c r="B302" t="s">
        <v>77</v>
      </c>
      <c r="J302" t="s">
        <v>225</v>
      </c>
      <c r="K302" t="s">
        <v>225</v>
      </c>
      <c r="M302" s="73">
        <v>45372.305983796294</v>
      </c>
      <c r="N302">
        <v>42449919</v>
      </c>
      <c r="O302">
        <v>15</v>
      </c>
      <c r="P302" t="s">
        <v>45</v>
      </c>
      <c r="Q302">
        <v>15</v>
      </c>
      <c r="R302" t="s">
        <v>45</v>
      </c>
      <c r="U302" t="s">
        <v>226</v>
      </c>
      <c r="V302" t="s">
        <v>354</v>
      </c>
      <c r="W302" t="s">
        <v>237</v>
      </c>
      <c r="X302" t="s">
        <v>229</v>
      </c>
      <c r="Y302" t="s">
        <v>111</v>
      </c>
      <c r="AD302" t="s">
        <v>45</v>
      </c>
      <c r="AE302">
        <v>15</v>
      </c>
      <c r="AF302">
        <v>42449919</v>
      </c>
      <c r="AG302" s="73">
        <v>45372.305983796294</v>
      </c>
      <c r="AH302" t="s">
        <v>226</v>
      </c>
      <c r="AI302" t="s">
        <v>354</v>
      </c>
      <c r="AJ302" t="s">
        <v>237</v>
      </c>
      <c r="AK302" t="s">
        <v>229</v>
      </c>
      <c r="AL302" t="s">
        <v>111</v>
      </c>
      <c r="AP302" t="s">
        <v>230</v>
      </c>
      <c r="AQ302" t="s">
        <v>231</v>
      </c>
      <c r="AT302" t="s">
        <v>232</v>
      </c>
      <c r="AU302">
        <v>-99</v>
      </c>
      <c r="AV302" t="s">
        <v>45</v>
      </c>
      <c r="AW302">
        <v>15</v>
      </c>
      <c r="AX302">
        <v>42449919</v>
      </c>
      <c r="AY302" s="73">
        <v>45372.305983796294</v>
      </c>
      <c r="AZ302" t="s">
        <v>226</v>
      </c>
      <c r="BA302" t="s">
        <v>354</v>
      </c>
      <c r="BB302" t="s">
        <v>237</v>
      </c>
      <c r="BC302" t="s">
        <v>229</v>
      </c>
      <c r="BD302" t="s">
        <v>111</v>
      </c>
      <c r="BI302" t="s">
        <v>233</v>
      </c>
      <c r="BJ302" t="s">
        <v>0</v>
      </c>
      <c r="BK302">
        <v>42449887</v>
      </c>
      <c r="BN302" t="s">
        <v>45</v>
      </c>
      <c r="BO302">
        <v>42449914</v>
      </c>
      <c r="BR302">
        <v>15</v>
      </c>
      <c r="BS302">
        <v>42449919</v>
      </c>
      <c r="BT302" s="73">
        <v>45372.305983796294</v>
      </c>
      <c r="BU302" t="s">
        <v>226</v>
      </c>
      <c r="BV302" t="s">
        <v>354</v>
      </c>
      <c r="BW302" t="s">
        <v>237</v>
      </c>
      <c r="CH302" t="s">
        <v>229</v>
      </c>
      <c r="CI302" t="s">
        <v>111</v>
      </c>
      <c r="CJ302" t="s">
        <v>226</v>
      </c>
      <c r="CK302" t="s">
        <v>354</v>
      </c>
      <c r="CL302" t="s">
        <v>237</v>
      </c>
      <c r="CM302" t="s">
        <v>236</v>
      </c>
      <c r="CN302" t="s">
        <v>45</v>
      </c>
      <c r="CO302">
        <v>15</v>
      </c>
      <c r="CP302">
        <v>42449919</v>
      </c>
      <c r="CQ302" s="73">
        <v>45372.305983796294</v>
      </c>
      <c r="CR302" t="s">
        <v>229</v>
      </c>
      <c r="CS302" t="s">
        <v>111</v>
      </c>
      <c r="CU302" t="s">
        <v>225</v>
      </c>
    </row>
    <row r="303" spans="1:99">
      <c r="A303" t="s">
        <v>42</v>
      </c>
      <c r="B303" t="s">
        <v>92</v>
      </c>
      <c r="J303" t="s">
        <v>225</v>
      </c>
      <c r="K303" t="s">
        <v>225</v>
      </c>
      <c r="M303" s="73">
        <v>45372.304513888892</v>
      </c>
      <c r="N303">
        <v>42449878</v>
      </c>
      <c r="O303">
        <v>-2300</v>
      </c>
      <c r="P303" t="s">
        <v>45</v>
      </c>
      <c r="Q303">
        <v>-2300</v>
      </c>
      <c r="R303" t="s">
        <v>45</v>
      </c>
      <c r="U303" t="s">
        <v>226</v>
      </c>
      <c r="V303" t="s">
        <v>355</v>
      </c>
      <c r="W303" t="s">
        <v>228</v>
      </c>
      <c r="X303" t="s">
        <v>229</v>
      </c>
      <c r="Y303" t="s">
        <v>42</v>
      </c>
      <c r="AD303" t="s">
        <v>45</v>
      </c>
      <c r="AE303">
        <v>-2300</v>
      </c>
      <c r="AF303">
        <v>42449878</v>
      </c>
      <c r="AG303" s="73">
        <v>45372.304513888892</v>
      </c>
      <c r="AH303" t="s">
        <v>226</v>
      </c>
      <c r="AI303" t="s">
        <v>355</v>
      </c>
      <c r="AJ303" t="s">
        <v>228</v>
      </c>
      <c r="AK303" t="s">
        <v>229</v>
      </c>
      <c r="AL303" t="s">
        <v>42</v>
      </c>
      <c r="AP303" t="s">
        <v>230</v>
      </c>
      <c r="AQ303" t="s">
        <v>231</v>
      </c>
      <c r="AT303" t="s">
        <v>232</v>
      </c>
      <c r="AU303">
        <v>-99</v>
      </c>
      <c r="AV303" t="s">
        <v>45</v>
      </c>
      <c r="AW303">
        <v>-2300</v>
      </c>
      <c r="AX303">
        <v>42449878</v>
      </c>
      <c r="AY303" s="73">
        <v>45372.304513888892</v>
      </c>
      <c r="AZ303" t="s">
        <v>226</v>
      </c>
      <c r="BA303" t="s">
        <v>355</v>
      </c>
      <c r="BB303" t="s">
        <v>228</v>
      </c>
      <c r="BC303" t="s">
        <v>229</v>
      </c>
      <c r="BD303" t="s">
        <v>42</v>
      </c>
      <c r="BI303" t="s">
        <v>233</v>
      </c>
      <c r="BJ303" t="s">
        <v>0</v>
      </c>
      <c r="BK303">
        <v>42449866</v>
      </c>
      <c r="BN303" t="s">
        <v>45</v>
      </c>
      <c r="BR303">
        <v>-2300</v>
      </c>
      <c r="BS303">
        <v>42449878</v>
      </c>
      <c r="BT303" s="73">
        <v>45372.304513888892</v>
      </c>
      <c r="BU303" t="s">
        <v>226</v>
      </c>
      <c r="BV303" t="s">
        <v>355</v>
      </c>
      <c r="BW303" t="s">
        <v>228</v>
      </c>
      <c r="CH303" t="s">
        <v>229</v>
      </c>
      <c r="CI303" t="s">
        <v>42</v>
      </c>
      <c r="CJ303" t="s">
        <v>226</v>
      </c>
      <c r="CK303" t="s">
        <v>355</v>
      </c>
      <c r="CL303" t="s">
        <v>228</v>
      </c>
      <c r="CM303" t="s">
        <v>234</v>
      </c>
      <c r="CN303" t="s">
        <v>45</v>
      </c>
      <c r="CO303">
        <v>-2300</v>
      </c>
      <c r="CP303">
        <v>42449878</v>
      </c>
      <c r="CQ303" s="73">
        <v>45372.304513888892</v>
      </c>
      <c r="CR303" t="s">
        <v>229</v>
      </c>
      <c r="CS303" t="s">
        <v>42</v>
      </c>
      <c r="CU303" t="s">
        <v>225</v>
      </c>
    </row>
    <row r="304" spans="1:99">
      <c r="A304" t="s">
        <v>99</v>
      </c>
      <c r="B304" t="s">
        <v>98</v>
      </c>
      <c r="J304" t="s">
        <v>225</v>
      </c>
      <c r="K304" t="s">
        <v>225</v>
      </c>
      <c r="M304" s="73">
        <v>45372.304513888892</v>
      </c>
      <c r="N304">
        <v>42449877</v>
      </c>
      <c r="O304">
        <v>-115</v>
      </c>
      <c r="P304" t="s">
        <v>73</v>
      </c>
      <c r="Q304">
        <v>-115</v>
      </c>
      <c r="R304" t="s">
        <v>73</v>
      </c>
      <c r="U304" t="s">
        <v>226</v>
      </c>
      <c r="V304" t="s">
        <v>355</v>
      </c>
      <c r="W304" t="s">
        <v>228</v>
      </c>
      <c r="X304" t="s">
        <v>229</v>
      </c>
      <c r="Y304" t="s">
        <v>99</v>
      </c>
      <c r="AD304" t="s">
        <v>73</v>
      </c>
      <c r="AE304">
        <v>-115</v>
      </c>
      <c r="AF304">
        <v>42449877</v>
      </c>
      <c r="AG304" s="73">
        <v>45372.304513888892</v>
      </c>
      <c r="AH304" t="s">
        <v>226</v>
      </c>
      <c r="AI304" t="s">
        <v>355</v>
      </c>
      <c r="AJ304" t="s">
        <v>228</v>
      </c>
      <c r="AK304" t="s">
        <v>229</v>
      </c>
      <c r="AL304" t="s">
        <v>99</v>
      </c>
      <c r="AP304" t="s">
        <v>230</v>
      </c>
      <c r="AQ304" t="s">
        <v>231</v>
      </c>
      <c r="AT304" t="s">
        <v>232</v>
      </c>
      <c r="AU304">
        <v>-99</v>
      </c>
      <c r="AV304" t="s">
        <v>73</v>
      </c>
      <c r="AW304">
        <v>-115</v>
      </c>
      <c r="AX304">
        <v>42449877</v>
      </c>
      <c r="AY304" s="73">
        <v>45372.304513888892</v>
      </c>
      <c r="AZ304" t="s">
        <v>226</v>
      </c>
      <c r="BA304" t="s">
        <v>355</v>
      </c>
      <c r="BB304" t="s">
        <v>228</v>
      </c>
      <c r="BC304" t="s">
        <v>229</v>
      </c>
      <c r="BD304" t="s">
        <v>99</v>
      </c>
      <c r="BI304" t="s">
        <v>233</v>
      </c>
      <c r="BJ304" t="s">
        <v>0</v>
      </c>
      <c r="BK304">
        <v>42449866</v>
      </c>
      <c r="BN304" t="s">
        <v>73</v>
      </c>
      <c r="BR304">
        <v>-115</v>
      </c>
      <c r="BS304">
        <v>42449877</v>
      </c>
      <c r="BT304" s="73">
        <v>45372.304513888892</v>
      </c>
      <c r="BU304" t="s">
        <v>226</v>
      </c>
      <c r="BV304" t="s">
        <v>355</v>
      </c>
      <c r="BW304" t="s">
        <v>228</v>
      </c>
      <c r="CH304" t="s">
        <v>229</v>
      </c>
      <c r="CI304" t="s">
        <v>99</v>
      </c>
      <c r="CJ304" t="s">
        <v>226</v>
      </c>
      <c r="CK304" t="s">
        <v>355</v>
      </c>
      <c r="CL304" t="s">
        <v>228</v>
      </c>
      <c r="CM304" t="s">
        <v>234</v>
      </c>
      <c r="CN304" t="s">
        <v>73</v>
      </c>
      <c r="CO304">
        <v>-115</v>
      </c>
      <c r="CP304">
        <v>42449877</v>
      </c>
      <c r="CQ304" s="73">
        <v>45372.304513888892</v>
      </c>
      <c r="CR304" t="s">
        <v>229</v>
      </c>
      <c r="CS304" t="s">
        <v>99</v>
      </c>
      <c r="CU304" t="s">
        <v>225</v>
      </c>
    </row>
    <row r="305" spans="1:99">
      <c r="A305" t="s">
        <v>103</v>
      </c>
      <c r="B305" t="s">
        <v>98</v>
      </c>
      <c r="J305" t="s">
        <v>225</v>
      </c>
      <c r="K305" t="s">
        <v>225</v>
      </c>
      <c r="M305" s="73">
        <v>45372.304513888892</v>
      </c>
      <c r="N305">
        <v>42449876</v>
      </c>
      <c r="O305">
        <v>2300</v>
      </c>
      <c r="P305" t="s">
        <v>104</v>
      </c>
      <c r="Q305">
        <v>2300</v>
      </c>
      <c r="R305" t="s">
        <v>104</v>
      </c>
      <c r="S305">
        <v>115</v>
      </c>
      <c r="T305" t="s">
        <v>73</v>
      </c>
      <c r="U305" t="s">
        <v>226</v>
      </c>
      <c r="V305" t="s">
        <v>355</v>
      </c>
      <c r="W305" t="s">
        <v>235</v>
      </c>
      <c r="X305" t="s">
        <v>229</v>
      </c>
      <c r="Y305" t="s">
        <v>103</v>
      </c>
      <c r="AD305" t="s">
        <v>104</v>
      </c>
      <c r="AE305">
        <v>2300</v>
      </c>
      <c r="AF305">
        <v>42449876</v>
      </c>
      <c r="AG305" s="73">
        <v>45372.304513888892</v>
      </c>
      <c r="AH305" t="s">
        <v>226</v>
      </c>
      <c r="AI305" t="s">
        <v>355</v>
      </c>
      <c r="AJ305" t="s">
        <v>235</v>
      </c>
      <c r="AK305" t="s">
        <v>229</v>
      </c>
      <c r="AL305" t="s">
        <v>103</v>
      </c>
      <c r="AP305" t="s">
        <v>230</v>
      </c>
      <c r="AQ305" t="s">
        <v>231</v>
      </c>
      <c r="AT305" t="s">
        <v>232</v>
      </c>
      <c r="AU305">
        <v>-99</v>
      </c>
      <c r="AV305" t="s">
        <v>104</v>
      </c>
      <c r="AW305">
        <v>2300</v>
      </c>
      <c r="AX305">
        <v>42449876</v>
      </c>
      <c r="AY305" s="73">
        <v>45372.304513888892</v>
      </c>
      <c r="AZ305" t="s">
        <v>226</v>
      </c>
      <c r="BA305" t="s">
        <v>355</v>
      </c>
      <c r="BB305" t="s">
        <v>235</v>
      </c>
      <c r="BC305" t="s">
        <v>229</v>
      </c>
      <c r="BD305" t="s">
        <v>103</v>
      </c>
      <c r="BI305" t="s">
        <v>233</v>
      </c>
      <c r="BJ305" t="s">
        <v>0</v>
      </c>
      <c r="BK305">
        <v>42449866</v>
      </c>
      <c r="BN305" t="s">
        <v>104</v>
      </c>
      <c r="BO305">
        <v>42449872</v>
      </c>
      <c r="BR305">
        <v>2300</v>
      </c>
      <c r="BS305">
        <v>42449876</v>
      </c>
      <c r="BT305" s="73">
        <v>45372.304513888892</v>
      </c>
      <c r="BU305" t="s">
        <v>226</v>
      </c>
      <c r="BV305" t="s">
        <v>355</v>
      </c>
      <c r="BW305" t="s">
        <v>235</v>
      </c>
      <c r="CH305" t="s">
        <v>229</v>
      </c>
      <c r="CI305" t="s">
        <v>103</v>
      </c>
      <c r="CJ305" t="s">
        <v>226</v>
      </c>
      <c r="CK305" t="s">
        <v>355</v>
      </c>
      <c r="CL305" t="s">
        <v>235</v>
      </c>
      <c r="CM305" t="s">
        <v>236</v>
      </c>
      <c r="CN305" t="s">
        <v>104</v>
      </c>
      <c r="CO305">
        <v>2300</v>
      </c>
      <c r="CP305">
        <v>42449876</v>
      </c>
      <c r="CQ305" s="73">
        <v>45372.304513888892</v>
      </c>
      <c r="CR305" t="s">
        <v>229</v>
      </c>
      <c r="CS305" t="s">
        <v>103</v>
      </c>
      <c r="CU305" t="s">
        <v>225</v>
      </c>
    </row>
    <row r="306" spans="1:99">
      <c r="A306" t="s">
        <v>46</v>
      </c>
      <c r="B306" t="s">
        <v>92</v>
      </c>
      <c r="J306" t="s">
        <v>225</v>
      </c>
      <c r="K306" t="s">
        <v>225</v>
      </c>
      <c r="M306" s="73">
        <v>45372.303344907406</v>
      </c>
      <c r="N306">
        <v>42449842</v>
      </c>
      <c r="O306">
        <v>-250</v>
      </c>
      <c r="P306" t="s">
        <v>45</v>
      </c>
      <c r="Q306">
        <v>-250</v>
      </c>
      <c r="R306" t="s">
        <v>45</v>
      </c>
      <c r="U306" t="s">
        <v>226</v>
      </c>
      <c r="V306" t="s">
        <v>356</v>
      </c>
      <c r="W306" t="s">
        <v>228</v>
      </c>
      <c r="X306" t="s">
        <v>229</v>
      </c>
      <c r="Y306" t="s">
        <v>46</v>
      </c>
      <c r="AD306" t="s">
        <v>45</v>
      </c>
      <c r="AE306">
        <v>-250</v>
      </c>
      <c r="AF306">
        <v>42449842</v>
      </c>
      <c r="AG306" s="73">
        <v>45372.303344907406</v>
      </c>
      <c r="AH306" t="s">
        <v>226</v>
      </c>
      <c r="AI306" t="s">
        <v>356</v>
      </c>
      <c r="AJ306" t="s">
        <v>228</v>
      </c>
      <c r="AK306" t="s">
        <v>229</v>
      </c>
      <c r="AL306" t="s">
        <v>46</v>
      </c>
      <c r="AP306" t="s">
        <v>230</v>
      </c>
      <c r="AQ306" t="s">
        <v>231</v>
      </c>
      <c r="AT306" t="s">
        <v>232</v>
      </c>
      <c r="AU306">
        <v>-99</v>
      </c>
      <c r="AV306" t="s">
        <v>45</v>
      </c>
      <c r="AW306">
        <v>-250</v>
      </c>
      <c r="AX306">
        <v>42449842</v>
      </c>
      <c r="AY306" s="73">
        <v>45372.303344907406</v>
      </c>
      <c r="AZ306" t="s">
        <v>226</v>
      </c>
      <c r="BA306" t="s">
        <v>356</v>
      </c>
      <c r="BB306" t="s">
        <v>228</v>
      </c>
      <c r="BC306" t="s">
        <v>229</v>
      </c>
      <c r="BD306" t="s">
        <v>46</v>
      </c>
      <c r="BI306" t="s">
        <v>233</v>
      </c>
      <c r="BJ306" t="s">
        <v>0</v>
      </c>
      <c r="BK306">
        <v>42449813</v>
      </c>
      <c r="BN306" t="s">
        <v>45</v>
      </c>
      <c r="BR306">
        <v>-250</v>
      </c>
      <c r="BS306">
        <v>42449842</v>
      </c>
      <c r="BT306" s="73">
        <v>45372.303344907406</v>
      </c>
      <c r="BU306" t="s">
        <v>226</v>
      </c>
      <c r="BV306" t="s">
        <v>356</v>
      </c>
      <c r="BW306" t="s">
        <v>228</v>
      </c>
      <c r="CH306" t="s">
        <v>229</v>
      </c>
      <c r="CI306" t="s">
        <v>46</v>
      </c>
      <c r="CJ306" t="s">
        <v>226</v>
      </c>
      <c r="CK306" t="s">
        <v>356</v>
      </c>
      <c r="CL306" t="s">
        <v>228</v>
      </c>
      <c r="CM306" t="s">
        <v>234</v>
      </c>
      <c r="CN306" t="s">
        <v>45</v>
      </c>
      <c r="CO306">
        <v>-250</v>
      </c>
      <c r="CP306">
        <v>42449842</v>
      </c>
      <c r="CQ306" s="73">
        <v>45372.303344907406</v>
      </c>
      <c r="CR306" t="s">
        <v>229</v>
      </c>
      <c r="CS306" t="s">
        <v>46</v>
      </c>
      <c r="CU306" t="s">
        <v>225</v>
      </c>
    </row>
    <row r="307" spans="1:99">
      <c r="A307" t="s">
        <v>93</v>
      </c>
      <c r="B307" t="s">
        <v>98</v>
      </c>
      <c r="J307" t="s">
        <v>225</v>
      </c>
      <c r="K307" t="s">
        <v>225</v>
      </c>
      <c r="M307" s="73">
        <v>45372.303344907406</v>
      </c>
      <c r="N307">
        <v>42449841</v>
      </c>
      <c r="O307">
        <v>-12.5</v>
      </c>
      <c r="P307" t="s">
        <v>73</v>
      </c>
      <c r="Q307">
        <v>-12.5</v>
      </c>
      <c r="R307" t="s">
        <v>73</v>
      </c>
      <c r="U307" t="s">
        <v>226</v>
      </c>
      <c r="V307" t="s">
        <v>356</v>
      </c>
      <c r="W307" t="s">
        <v>228</v>
      </c>
      <c r="X307" t="s">
        <v>229</v>
      </c>
      <c r="Y307" t="s">
        <v>93</v>
      </c>
      <c r="AD307" t="s">
        <v>73</v>
      </c>
      <c r="AE307">
        <v>-12.5</v>
      </c>
      <c r="AF307">
        <v>42449841</v>
      </c>
      <c r="AG307" s="73">
        <v>45372.303344907406</v>
      </c>
      <c r="AH307" t="s">
        <v>226</v>
      </c>
      <c r="AI307" t="s">
        <v>356</v>
      </c>
      <c r="AJ307" t="s">
        <v>228</v>
      </c>
      <c r="AK307" t="s">
        <v>229</v>
      </c>
      <c r="AL307" t="s">
        <v>93</v>
      </c>
      <c r="AP307" t="s">
        <v>230</v>
      </c>
      <c r="AQ307" t="s">
        <v>231</v>
      </c>
      <c r="AT307" t="s">
        <v>232</v>
      </c>
      <c r="AU307">
        <v>-99</v>
      </c>
      <c r="AV307" t="s">
        <v>73</v>
      </c>
      <c r="AW307">
        <v>-12.5</v>
      </c>
      <c r="AX307">
        <v>42449841</v>
      </c>
      <c r="AY307" s="73">
        <v>45372.303344907406</v>
      </c>
      <c r="AZ307" t="s">
        <v>226</v>
      </c>
      <c r="BA307" t="s">
        <v>356</v>
      </c>
      <c r="BB307" t="s">
        <v>228</v>
      </c>
      <c r="BC307" t="s">
        <v>229</v>
      </c>
      <c r="BD307" t="s">
        <v>93</v>
      </c>
      <c r="BI307" t="s">
        <v>233</v>
      </c>
      <c r="BJ307" t="s">
        <v>0</v>
      </c>
      <c r="BK307">
        <v>42449813</v>
      </c>
      <c r="BN307" t="s">
        <v>73</v>
      </c>
      <c r="BR307">
        <v>-12.5</v>
      </c>
      <c r="BS307">
        <v>42449841</v>
      </c>
      <c r="BT307" s="73">
        <v>45372.303344907406</v>
      </c>
      <c r="BU307" t="s">
        <v>226</v>
      </c>
      <c r="BV307" t="s">
        <v>356</v>
      </c>
      <c r="BW307" t="s">
        <v>228</v>
      </c>
      <c r="CH307" t="s">
        <v>229</v>
      </c>
      <c r="CI307" t="s">
        <v>93</v>
      </c>
      <c r="CJ307" t="s">
        <v>226</v>
      </c>
      <c r="CK307" t="s">
        <v>356</v>
      </c>
      <c r="CL307" t="s">
        <v>228</v>
      </c>
      <c r="CM307" t="s">
        <v>234</v>
      </c>
      <c r="CN307" t="s">
        <v>73</v>
      </c>
      <c r="CO307">
        <v>-12.5</v>
      </c>
      <c r="CP307">
        <v>42449841</v>
      </c>
      <c r="CQ307" s="73">
        <v>45372.303344907406</v>
      </c>
      <c r="CR307" t="s">
        <v>229</v>
      </c>
      <c r="CS307" t="s">
        <v>93</v>
      </c>
      <c r="CU307" t="s">
        <v>225</v>
      </c>
    </row>
    <row r="308" spans="1:99">
      <c r="A308" t="s">
        <v>108</v>
      </c>
      <c r="B308" t="s">
        <v>98</v>
      </c>
      <c r="J308" t="s">
        <v>225</v>
      </c>
      <c r="K308" t="s">
        <v>225</v>
      </c>
      <c r="M308" s="73">
        <v>45372.303344907406</v>
      </c>
      <c r="N308">
        <v>42449840</v>
      </c>
      <c r="O308">
        <v>250</v>
      </c>
      <c r="P308" t="s">
        <v>104</v>
      </c>
      <c r="Q308">
        <v>250</v>
      </c>
      <c r="R308" t="s">
        <v>104</v>
      </c>
      <c r="S308">
        <v>12.5</v>
      </c>
      <c r="T308" t="s">
        <v>73</v>
      </c>
      <c r="U308" t="s">
        <v>226</v>
      </c>
      <c r="V308" t="s">
        <v>356</v>
      </c>
      <c r="W308" t="s">
        <v>235</v>
      </c>
      <c r="X308" t="s">
        <v>229</v>
      </c>
      <c r="Y308" t="s">
        <v>108</v>
      </c>
      <c r="AD308" t="s">
        <v>104</v>
      </c>
      <c r="AE308">
        <v>250</v>
      </c>
      <c r="AF308">
        <v>42449840</v>
      </c>
      <c r="AG308" s="73">
        <v>45372.303344907406</v>
      </c>
      <c r="AH308" t="s">
        <v>226</v>
      </c>
      <c r="AI308" t="s">
        <v>356</v>
      </c>
      <c r="AJ308" t="s">
        <v>235</v>
      </c>
      <c r="AK308" t="s">
        <v>229</v>
      </c>
      <c r="AL308" t="s">
        <v>108</v>
      </c>
      <c r="AP308" t="s">
        <v>230</v>
      </c>
      <c r="AQ308" t="s">
        <v>231</v>
      </c>
      <c r="AT308" t="s">
        <v>232</v>
      </c>
      <c r="AU308">
        <v>-99</v>
      </c>
      <c r="AV308" t="s">
        <v>104</v>
      </c>
      <c r="AW308">
        <v>250</v>
      </c>
      <c r="AX308">
        <v>42449840</v>
      </c>
      <c r="AY308" s="73">
        <v>45372.303344907406</v>
      </c>
      <c r="AZ308" t="s">
        <v>226</v>
      </c>
      <c r="BA308" t="s">
        <v>356</v>
      </c>
      <c r="BB308" t="s">
        <v>235</v>
      </c>
      <c r="BC308" t="s">
        <v>229</v>
      </c>
      <c r="BD308" t="s">
        <v>108</v>
      </c>
      <c r="BI308" t="s">
        <v>233</v>
      </c>
      <c r="BJ308" t="s">
        <v>0</v>
      </c>
      <c r="BK308">
        <v>42449813</v>
      </c>
      <c r="BN308" t="s">
        <v>104</v>
      </c>
      <c r="BO308">
        <v>42449836</v>
      </c>
      <c r="BR308">
        <v>250</v>
      </c>
      <c r="BS308">
        <v>42449840</v>
      </c>
      <c r="BT308" s="73">
        <v>45372.303344907406</v>
      </c>
      <c r="BU308" t="s">
        <v>226</v>
      </c>
      <c r="BV308" t="s">
        <v>356</v>
      </c>
      <c r="BW308" t="s">
        <v>235</v>
      </c>
      <c r="CH308" t="s">
        <v>229</v>
      </c>
      <c r="CI308" t="s">
        <v>108</v>
      </c>
      <c r="CJ308" t="s">
        <v>226</v>
      </c>
      <c r="CK308" t="s">
        <v>356</v>
      </c>
      <c r="CL308" t="s">
        <v>235</v>
      </c>
      <c r="CM308" t="s">
        <v>236</v>
      </c>
      <c r="CN308" t="s">
        <v>104</v>
      </c>
      <c r="CO308">
        <v>250</v>
      </c>
      <c r="CP308">
        <v>42449840</v>
      </c>
      <c r="CQ308" s="73">
        <v>45372.303344907406</v>
      </c>
      <c r="CR308" t="s">
        <v>229</v>
      </c>
      <c r="CS308" t="s">
        <v>108</v>
      </c>
      <c r="CU308" t="s">
        <v>225</v>
      </c>
    </row>
    <row r="309" spans="1:99">
      <c r="A309" t="s">
        <v>52</v>
      </c>
      <c r="B309" t="s">
        <v>92</v>
      </c>
      <c r="J309" t="s">
        <v>225</v>
      </c>
      <c r="K309" t="s">
        <v>225</v>
      </c>
      <c r="M309" s="73">
        <v>45372.301041666666</v>
      </c>
      <c r="N309">
        <v>42449780</v>
      </c>
      <c r="O309">
        <v>-702</v>
      </c>
      <c r="P309" t="s">
        <v>45</v>
      </c>
      <c r="Q309">
        <v>-702</v>
      </c>
      <c r="R309" t="s">
        <v>45</v>
      </c>
      <c r="U309" t="s">
        <v>226</v>
      </c>
      <c r="V309" t="s">
        <v>357</v>
      </c>
      <c r="W309" t="s">
        <v>228</v>
      </c>
      <c r="X309" t="s">
        <v>229</v>
      </c>
      <c r="Y309" t="s">
        <v>52</v>
      </c>
      <c r="AD309" t="s">
        <v>45</v>
      </c>
      <c r="AE309">
        <v>-702</v>
      </c>
      <c r="AF309">
        <v>42449780</v>
      </c>
      <c r="AG309" s="73">
        <v>45372.301041666666</v>
      </c>
      <c r="AH309" t="s">
        <v>226</v>
      </c>
      <c r="AI309" t="s">
        <v>357</v>
      </c>
      <c r="AJ309" t="s">
        <v>228</v>
      </c>
      <c r="AK309" t="s">
        <v>229</v>
      </c>
      <c r="AL309" t="s">
        <v>52</v>
      </c>
      <c r="AP309" t="s">
        <v>230</v>
      </c>
      <c r="AQ309" t="s">
        <v>231</v>
      </c>
      <c r="AT309" t="s">
        <v>232</v>
      </c>
      <c r="AU309">
        <v>-99</v>
      </c>
      <c r="AV309" t="s">
        <v>45</v>
      </c>
      <c r="AW309">
        <v>-702</v>
      </c>
      <c r="AX309">
        <v>42449780</v>
      </c>
      <c r="AY309" s="73">
        <v>45372.301041666666</v>
      </c>
      <c r="AZ309" t="s">
        <v>226</v>
      </c>
      <c r="BA309" t="s">
        <v>357</v>
      </c>
      <c r="BB309" t="s">
        <v>228</v>
      </c>
      <c r="BC309" t="s">
        <v>229</v>
      </c>
      <c r="BD309" t="s">
        <v>52</v>
      </c>
      <c r="BI309" t="s">
        <v>233</v>
      </c>
      <c r="BJ309" t="s">
        <v>0</v>
      </c>
      <c r="BK309">
        <v>42449757</v>
      </c>
      <c r="BN309" t="s">
        <v>45</v>
      </c>
      <c r="BR309">
        <v>-702</v>
      </c>
      <c r="BS309">
        <v>42449780</v>
      </c>
      <c r="BT309" s="73">
        <v>45372.301041666666</v>
      </c>
      <c r="BU309" t="s">
        <v>226</v>
      </c>
      <c r="BV309" t="s">
        <v>357</v>
      </c>
      <c r="BW309" t="s">
        <v>228</v>
      </c>
      <c r="CH309" t="s">
        <v>229</v>
      </c>
      <c r="CI309" t="s">
        <v>52</v>
      </c>
      <c r="CJ309" t="s">
        <v>226</v>
      </c>
      <c r="CK309" t="s">
        <v>357</v>
      </c>
      <c r="CL309" t="s">
        <v>228</v>
      </c>
      <c r="CM309" t="s">
        <v>234</v>
      </c>
      <c r="CN309" t="s">
        <v>45</v>
      </c>
      <c r="CO309">
        <v>-702</v>
      </c>
      <c r="CP309">
        <v>42449780</v>
      </c>
      <c r="CQ309" s="73">
        <v>45372.301041666666</v>
      </c>
      <c r="CR309" t="s">
        <v>229</v>
      </c>
      <c r="CS309" t="s">
        <v>52</v>
      </c>
      <c r="CU309" t="s">
        <v>225</v>
      </c>
    </row>
    <row r="310" spans="1:99">
      <c r="A310" t="s">
        <v>101</v>
      </c>
      <c r="B310" t="s">
        <v>98</v>
      </c>
      <c r="J310" t="s">
        <v>225</v>
      </c>
      <c r="K310" t="s">
        <v>225</v>
      </c>
      <c r="M310" s="73">
        <v>45372.301041666666</v>
      </c>
      <c r="N310">
        <v>42449779</v>
      </c>
      <c r="O310">
        <v>-35</v>
      </c>
      <c r="P310" t="s">
        <v>73</v>
      </c>
      <c r="Q310">
        <v>-35</v>
      </c>
      <c r="R310" t="s">
        <v>73</v>
      </c>
      <c r="U310" t="s">
        <v>226</v>
      </c>
      <c r="V310" t="s">
        <v>357</v>
      </c>
      <c r="W310" t="s">
        <v>228</v>
      </c>
      <c r="X310" t="s">
        <v>229</v>
      </c>
      <c r="Y310" t="s">
        <v>101</v>
      </c>
      <c r="AD310" t="s">
        <v>73</v>
      </c>
      <c r="AE310">
        <v>-35</v>
      </c>
      <c r="AF310">
        <v>42449779</v>
      </c>
      <c r="AG310" s="73">
        <v>45372.301041666666</v>
      </c>
      <c r="AH310" t="s">
        <v>226</v>
      </c>
      <c r="AI310" t="s">
        <v>357</v>
      </c>
      <c r="AJ310" t="s">
        <v>228</v>
      </c>
      <c r="AK310" t="s">
        <v>229</v>
      </c>
      <c r="AL310" t="s">
        <v>101</v>
      </c>
      <c r="AP310" t="s">
        <v>230</v>
      </c>
      <c r="AQ310" t="s">
        <v>231</v>
      </c>
      <c r="AT310" t="s">
        <v>232</v>
      </c>
      <c r="AU310">
        <v>-99</v>
      </c>
      <c r="AV310" t="s">
        <v>73</v>
      </c>
      <c r="AW310">
        <v>-35</v>
      </c>
      <c r="AX310">
        <v>42449779</v>
      </c>
      <c r="AY310" s="73">
        <v>45372.301041666666</v>
      </c>
      <c r="AZ310" t="s">
        <v>226</v>
      </c>
      <c r="BA310" t="s">
        <v>357</v>
      </c>
      <c r="BB310" t="s">
        <v>228</v>
      </c>
      <c r="BC310" t="s">
        <v>229</v>
      </c>
      <c r="BD310" t="s">
        <v>101</v>
      </c>
      <c r="BI310" t="s">
        <v>233</v>
      </c>
      <c r="BJ310" t="s">
        <v>0</v>
      </c>
      <c r="BK310">
        <v>42449757</v>
      </c>
      <c r="BN310" t="s">
        <v>73</v>
      </c>
      <c r="BR310">
        <v>-35</v>
      </c>
      <c r="BS310">
        <v>42449779</v>
      </c>
      <c r="BT310" s="73">
        <v>45372.301041666666</v>
      </c>
      <c r="BU310" t="s">
        <v>226</v>
      </c>
      <c r="BV310" t="s">
        <v>357</v>
      </c>
      <c r="BW310" t="s">
        <v>228</v>
      </c>
      <c r="CH310" t="s">
        <v>229</v>
      </c>
      <c r="CI310" t="s">
        <v>101</v>
      </c>
      <c r="CJ310" t="s">
        <v>226</v>
      </c>
      <c r="CK310" t="s">
        <v>357</v>
      </c>
      <c r="CL310" t="s">
        <v>228</v>
      </c>
      <c r="CM310" t="s">
        <v>234</v>
      </c>
      <c r="CN310" t="s">
        <v>73</v>
      </c>
      <c r="CO310">
        <v>-35</v>
      </c>
      <c r="CP310">
        <v>42449779</v>
      </c>
      <c r="CQ310" s="73">
        <v>45372.301041666666</v>
      </c>
      <c r="CR310" t="s">
        <v>229</v>
      </c>
      <c r="CS310" t="s">
        <v>101</v>
      </c>
      <c r="CU310" t="s">
        <v>225</v>
      </c>
    </row>
    <row r="311" spans="1:99">
      <c r="A311" t="s">
        <v>107</v>
      </c>
      <c r="B311" t="s">
        <v>98</v>
      </c>
      <c r="J311" t="s">
        <v>225</v>
      </c>
      <c r="K311" t="s">
        <v>225</v>
      </c>
      <c r="M311" s="73">
        <v>45372.301041666666</v>
      </c>
      <c r="N311">
        <v>42449778</v>
      </c>
      <c r="O311">
        <v>700</v>
      </c>
      <c r="P311" t="s">
        <v>104</v>
      </c>
      <c r="Q311">
        <v>700</v>
      </c>
      <c r="R311" t="s">
        <v>104</v>
      </c>
      <c r="S311">
        <v>35</v>
      </c>
      <c r="T311" t="s">
        <v>73</v>
      </c>
      <c r="U311" t="s">
        <v>226</v>
      </c>
      <c r="V311" t="s">
        <v>357</v>
      </c>
      <c r="W311" t="s">
        <v>235</v>
      </c>
      <c r="X311" t="s">
        <v>229</v>
      </c>
      <c r="Y311" t="s">
        <v>107</v>
      </c>
      <c r="AD311" t="s">
        <v>104</v>
      </c>
      <c r="AE311">
        <v>700</v>
      </c>
      <c r="AF311">
        <v>42449778</v>
      </c>
      <c r="AG311" s="73">
        <v>45372.301041666666</v>
      </c>
      <c r="AH311" t="s">
        <v>226</v>
      </c>
      <c r="AI311" t="s">
        <v>357</v>
      </c>
      <c r="AJ311" t="s">
        <v>235</v>
      </c>
      <c r="AK311" t="s">
        <v>229</v>
      </c>
      <c r="AL311" t="s">
        <v>107</v>
      </c>
      <c r="AP311" t="s">
        <v>230</v>
      </c>
      <c r="AQ311" t="s">
        <v>231</v>
      </c>
      <c r="AT311" t="s">
        <v>232</v>
      </c>
      <c r="AU311">
        <v>-99</v>
      </c>
      <c r="AV311" t="s">
        <v>104</v>
      </c>
      <c r="AW311">
        <v>700</v>
      </c>
      <c r="AX311">
        <v>42449778</v>
      </c>
      <c r="AY311" s="73">
        <v>45372.301041666666</v>
      </c>
      <c r="AZ311" t="s">
        <v>226</v>
      </c>
      <c r="BA311" t="s">
        <v>357</v>
      </c>
      <c r="BB311" t="s">
        <v>235</v>
      </c>
      <c r="BC311" t="s">
        <v>229</v>
      </c>
      <c r="BD311" t="s">
        <v>107</v>
      </c>
      <c r="BI311" t="s">
        <v>233</v>
      </c>
      <c r="BJ311" t="s">
        <v>0</v>
      </c>
      <c r="BK311">
        <v>42449757</v>
      </c>
      <c r="BN311" t="s">
        <v>104</v>
      </c>
      <c r="BO311">
        <v>42449770</v>
      </c>
      <c r="BR311">
        <v>700</v>
      </c>
      <c r="BS311">
        <v>42449778</v>
      </c>
      <c r="BT311" s="73">
        <v>45372.301041666666</v>
      </c>
      <c r="BU311" t="s">
        <v>226</v>
      </c>
      <c r="BV311" t="s">
        <v>357</v>
      </c>
      <c r="BW311" t="s">
        <v>235</v>
      </c>
      <c r="CH311" t="s">
        <v>229</v>
      </c>
      <c r="CI311" t="s">
        <v>107</v>
      </c>
      <c r="CJ311" t="s">
        <v>226</v>
      </c>
      <c r="CK311" t="s">
        <v>357</v>
      </c>
      <c r="CL311" t="s">
        <v>235</v>
      </c>
      <c r="CM311" t="s">
        <v>236</v>
      </c>
      <c r="CN311" t="s">
        <v>104</v>
      </c>
      <c r="CO311">
        <v>700</v>
      </c>
      <c r="CP311">
        <v>42449778</v>
      </c>
      <c r="CQ311" s="73">
        <v>45372.301041666666</v>
      </c>
      <c r="CR311" t="s">
        <v>229</v>
      </c>
      <c r="CS311" t="s">
        <v>107</v>
      </c>
      <c r="CU311" t="s">
        <v>225</v>
      </c>
    </row>
    <row r="312" spans="1:99">
      <c r="A312" t="s">
        <v>111</v>
      </c>
      <c r="B312" t="s">
        <v>77</v>
      </c>
      <c r="J312" t="s">
        <v>225</v>
      </c>
      <c r="K312" t="s">
        <v>225</v>
      </c>
      <c r="M312" s="73">
        <v>45372.301041666666</v>
      </c>
      <c r="N312">
        <v>42449777</v>
      </c>
      <c r="O312">
        <v>2</v>
      </c>
      <c r="P312" t="s">
        <v>45</v>
      </c>
      <c r="Q312">
        <v>2</v>
      </c>
      <c r="R312" t="s">
        <v>45</v>
      </c>
      <c r="U312" t="s">
        <v>226</v>
      </c>
      <c r="V312" t="s">
        <v>357</v>
      </c>
      <c r="W312" t="s">
        <v>237</v>
      </c>
      <c r="X312" t="s">
        <v>229</v>
      </c>
      <c r="Y312" t="s">
        <v>111</v>
      </c>
      <c r="AD312" t="s">
        <v>45</v>
      </c>
      <c r="AE312">
        <v>2</v>
      </c>
      <c r="AF312">
        <v>42449777</v>
      </c>
      <c r="AG312" s="73">
        <v>45372.301041666666</v>
      </c>
      <c r="AH312" t="s">
        <v>226</v>
      </c>
      <c r="AI312" t="s">
        <v>357</v>
      </c>
      <c r="AJ312" t="s">
        <v>237</v>
      </c>
      <c r="AK312" t="s">
        <v>229</v>
      </c>
      <c r="AL312" t="s">
        <v>111</v>
      </c>
      <c r="AP312" t="s">
        <v>230</v>
      </c>
      <c r="AQ312" t="s">
        <v>231</v>
      </c>
      <c r="AT312" t="s">
        <v>232</v>
      </c>
      <c r="AU312">
        <v>-99</v>
      </c>
      <c r="AV312" t="s">
        <v>45</v>
      </c>
      <c r="AW312">
        <v>2</v>
      </c>
      <c r="AX312">
        <v>42449777</v>
      </c>
      <c r="AY312" s="73">
        <v>45372.301041666666</v>
      </c>
      <c r="AZ312" t="s">
        <v>226</v>
      </c>
      <c r="BA312" t="s">
        <v>357</v>
      </c>
      <c r="BB312" t="s">
        <v>237</v>
      </c>
      <c r="BC312" t="s">
        <v>229</v>
      </c>
      <c r="BD312" t="s">
        <v>111</v>
      </c>
      <c r="BI312" t="s">
        <v>233</v>
      </c>
      <c r="BJ312" t="s">
        <v>0</v>
      </c>
      <c r="BK312">
        <v>42449757</v>
      </c>
      <c r="BN312" t="s">
        <v>45</v>
      </c>
      <c r="BO312">
        <v>42449772</v>
      </c>
      <c r="BR312">
        <v>2</v>
      </c>
      <c r="BS312">
        <v>42449777</v>
      </c>
      <c r="BT312" s="73">
        <v>45372.301041666666</v>
      </c>
      <c r="BU312" t="s">
        <v>226</v>
      </c>
      <c r="BV312" t="s">
        <v>357</v>
      </c>
      <c r="BW312" t="s">
        <v>237</v>
      </c>
      <c r="CH312" t="s">
        <v>229</v>
      </c>
      <c r="CI312" t="s">
        <v>111</v>
      </c>
      <c r="CJ312" t="s">
        <v>226</v>
      </c>
      <c r="CK312" t="s">
        <v>357</v>
      </c>
      <c r="CL312" t="s">
        <v>237</v>
      </c>
      <c r="CM312" t="s">
        <v>236</v>
      </c>
      <c r="CN312" t="s">
        <v>45</v>
      </c>
      <c r="CO312">
        <v>2</v>
      </c>
      <c r="CP312">
        <v>42449777</v>
      </c>
      <c r="CQ312" s="73">
        <v>45372.301041666666</v>
      </c>
      <c r="CR312" t="s">
        <v>229</v>
      </c>
      <c r="CS312" t="s">
        <v>111</v>
      </c>
      <c r="CU312" t="s">
        <v>225</v>
      </c>
    </row>
    <row r="313" spans="1:99">
      <c r="A313" t="s">
        <v>113</v>
      </c>
      <c r="B313" t="s">
        <v>90</v>
      </c>
      <c r="J313" t="s">
        <v>225</v>
      </c>
      <c r="K313" t="s">
        <v>225</v>
      </c>
      <c r="M313" s="73">
        <v>45372.256956018522</v>
      </c>
      <c r="N313">
        <v>42458635</v>
      </c>
      <c r="O313">
        <v>-440</v>
      </c>
      <c r="P313" t="s">
        <v>115</v>
      </c>
      <c r="Q313">
        <v>-440</v>
      </c>
      <c r="R313" t="s">
        <v>115</v>
      </c>
      <c r="U313" t="s">
        <v>226</v>
      </c>
      <c r="V313" t="s">
        <v>343</v>
      </c>
      <c r="W313" t="s">
        <v>228</v>
      </c>
      <c r="X313" t="s">
        <v>229</v>
      </c>
      <c r="Y313" t="s">
        <v>113</v>
      </c>
      <c r="AD313" t="s">
        <v>115</v>
      </c>
      <c r="AE313">
        <v>-440</v>
      </c>
      <c r="AF313">
        <v>42458635</v>
      </c>
      <c r="AG313" s="73">
        <v>45372.256956018522</v>
      </c>
      <c r="AH313" t="s">
        <v>226</v>
      </c>
      <c r="AI313" t="s">
        <v>343</v>
      </c>
      <c r="AJ313" t="s">
        <v>228</v>
      </c>
      <c r="AK313" t="s">
        <v>229</v>
      </c>
      <c r="AL313" t="s">
        <v>113</v>
      </c>
      <c r="AP313" t="s">
        <v>230</v>
      </c>
      <c r="AQ313" t="s">
        <v>231</v>
      </c>
      <c r="AT313" t="s">
        <v>232</v>
      </c>
      <c r="AU313">
        <v>-99</v>
      </c>
      <c r="AV313" t="s">
        <v>115</v>
      </c>
      <c r="AW313">
        <v>-440</v>
      </c>
      <c r="AX313">
        <v>42458635</v>
      </c>
      <c r="AY313" s="73">
        <v>45372.256956018522</v>
      </c>
      <c r="AZ313" t="s">
        <v>226</v>
      </c>
      <c r="BA313" t="s">
        <v>343</v>
      </c>
      <c r="BB313" t="s">
        <v>228</v>
      </c>
      <c r="BC313" t="s">
        <v>229</v>
      </c>
      <c r="BD313" t="s">
        <v>113</v>
      </c>
      <c r="BI313" t="s">
        <v>233</v>
      </c>
      <c r="BJ313" t="s">
        <v>0</v>
      </c>
      <c r="BK313">
        <v>42458606</v>
      </c>
      <c r="BN313" t="s">
        <v>115</v>
      </c>
      <c r="BR313">
        <v>-440</v>
      </c>
      <c r="BS313">
        <v>42458635</v>
      </c>
      <c r="BT313" s="73">
        <v>45372.256956018522</v>
      </c>
      <c r="BU313" t="s">
        <v>226</v>
      </c>
      <c r="BV313" t="s">
        <v>343</v>
      </c>
      <c r="BW313" t="s">
        <v>228</v>
      </c>
      <c r="CH313" t="s">
        <v>229</v>
      </c>
      <c r="CI313" t="s">
        <v>113</v>
      </c>
      <c r="CJ313" t="s">
        <v>226</v>
      </c>
      <c r="CK313" t="s">
        <v>343</v>
      </c>
      <c r="CL313" t="s">
        <v>228</v>
      </c>
      <c r="CM313" t="s">
        <v>234</v>
      </c>
      <c r="CN313" t="s">
        <v>115</v>
      </c>
      <c r="CO313">
        <v>-440</v>
      </c>
      <c r="CP313">
        <v>42458635</v>
      </c>
      <c r="CQ313" s="73">
        <v>45372.256956018522</v>
      </c>
      <c r="CR313" t="s">
        <v>229</v>
      </c>
      <c r="CS313" t="s">
        <v>113</v>
      </c>
      <c r="CU313" t="s">
        <v>225</v>
      </c>
    </row>
    <row r="314" spans="1:99">
      <c r="A314" t="s">
        <v>129</v>
      </c>
      <c r="B314" t="s">
        <v>90</v>
      </c>
      <c r="J314" t="s">
        <v>225</v>
      </c>
      <c r="K314" t="s">
        <v>225</v>
      </c>
      <c r="M314" s="73">
        <v>45372.256956018522</v>
      </c>
      <c r="N314">
        <v>42458634</v>
      </c>
      <c r="O314">
        <v>-5.8</v>
      </c>
      <c r="P314" t="s">
        <v>73</v>
      </c>
      <c r="Q314">
        <v>-5.8</v>
      </c>
      <c r="R314" t="s">
        <v>73</v>
      </c>
      <c r="U314" t="s">
        <v>226</v>
      </c>
      <c r="V314" t="s">
        <v>343</v>
      </c>
      <c r="W314" t="s">
        <v>228</v>
      </c>
      <c r="X314" t="s">
        <v>229</v>
      </c>
      <c r="Y314" t="s">
        <v>129</v>
      </c>
      <c r="AD314" t="s">
        <v>73</v>
      </c>
      <c r="AE314">
        <v>-5.8</v>
      </c>
      <c r="AF314">
        <v>42458634</v>
      </c>
      <c r="AG314" s="73">
        <v>45372.256956018522</v>
      </c>
      <c r="AH314" t="s">
        <v>226</v>
      </c>
      <c r="AI314" t="s">
        <v>343</v>
      </c>
      <c r="AJ314" t="s">
        <v>228</v>
      </c>
      <c r="AK314" t="s">
        <v>229</v>
      </c>
      <c r="AL314" t="s">
        <v>129</v>
      </c>
      <c r="AP314" t="s">
        <v>230</v>
      </c>
      <c r="AQ314" t="s">
        <v>231</v>
      </c>
      <c r="AT314" t="s">
        <v>232</v>
      </c>
      <c r="AU314">
        <v>-99</v>
      </c>
      <c r="AV314" t="s">
        <v>73</v>
      </c>
      <c r="AW314">
        <v>-5.8</v>
      </c>
      <c r="AX314">
        <v>42458634</v>
      </c>
      <c r="AY314" s="73">
        <v>45372.256956018522</v>
      </c>
      <c r="AZ314" t="s">
        <v>226</v>
      </c>
      <c r="BA314" t="s">
        <v>343</v>
      </c>
      <c r="BB314" t="s">
        <v>228</v>
      </c>
      <c r="BC314" t="s">
        <v>229</v>
      </c>
      <c r="BD314" t="s">
        <v>129</v>
      </c>
      <c r="BI314" t="s">
        <v>233</v>
      </c>
      <c r="BJ314" t="s">
        <v>0</v>
      </c>
      <c r="BK314">
        <v>42458606</v>
      </c>
      <c r="BN314" t="s">
        <v>73</v>
      </c>
      <c r="BR314">
        <v>-5.8</v>
      </c>
      <c r="BS314">
        <v>42458634</v>
      </c>
      <c r="BT314" s="73">
        <v>45372.256956018522</v>
      </c>
      <c r="BU314" t="s">
        <v>226</v>
      </c>
      <c r="BV314" t="s">
        <v>343</v>
      </c>
      <c r="BW314" t="s">
        <v>228</v>
      </c>
      <c r="CH314" t="s">
        <v>229</v>
      </c>
      <c r="CI314" t="s">
        <v>129</v>
      </c>
      <c r="CJ314" t="s">
        <v>226</v>
      </c>
      <c r="CK314" t="s">
        <v>343</v>
      </c>
      <c r="CL314" t="s">
        <v>228</v>
      </c>
      <c r="CM314" t="s">
        <v>234</v>
      </c>
      <c r="CN314" t="s">
        <v>73</v>
      </c>
      <c r="CO314">
        <v>-5.8</v>
      </c>
      <c r="CP314">
        <v>42458634</v>
      </c>
      <c r="CQ314" s="73">
        <v>45372.256956018522</v>
      </c>
      <c r="CR314" t="s">
        <v>229</v>
      </c>
      <c r="CS314" t="s">
        <v>129</v>
      </c>
      <c r="CU314" t="s">
        <v>225</v>
      </c>
    </row>
    <row r="315" spans="1:99">
      <c r="A315" t="s">
        <v>113</v>
      </c>
      <c r="B315" t="s">
        <v>90</v>
      </c>
      <c r="J315" t="s">
        <v>225</v>
      </c>
      <c r="K315" t="s">
        <v>225</v>
      </c>
      <c r="M315" s="73">
        <v>45371.923622685186</v>
      </c>
      <c r="N315">
        <v>42449630</v>
      </c>
      <c r="O315">
        <v>-70</v>
      </c>
      <c r="P315" t="s">
        <v>115</v>
      </c>
      <c r="Q315">
        <v>-70</v>
      </c>
      <c r="R315" t="s">
        <v>115</v>
      </c>
      <c r="U315" t="s">
        <v>226</v>
      </c>
      <c r="V315" t="s">
        <v>358</v>
      </c>
      <c r="W315" t="s">
        <v>228</v>
      </c>
      <c r="X315" t="s">
        <v>229</v>
      </c>
      <c r="Y315" t="s">
        <v>113</v>
      </c>
      <c r="AD315" t="s">
        <v>115</v>
      </c>
      <c r="AE315">
        <v>-70</v>
      </c>
      <c r="AF315">
        <v>42449630</v>
      </c>
      <c r="AG315" s="73">
        <v>45371.923622685186</v>
      </c>
      <c r="AH315" t="s">
        <v>226</v>
      </c>
      <c r="AI315" t="s">
        <v>358</v>
      </c>
      <c r="AJ315" t="s">
        <v>228</v>
      </c>
      <c r="AK315" t="s">
        <v>229</v>
      </c>
      <c r="AL315" t="s">
        <v>113</v>
      </c>
      <c r="AP315" t="s">
        <v>230</v>
      </c>
      <c r="AQ315" t="s">
        <v>231</v>
      </c>
      <c r="AT315" t="s">
        <v>232</v>
      </c>
      <c r="AU315">
        <v>-99</v>
      </c>
      <c r="AV315" t="s">
        <v>115</v>
      </c>
      <c r="AW315">
        <v>-70</v>
      </c>
      <c r="AX315">
        <v>42449630</v>
      </c>
      <c r="AY315" s="73">
        <v>45371.923622685186</v>
      </c>
      <c r="AZ315" t="s">
        <v>226</v>
      </c>
      <c r="BA315" t="s">
        <v>358</v>
      </c>
      <c r="BB315" t="s">
        <v>228</v>
      </c>
      <c r="BC315" t="s">
        <v>229</v>
      </c>
      <c r="BD315" t="s">
        <v>113</v>
      </c>
      <c r="BI315" t="s">
        <v>233</v>
      </c>
      <c r="BJ315" t="s">
        <v>0</v>
      </c>
      <c r="BK315">
        <v>42449622</v>
      </c>
      <c r="BN315" t="s">
        <v>115</v>
      </c>
      <c r="BR315">
        <v>-70</v>
      </c>
      <c r="BS315">
        <v>42449630</v>
      </c>
      <c r="BT315" s="73">
        <v>45371.923622685186</v>
      </c>
      <c r="BU315" t="s">
        <v>226</v>
      </c>
      <c r="BV315" t="s">
        <v>358</v>
      </c>
      <c r="BW315" t="s">
        <v>228</v>
      </c>
      <c r="CH315" t="s">
        <v>229</v>
      </c>
      <c r="CI315" t="s">
        <v>113</v>
      </c>
      <c r="CJ315" t="s">
        <v>226</v>
      </c>
      <c r="CK315" t="s">
        <v>358</v>
      </c>
      <c r="CL315" t="s">
        <v>228</v>
      </c>
      <c r="CM315" t="s">
        <v>234</v>
      </c>
      <c r="CN315" t="s">
        <v>115</v>
      </c>
      <c r="CO315">
        <v>-70</v>
      </c>
      <c r="CP315">
        <v>42449630</v>
      </c>
      <c r="CQ315" s="73">
        <v>45371.923622685186</v>
      </c>
      <c r="CR315" t="s">
        <v>229</v>
      </c>
      <c r="CS315" t="s">
        <v>113</v>
      </c>
      <c r="CU315" t="s">
        <v>225</v>
      </c>
    </row>
    <row r="316" spans="1:99">
      <c r="A316" t="s">
        <v>129</v>
      </c>
      <c r="B316" t="s">
        <v>90</v>
      </c>
      <c r="J316" t="s">
        <v>225</v>
      </c>
      <c r="K316" t="s">
        <v>225</v>
      </c>
      <c r="M316" s="73">
        <v>45371.923622685186</v>
      </c>
      <c r="N316">
        <v>42449629</v>
      </c>
      <c r="O316">
        <v>-2.2000000000000002</v>
      </c>
      <c r="P316" t="s">
        <v>73</v>
      </c>
      <c r="Q316">
        <v>-2.2000000000000002</v>
      </c>
      <c r="R316" t="s">
        <v>73</v>
      </c>
      <c r="U316" t="s">
        <v>226</v>
      </c>
      <c r="V316" t="s">
        <v>358</v>
      </c>
      <c r="W316" t="s">
        <v>228</v>
      </c>
      <c r="X316" t="s">
        <v>229</v>
      </c>
      <c r="Y316" t="s">
        <v>129</v>
      </c>
      <c r="AD316" t="s">
        <v>73</v>
      </c>
      <c r="AE316">
        <v>-2.2000000000000002</v>
      </c>
      <c r="AF316">
        <v>42449629</v>
      </c>
      <c r="AG316" s="73">
        <v>45371.923622685186</v>
      </c>
      <c r="AH316" t="s">
        <v>226</v>
      </c>
      <c r="AI316" t="s">
        <v>358</v>
      </c>
      <c r="AJ316" t="s">
        <v>228</v>
      </c>
      <c r="AK316" t="s">
        <v>229</v>
      </c>
      <c r="AL316" t="s">
        <v>129</v>
      </c>
      <c r="AP316" t="s">
        <v>230</v>
      </c>
      <c r="AQ316" t="s">
        <v>231</v>
      </c>
      <c r="AT316" t="s">
        <v>232</v>
      </c>
      <c r="AU316">
        <v>-99</v>
      </c>
      <c r="AV316" t="s">
        <v>73</v>
      </c>
      <c r="AW316">
        <v>-2.2000000000000002</v>
      </c>
      <c r="AX316">
        <v>42449629</v>
      </c>
      <c r="AY316" s="73">
        <v>45371.923622685186</v>
      </c>
      <c r="AZ316" t="s">
        <v>226</v>
      </c>
      <c r="BA316" t="s">
        <v>358</v>
      </c>
      <c r="BB316" t="s">
        <v>228</v>
      </c>
      <c r="BC316" t="s">
        <v>229</v>
      </c>
      <c r="BD316" t="s">
        <v>129</v>
      </c>
      <c r="BI316" t="s">
        <v>233</v>
      </c>
      <c r="BJ316" t="s">
        <v>0</v>
      </c>
      <c r="BK316">
        <v>42449622</v>
      </c>
      <c r="BN316" t="s">
        <v>73</v>
      </c>
      <c r="BR316">
        <v>-2.2000000000000002</v>
      </c>
      <c r="BS316">
        <v>42449629</v>
      </c>
      <c r="BT316" s="73">
        <v>45371.923622685186</v>
      </c>
      <c r="BU316" t="s">
        <v>226</v>
      </c>
      <c r="BV316" t="s">
        <v>358</v>
      </c>
      <c r="BW316" t="s">
        <v>228</v>
      </c>
      <c r="CH316" t="s">
        <v>229</v>
      </c>
      <c r="CI316" t="s">
        <v>129</v>
      </c>
      <c r="CJ316" t="s">
        <v>226</v>
      </c>
      <c r="CK316" t="s">
        <v>358</v>
      </c>
      <c r="CL316" t="s">
        <v>228</v>
      </c>
      <c r="CM316" t="s">
        <v>234</v>
      </c>
      <c r="CN316" t="s">
        <v>73</v>
      </c>
      <c r="CO316">
        <v>-2.2000000000000002</v>
      </c>
      <c r="CP316">
        <v>42449629</v>
      </c>
      <c r="CQ316" s="73">
        <v>45371.923622685186</v>
      </c>
      <c r="CR316" t="s">
        <v>229</v>
      </c>
      <c r="CS316" t="s">
        <v>129</v>
      </c>
      <c r="CU316" t="s">
        <v>225</v>
      </c>
    </row>
    <row r="317" spans="1:99">
      <c r="A317" t="s">
        <v>113</v>
      </c>
      <c r="B317" t="s">
        <v>90</v>
      </c>
      <c r="J317" t="s">
        <v>225</v>
      </c>
      <c r="K317" t="s">
        <v>225</v>
      </c>
      <c r="M317" s="73">
        <v>45371.923622685186</v>
      </c>
      <c r="N317">
        <v>42449615</v>
      </c>
      <c r="O317">
        <v>-205</v>
      </c>
      <c r="P317" t="s">
        <v>115</v>
      </c>
      <c r="Q317">
        <v>-205</v>
      </c>
      <c r="R317" t="s">
        <v>115</v>
      </c>
      <c r="U317" t="s">
        <v>226</v>
      </c>
      <c r="V317" t="s">
        <v>359</v>
      </c>
      <c r="W317" t="s">
        <v>228</v>
      </c>
      <c r="X317" t="s">
        <v>229</v>
      </c>
      <c r="Y317" t="s">
        <v>113</v>
      </c>
      <c r="AD317" t="s">
        <v>115</v>
      </c>
      <c r="AE317">
        <v>-205</v>
      </c>
      <c r="AF317">
        <v>42449615</v>
      </c>
      <c r="AG317" s="73">
        <v>45371.923622685186</v>
      </c>
      <c r="AH317" t="s">
        <v>226</v>
      </c>
      <c r="AI317" t="s">
        <v>359</v>
      </c>
      <c r="AJ317" t="s">
        <v>228</v>
      </c>
      <c r="AK317" t="s">
        <v>229</v>
      </c>
      <c r="AL317" t="s">
        <v>113</v>
      </c>
      <c r="AP317" t="s">
        <v>230</v>
      </c>
      <c r="AQ317" t="s">
        <v>231</v>
      </c>
      <c r="AT317" t="s">
        <v>232</v>
      </c>
      <c r="AU317">
        <v>-99</v>
      </c>
      <c r="AV317" t="s">
        <v>115</v>
      </c>
      <c r="AW317">
        <v>-205</v>
      </c>
      <c r="AX317">
        <v>42449615</v>
      </c>
      <c r="AY317" s="73">
        <v>45371.923622685186</v>
      </c>
      <c r="AZ317" t="s">
        <v>226</v>
      </c>
      <c r="BA317" t="s">
        <v>359</v>
      </c>
      <c r="BB317" t="s">
        <v>228</v>
      </c>
      <c r="BC317" t="s">
        <v>229</v>
      </c>
      <c r="BD317" t="s">
        <v>113</v>
      </c>
      <c r="BI317" t="s">
        <v>233</v>
      </c>
      <c r="BJ317" t="s">
        <v>0</v>
      </c>
      <c r="BK317">
        <v>42449589</v>
      </c>
      <c r="BN317" t="s">
        <v>115</v>
      </c>
      <c r="BR317">
        <v>-205</v>
      </c>
      <c r="BS317">
        <v>42449615</v>
      </c>
      <c r="BT317" s="73">
        <v>45371.923622685186</v>
      </c>
      <c r="BU317" t="s">
        <v>226</v>
      </c>
      <c r="BV317" t="s">
        <v>359</v>
      </c>
      <c r="BW317" t="s">
        <v>228</v>
      </c>
      <c r="CH317" t="s">
        <v>229</v>
      </c>
      <c r="CI317" t="s">
        <v>113</v>
      </c>
      <c r="CJ317" t="s">
        <v>226</v>
      </c>
      <c r="CK317" t="s">
        <v>359</v>
      </c>
      <c r="CL317" t="s">
        <v>228</v>
      </c>
      <c r="CM317" t="s">
        <v>234</v>
      </c>
      <c r="CN317" t="s">
        <v>115</v>
      </c>
      <c r="CO317">
        <v>-205</v>
      </c>
      <c r="CP317">
        <v>42449615</v>
      </c>
      <c r="CQ317" s="73">
        <v>45371.923622685186</v>
      </c>
      <c r="CR317" t="s">
        <v>229</v>
      </c>
      <c r="CS317" t="s">
        <v>113</v>
      </c>
      <c r="CU317" t="s">
        <v>225</v>
      </c>
    </row>
    <row r="318" spans="1:99">
      <c r="A318" t="s">
        <v>129</v>
      </c>
      <c r="B318" t="s">
        <v>90</v>
      </c>
      <c r="J318" t="s">
        <v>225</v>
      </c>
      <c r="K318" t="s">
        <v>225</v>
      </c>
      <c r="M318" s="73">
        <v>45371.923622685186</v>
      </c>
      <c r="N318">
        <v>42449614</v>
      </c>
      <c r="O318">
        <v>-3.8</v>
      </c>
      <c r="P318" t="s">
        <v>73</v>
      </c>
      <c r="Q318">
        <v>-3.8</v>
      </c>
      <c r="R318" t="s">
        <v>73</v>
      </c>
      <c r="U318" t="s">
        <v>226</v>
      </c>
      <c r="V318" t="s">
        <v>359</v>
      </c>
      <c r="W318" t="s">
        <v>228</v>
      </c>
      <c r="X318" t="s">
        <v>229</v>
      </c>
      <c r="Y318" t="s">
        <v>129</v>
      </c>
      <c r="AD318" t="s">
        <v>73</v>
      </c>
      <c r="AE318">
        <v>-3.8</v>
      </c>
      <c r="AF318">
        <v>42449614</v>
      </c>
      <c r="AG318" s="73">
        <v>45371.923622685186</v>
      </c>
      <c r="AH318" t="s">
        <v>226</v>
      </c>
      <c r="AI318" t="s">
        <v>359</v>
      </c>
      <c r="AJ318" t="s">
        <v>228</v>
      </c>
      <c r="AK318" t="s">
        <v>229</v>
      </c>
      <c r="AL318" t="s">
        <v>129</v>
      </c>
      <c r="AP318" t="s">
        <v>230</v>
      </c>
      <c r="AQ318" t="s">
        <v>231</v>
      </c>
      <c r="AT318" t="s">
        <v>232</v>
      </c>
      <c r="AU318">
        <v>-99</v>
      </c>
      <c r="AV318" t="s">
        <v>73</v>
      </c>
      <c r="AW318">
        <v>-3.8</v>
      </c>
      <c r="AX318">
        <v>42449614</v>
      </c>
      <c r="AY318" s="73">
        <v>45371.923622685186</v>
      </c>
      <c r="AZ318" t="s">
        <v>226</v>
      </c>
      <c r="BA318" t="s">
        <v>359</v>
      </c>
      <c r="BB318" t="s">
        <v>228</v>
      </c>
      <c r="BC318" t="s">
        <v>229</v>
      </c>
      <c r="BD318" t="s">
        <v>129</v>
      </c>
      <c r="BI318" t="s">
        <v>233</v>
      </c>
      <c r="BJ318" t="s">
        <v>0</v>
      </c>
      <c r="BK318">
        <v>42449589</v>
      </c>
      <c r="BN318" t="s">
        <v>73</v>
      </c>
      <c r="BR318">
        <v>-3.8</v>
      </c>
      <c r="BS318">
        <v>42449614</v>
      </c>
      <c r="BT318" s="73">
        <v>45371.923622685186</v>
      </c>
      <c r="BU318" t="s">
        <v>226</v>
      </c>
      <c r="BV318" t="s">
        <v>359</v>
      </c>
      <c r="BW318" t="s">
        <v>228</v>
      </c>
      <c r="CH318" t="s">
        <v>229</v>
      </c>
      <c r="CI318" t="s">
        <v>129</v>
      </c>
      <c r="CJ318" t="s">
        <v>226</v>
      </c>
      <c r="CK318" t="s">
        <v>359</v>
      </c>
      <c r="CL318" t="s">
        <v>228</v>
      </c>
      <c r="CM318" t="s">
        <v>234</v>
      </c>
      <c r="CN318" t="s">
        <v>73</v>
      </c>
      <c r="CO318">
        <v>-3.8</v>
      </c>
      <c r="CP318">
        <v>42449614</v>
      </c>
      <c r="CQ318" s="73">
        <v>45371.923622685186</v>
      </c>
      <c r="CR318" t="s">
        <v>229</v>
      </c>
      <c r="CS318" t="s">
        <v>129</v>
      </c>
      <c r="CU318" t="s">
        <v>225</v>
      </c>
    </row>
    <row r="319" spans="1:99">
      <c r="A319" t="s">
        <v>99</v>
      </c>
      <c r="B319" t="s">
        <v>98</v>
      </c>
      <c r="J319" t="s">
        <v>225</v>
      </c>
      <c r="K319" t="s">
        <v>225</v>
      </c>
      <c r="M319" s="73">
        <v>45371.923622685186</v>
      </c>
      <c r="N319">
        <v>42449580</v>
      </c>
      <c r="O319">
        <v>520.82000000000005</v>
      </c>
      <c r="P319" t="s">
        <v>73</v>
      </c>
      <c r="Q319">
        <v>520.82000000000005</v>
      </c>
      <c r="R319" t="s">
        <v>73</v>
      </c>
      <c r="U319" t="s">
        <v>226</v>
      </c>
      <c r="V319" t="s">
        <v>358</v>
      </c>
      <c r="W319" t="s">
        <v>235</v>
      </c>
      <c r="X319" t="s">
        <v>229</v>
      </c>
      <c r="Y319" t="s">
        <v>99</v>
      </c>
      <c r="AD319" t="s">
        <v>73</v>
      </c>
      <c r="AE319">
        <v>520.82000000000005</v>
      </c>
      <c r="AF319">
        <v>42449580</v>
      </c>
      <c r="AG319" s="73">
        <v>45371.923622685186</v>
      </c>
      <c r="AH319" t="s">
        <v>226</v>
      </c>
      <c r="AI319" t="s">
        <v>358</v>
      </c>
      <c r="AJ319" t="s">
        <v>235</v>
      </c>
      <c r="AK319" t="s">
        <v>229</v>
      </c>
      <c r="AL319" t="s">
        <v>99</v>
      </c>
      <c r="AP319" t="s">
        <v>230</v>
      </c>
      <c r="AQ319" t="s">
        <v>231</v>
      </c>
      <c r="AT319" t="s">
        <v>232</v>
      </c>
      <c r="AU319">
        <v>-99</v>
      </c>
      <c r="AV319" t="s">
        <v>73</v>
      </c>
      <c r="AW319">
        <v>520.82000000000005</v>
      </c>
      <c r="AX319">
        <v>42449580</v>
      </c>
      <c r="AY319" s="73">
        <v>45371.923622685186</v>
      </c>
      <c r="AZ319" t="s">
        <v>226</v>
      </c>
      <c r="BA319" t="s">
        <v>358</v>
      </c>
      <c r="BB319" t="s">
        <v>235</v>
      </c>
      <c r="BC319" t="s">
        <v>229</v>
      </c>
      <c r="BD319" t="s">
        <v>99</v>
      </c>
      <c r="BI319" t="s">
        <v>233</v>
      </c>
      <c r="BJ319" t="s">
        <v>0</v>
      </c>
      <c r="BK319">
        <v>42449576</v>
      </c>
      <c r="BN319" t="s">
        <v>73</v>
      </c>
      <c r="BO319">
        <v>42449578</v>
      </c>
      <c r="BR319">
        <v>520.82000000000005</v>
      </c>
      <c r="BS319">
        <v>42449580</v>
      </c>
      <c r="BT319" s="73">
        <v>45371.923622685186</v>
      </c>
      <c r="BU319" t="s">
        <v>226</v>
      </c>
      <c r="BV319" t="s">
        <v>358</v>
      </c>
      <c r="BW319" t="s">
        <v>235</v>
      </c>
      <c r="CH319" t="s">
        <v>229</v>
      </c>
      <c r="CI319" t="s">
        <v>99</v>
      </c>
      <c r="CJ319" t="s">
        <v>226</v>
      </c>
      <c r="CK319" t="s">
        <v>358</v>
      </c>
      <c r="CL319" t="s">
        <v>235</v>
      </c>
      <c r="CM319" t="s">
        <v>236</v>
      </c>
      <c r="CN319" t="s">
        <v>73</v>
      </c>
      <c r="CO319">
        <v>520.82000000000005</v>
      </c>
      <c r="CP319">
        <v>42449580</v>
      </c>
      <c r="CQ319" s="73">
        <v>45371.923622685186</v>
      </c>
      <c r="CR319" t="s">
        <v>229</v>
      </c>
      <c r="CS319" t="s">
        <v>99</v>
      </c>
      <c r="CU319" t="s">
        <v>225</v>
      </c>
    </row>
    <row r="320" spans="1:99">
      <c r="A320" t="s">
        <v>71</v>
      </c>
      <c r="B320" t="s">
        <v>77</v>
      </c>
      <c r="J320" t="s">
        <v>225</v>
      </c>
      <c r="K320" t="s">
        <v>225</v>
      </c>
      <c r="M320" s="73">
        <v>45371.923622685186</v>
      </c>
      <c r="N320">
        <v>42449573</v>
      </c>
      <c r="O320">
        <v>0.31</v>
      </c>
      <c r="P320" t="s">
        <v>73</v>
      </c>
      <c r="Q320">
        <v>0.31</v>
      </c>
      <c r="R320" t="s">
        <v>73</v>
      </c>
      <c r="U320" t="s">
        <v>226</v>
      </c>
      <c r="V320" t="s">
        <v>358</v>
      </c>
      <c r="W320" t="s">
        <v>237</v>
      </c>
      <c r="X320" t="s">
        <v>229</v>
      </c>
      <c r="Y320" t="s">
        <v>71</v>
      </c>
      <c r="AD320" t="s">
        <v>73</v>
      </c>
      <c r="AE320">
        <v>0.31</v>
      </c>
      <c r="AF320">
        <v>42449573</v>
      </c>
      <c r="AG320" s="73">
        <v>45371.923622685186</v>
      </c>
      <c r="AH320" t="s">
        <v>226</v>
      </c>
      <c r="AI320" t="s">
        <v>358</v>
      </c>
      <c r="AJ320" t="s">
        <v>237</v>
      </c>
      <c r="AK320" t="s">
        <v>229</v>
      </c>
      <c r="AL320" t="s">
        <v>71</v>
      </c>
      <c r="AP320" t="s">
        <v>230</v>
      </c>
      <c r="AQ320" t="s">
        <v>231</v>
      </c>
      <c r="AT320" t="s">
        <v>232</v>
      </c>
      <c r="AU320">
        <v>-99</v>
      </c>
      <c r="AV320" t="s">
        <v>73</v>
      </c>
      <c r="AW320">
        <v>0.31</v>
      </c>
      <c r="AX320">
        <v>42449573</v>
      </c>
      <c r="AY320" s="73">
        <v>45371.923622685186</v>
      </c>
      <c r="AZ320" t="s">
        <v>226</v>
      </c>
      <c r="BA320" t="s">
        <v>358</v>
      </c>
      <c r="BB320" t="s">
        <v>237</v>
      </c>
      <c r="BC320" t="s">
        <v>229</v>
      </c>
      <c r="BD320" t="s">
        <v>71</v>
      </c>
      <c r="BI320" t="s">
        <v>233</v>
      </c>
      <c r="BJ320" t="s">
        <v>0</v>
      </c>
      <c r="BK320">
        <v>42449569</v>
      </c>
      <c r="BN320" t="s">
        <v>73</v>
      </c>
      <c r="BO320">
        <v>42449571</v>
      </c>
      <c r="BR320">
        <v>0.31</v>
      </c>
      <c r="BS320">
        <v>42449573</v>
      </c>
      <c r="BT320" s="73">
        <v>45371.923622685186</v>
      </c>
      <c r="BU320" t="s">
        <v>226</v>
      </c>
      <c r="BV320" t="s">
        <v>358</v>
      </c>
      <c r="BW320" t="s">
        <v>237</v>
      </c>
      <c r="CH320" t="s">
        <v>229</v>
      </c>
      <c r="CI320" t="s">
        <v>71</v>
      </c>
      <c r="CJ320" t="s">
        <v>226</v>
      </c>
      <c r="CK320" t="s">
        <v>358</v>
      </c>
      <c r="CL320" t="s">
        <v>237</v>
      </c>
      <c r="CM320" t="s">
        <v>236</v>
      </c>
      <c r="CN320" t="s">
        <v>73</v>
      </c>
      <c r="CO320">
        <v>0.31</v>
      </c>
      <c r="CP320">
        <v>42449573</v>
      </c>
      <c r="CQ320" s="73">
        <v>45371.923622685186</v>
      </c>
      <c r="CR320" t="s">
        <v>229</v>
      </c>
      <c r="CS320" t="s">
        <v>71</v>
      </c>
      <c r="CU320" t="s">
        <v>225</v>
      </c>
    </row>
    <row r="321" spans="1:99">
      <c r="A321" t="s">
        <v>87</v>
      </c>
      <c r="B321" t="s">
        <v>90</v>
      </c>
      <c r="J321" t="s">
        <v>225</v>
      </c>
      <c r="K321" t="s">
        <v>225</v>
      </c>
      <c r="M321" s="73">
        <v>45371.923622685186</v>
      </c>
      <c r="N321">
        <v>42449566</v>
      </c>
      <c r="O321">
        <v>-26.9</v>
      </c>
      <c r="P321" t="s">
        <v>73</v>
      </c>
      <c r="Q321">
        <v>-26.9</v>
      </c>
      <c r="R321" t="s">
        <v>73</v>
      </c>
      <c r="U321" t="s">
        <v>226</v>
      </c>
      <c r="V321" t="s">
        <v>358</v>
      </c>
      <c r="W321" t="s">
        <v>228</v>
      </c>
      <c r="X321" t="s">
        <v>229</v>
      </c>
      <c r="Y321" t="s">
        <v>87</v>
      </c>
      <c r="AD321" t="s">
        <v>73</v>
      </c>
      <c r="AE321">
        <v>-26.9</v>
      </c>
      <c r="AF321">
        <v>42449566</v>
      </c>
      <c r="AG321" s="73">
        <v>45371.923622685186</v>
      </c>
      <c r="AH321" t="s">
        <v>226</v>
      </c>
      <c r="AI321" t="s">
        <v>358</v>
      </c>
      <c r="AJ321" t="s">
        <v>228</v>
      </c>
      <c r="AK321" t="s">
        <v>229</v>
      </c>
      <c r="AL321" t="s">
        <v>87</v>
      </c>
      <c r="AP321" t="s">
        <v>230</v>
      </c>
      <c r="AQ321" t="s">
        <v>231</v>
      </c>
      <c r="AT321" t="s">
        <v>232</v>
      </c>
      <c r="AU321">
        <v>-99</v>
      </c>
      <c r="AV321" t="s">
        <v>73</v>
      </c>
      <c r="AW321">
        <v>-26.9</v>
      </c>
      <c r="AX321">
        <v>42449566</v>
      </c>
      <c r="AY321" s="73">
        <v>45371.923622685186</v>
      </c>
      <c r="AZ321" t="s">
        <v>226</v>
      </c>
      <c r="BA321" t="s">
        <v>358</v>
      </c>
      <c r="BB321" t="s">
        <v>228</v>
      </c>
      <c r="BC321" t="s">
        <v>229</v>
      </c>
      <c r="BD321" t="s">
        <v>87</v>
      </c>
      <c r="BI321" t="s">
        <v>233</v>
      </c>
      <c r="BJ321" t="s">
        <v>0</v>
      </c>
      <c r="BK321">
        <v>42449562</v>
      </c>
      <c r="BN321" t="s">
        <v>73</v>
      </c>
      <c r="BR321">
        <v>-26.9</v>
      </c>
      <c r="BS321">
        <v>42449566</v>
      </c>
      <c r="BT321" s="73">
        <v>45371.923622685186</v>
      </c>
      <c r="BU321" t="s">
        <v>226</v>
      </c>
      <c r="BV321" t="s">
        <v>358</v>
      </c>
      <c r="BW321" t="s">
        <v>228</v>
      </c>
      <c r="CH321" t="s">
        <v>229</v>
      </c>
      <c r="CI321" t="s">
        <v>87</v>
      </c>
      <c r="CJ321" t="s">
        <v>226</v>
      </c>
      <c r="CK321" t="s">
        <v>358</v>
      </c>
      <c r="CL321" t="s">
        <v>228</v>
      </c>
      <c r="CM321" t="s">
        <v>234</v>
      </c>
      <c r="CN321" t="s">
        <v>73</v>
      </c>
      <c r="CO321">
        <v>-26.9</v>
      </c>
      <c r="CP321">
        <v>42449566</v>
      </c>
      <c r="CQ321" s="73">
        <v>45371.923622685186</v>
      </c>
      <c r="CR321" t="s">
        <v>229</v>
      </c>
      <c r="CS321" t="s">
        <v>87</v>
      </c>
      <c r="CU321" t="s">
        <v>225</v>
      </c>
    </row>
    <row r="322" spans="1:99">
      <c r="A322" t="s">
        <v>131</v>
      </c>
      <c r="B322" t="s">
        <v>90</v>
      </c>
      <c r="J322" t="s">
        <v>225</v>
      </c>
      <c r="K322" t="s">
        <v>225</v>
      </c>
      <c r="M322" s="73">
        <v>45371.923622685186</v>
      </c>
      <c r="N322">
        <v>42449559</v>
      </c>
      <c r="O322">
        <v>-48.1</v>
      </c>
      <c r="P322" t="s">
        <v>73</v>
      </c>
      <c r="Q322">
        <v>-48.1</v>
      </c>
      <c r="R322" t="s">
        <v>73</v>
      </c>
      <c r="U322" t="s">
        <v>226</v>
      </c>
      <c r="V322" t="s">
        <v>358</v>
      </c>
      <c r="W322" t="s">
        <v>228</v>
      </c>
      <c r="X322" t="s">
        <v>229</v>
      </c>
      <c r="Y322" t="s">
        <v>131</v>
      </c>
      <c r="AD322" t="s">
        <v>73</v>
      </c>
      <c r="AE322">
        <v>-48.1</v>
      </c>
      <c r="AF322">
        <v>42449559</v>
      </c>
      <c r="AG322" s="73">
        <v>45371.923622685186</v>
      </c>
      <c r="AH322" t="s">
        <v>226</v>
      </c>
      <c r="AI322" t="s">
        <v>358</v>
      </c>
      <c r="AJ322" t="s">
        <v>228</v>
      </c>
      <c r="AK322" t="s">
        <v>229</v>
      </c>
      <c r="AL322" t="s">
        <v>131</v>
      </c>
      <c r="AP322" t="s">
        <v>230</v>
      </c>
      <c r="AQ322" t="s">
        <v>231</v>
      </c>
      <c r="AT322" t="s">
        <v>232</v>
      </c>
      <c r="AU322">
        <v>-99</v>
      </c>
      <c r="AV322" t="s">
        <v>73</v>
      </c>
      <c r="AW322">
        <v>-48.1</v>
      </c>
      <c r="AX322">
        <v>42449559</v>
      </c>
      <c r="AY322" s="73">
        <v>45371.923622685186</v>
      </c>
      <c r="AZ322" t="s">
        <v>226</v>
      </c>
      <c r="BA322" t="s">
        <v>358</v>
      </c>
      <c r="BB322" t="s">
        <v>228</v>
      </c>
      <c r="BC322" t="s">
        <v>229</v>
      </c>
      <c r="BD322" t="s">
        <v>131</v>
      </c>
      <c r="BI322" t="s">
        <v>233</v>
      </c>
      <c r="BJ322" t="s">
        <v>0</v>
      </c>
      <c r="BK322">
        <v>42449555</v>
      </c>
      <c r="BN322" t="s">
        <v>73</v>
      </c>
      <c r="BR322">
        <v>-48.1</v>
      </c>
      <c r="BS322">
        <v>42449559</v>
      </c>
      <c r="BT322" s="73">
        <v>45371.923622685186</v>
      </c>
      <c r="BU322" t="s">
        <v>226</v>
      </c>
      <c r="BV322" t="s">
        <v>358</v>
      </c>
      <c r="BW322" t="s">
        <v>228</v>
      </c>
      <c r="CH322" t="s">
        <v>229</v>
      </c>
      <c r="CI322" t="s">
        <v>131</v>
      </c>
      <c r="CJ322" t="s">
        <v>226</v>
      </c>
      <c r="CK322" t="s">
        <v>358</v>
      </c>
      <c r="CL322" t="s">
        <v>228</v>
      </c>
      <c r="CM322" t="s">
        <v>234</v>
      </c>
      <c r="CN322" t="s">
        <v>73</v>
      </c>
      <c r="CO322">
        <v>-48.1</v>
      </c>
      <c r="CP322">
        <v>42449559</v>
      </c>
      <c r="CQ322" s="73">
        <v>45371.923622685186</v>
      </c>
      <c r="CR322" t="s">
        <v>229</v>
      </c>
      <c r="CS322" t="s">
        <v>131</v>
      </c>
      <c r="CU322" t="s">
        <v>225</v>
      </c>
    </row>
    <row r="323" spans="1:99">
      <c r="A323" t="s">
        <v>133</v>
      </c>
      <c r="B323" t="s">
        <v>90</v>
      </c>
      <c r="J323" t="s">
        <v>225</v>
      </c>
      <c r="K323" t="s">
        <v>225</v>
      </c>
      <c r="M323" s="73">
        <v>45371.923622685186</v>
      </c>
      <c r="N323">
        <v>42449552</v>
      </c>
      <c r="O323">
        <v>-220.5</v>
      </c>
      <c r="P323" t="s">
        <v>73</v>
      </c>
      <c r="Q323">
        <v>-220.5</v>
      </c>
      <c r="R323" t="s">
        <v>73</v>
      </c>
      <c r="U323" t="s">
        <v>226</v>
      </c>
      <c r="V323" t="s">
        <v>358</v>
      </c>
      <c r="W323" t="s">
        <v>228</v>
      </c>
      <c r="X323" t="s">
        <v>229</v>
      </c>
      <c r="Y323" t="s">
        <v>133</v>
      </c>
      <c r="AD323" t="s">
        <v>73</v>
      </c>
      <c r="AE323">
        <v>-220.5</v>
      </c>
      <c r="AF323">
        <v>42449552</v>
      </c>
      <c r="AG323" s="73">
        <v>45371.923622685186</v>
      </c>
      <c r="AH323" t="s">
        <v>226</v>
      </c>
      <c r="AI323" t="s">
        <v>358</v>
      </c>
      <c r="AJ323" t="s">
        <v>228</v>
      </c>
      <c r="AK323" t="s">
        <v>229</v>
      </c>
      <c r="AL323" t="s">
        <v>133</v>
      </c>
      <c r="AP323" t="s">
        <v>230</v>
      </c>
      <c r="AQ323" t="s">
        <v>231</v>
      </c>
      <c r="AT323" t="s">
        <v>232</v>
      </c>
      <c r="AU323">
        <v>-99</v>
      </c>
      <c r="AV323" t="s">
        <v>73</v>
      </c>
      <c r="AW323">
        <v>-220.5</v>
      </c>
      <c r="AX323">
        <v>42449552</v>
      </c>
      <c r="AY323" s="73">
        <v>45371.923622685186</v>
      </c>
      <c r="AZ323" t="s">
        <v>226</v>
      </c>
      <c r="BA323" t="s">
        <v>358</v>
      </c>
      <c r="BB323" t="s">
        <v>228</v>
      </c>
      <c r="BC323" t="s">
        <v>229</v>
      </c>
      <c r="BD323" t="s">
        <v>133</v>
      </c>
      <c r="BI323" t="s">
        <v>233</v>
      </c>
      <c r="BJ323" t="s">
        <v>0</v>
      </c>
      <c r="BK323">
        <v>42449548</v>
      </c>
      <c r="BN323" t="s">
        <v>73</v>
      </c>
      <c r="BR323">
        <v>-220.5</v>
      </c>
      <c r="BS323">
        <v>42449552</v>
      </c>
      <c r="BT323" s="73">
        <v>45371.923622685186</v>
      </c>
      <c r="BU323" t="s">
        <v>226</v>
      </c>
      <c r="BV323" t="s">
        <v>358</v>
      </c>
      <c r="BW323" t="s">
        <v>228</v>
      </c>
      <c r="CH323" t="s">
        <v>229</v>
      </c>
      <c r="CI323" t="s">
        <v>133</v>
      </c>
      <c r="CJ323" t="s">
        <v>226</v>
      </c>
      <c r="CK323" t="s">
        <v>358</v>
      </c>
      <c r="CL323" t="s">
        <v>228</v>
      </c>
      <c r="CM323" t="s">
        <v>234</v>
      </c>
      <c r="CN323" t="s">
        <v>73</v>
      </c>
      <c r="CO323">
        <v>-220.5</v>
      </c>
      <c r="CP323">
        <v>42449552</v>
      </c>
      <c r="CQ323" s="73">
        <v>45371.923622685186</v>
      </c>
      <c r="CR323" t="s">
        <v>229</v>
      </c>
      <c r="CS323" t="s">
        <v>133</v>
      </c>
      <c r="CU323" t="s">
        <v>225</v>
      </c>
    </row>
    <row r="324" spans="1:99">
      <c r="A324" t="s">
        <v>127</v>
      </c>
      <c r="B324" t="s">
        <v>90</v>
      </c>
      <c r="J324" t="s">
        <v>225</v>
      </c>
      <c r="K324" t="s">
        <v>225</v>
      </c>
      <c r="M324" s="73">
        <v>45371.923622685186</v>
      </c>
      <c r="N324">
        <v>42449545</v>
      </c>
      <c r="O324">
        <v>-242.5</v>
      </c>
      <c r="P324" t="s">
        <v>73</v>
      </c>
      <c r="Q324">
        <v>-242.5</v>
      </c>
      <c r="R324" t="s">
        <v>73</v>
      </c>
      <c r="U324" t="s">
        <v>226</v>
      </c>
      <c r="V324" t="s">
        <v>358</v>
      </c>
      <c r="W324" t="s">
        <v>228</v>
      </c>
      <c r="X324" t="s">
        <v>229</v>
      </c>
      <c r="Y324" t="s">
        <v>127</v>
      </c>
      <c r="AD324" t="s">
        <v>73</v>
      </c>
      <c r="AE324">
        <v>-242.5</v>
      </c>
      <c r="AF324">
        <v>42449545</v>
      </c>
      <c r="AG324" s="73">
        <v>45371.923622685186</v>
      </c>
      <c r="AH324" t="s">
        <v>226</v>
      </c>
      <c r="AI324" t="s">
        <v>358</v>
      </c>
      <c r="AJ324" t="s">
        <v>228</v>
      </c>
      <c r="AK324" t="s">
        <v>229</v>
      </c>
      <c r="AL324" t="s">
        <v>127</v>
      </c>
      <c r="AP324" t="s">
        <v>230</v>
      </c>
      <c r="AQ324" t="s">
        <v>231</v>
      </c>
      <c r="AT324" t="s">
        <v>232</v>
      </c>
      <c r="AU324">
        <v>-99</v>
      </c>
      <c r="AV324" t="s">
        <v>73</v>
      </c>
      <c r="AW324">
        <v>-242.5</v>
      </c>
      <c r="AX324">
        <v>42449545</v>
      </c>
      <c r="AY324" s="73">
        <v>45371.923622685186</v>
      </c>
      <c r="AZ324" t="s">
        <v>226</v>
      </c>
      <c r="BA324" t="s">
        <v>358</v>
      </c>
      <c r="BB324" t="s">
        <v>228</v>
      </c>
      <c r="BC324" t="s">
        <v>229</v>
      </c>
      <c r="BD324" t="s">
        <v>127</v>
      </c>
      <c r="BI324" t="s">
        <v>233</v>
      </c>
      <c r="BJ324" t="s">
        <v>0</v>
      </c>
      <c r="BK324">
        <v>42449541</v>
      </c>
      <c r="BN324" t="s">
        <v>73</v>
      </c>
      <c r="BR324">
        <v>-242.5</v>
      </c>
      <c r="BS324">
        <v>42449545</v>
      </c>
      <c r="BT324" s="73">
        <v>45371.923622685186</v>
      </c>
      <c r="BU324" t="s">
        <v>226</v>
      </c>
      <c r="BV324" t="s">
        <v>358</v>
      </c>
      <c r="BW324" t="s">
        <v>228</v>
      </c>
      <c r="CH324" t="s">
        <v>229</v>
      </c>
      <c r="CI324" t="s">
        <v>127</v>
      </c>
      <c r="CJ324" t="s">
        <v>226</v>
      </c>
      <c r="CK324" t="s">
        <v>358</v>
      </c>
      <c r="CL324" t="s">
        <v>228</v>
      </c>
      <c r="CM324" t="s">
        <v>234</v>
      </c>
      <c r="CN324" t="s">
        <v>73</v>
      </c>
      <c r="CO324">
        <v>-242.5</v>
      </c>
      <c r="CP324">
        <v>42449545</v>
      </c>
      <c r="CQ324" s="73">
        <v>45371.923622685186</v>
      </c>
      <c r="CR324" t="s">
        <v>229</v>
      </c>
      <c r="CS324" t="s">
        <v>127</v>
      </c>
      <c r="CU324" t="s">
        <v>225</v>
      </c>
    </row>
    <row r="325" spans="1:99">
      <c r="A325" t="s">
        <v>93</v>
      </c>
      <c r="B325" t="s">
        <v>98</v>
      </c>
      <c r="J325" t="s">
        <v>225</v>
      </c>
      <c r="K325" t="s">
        <v>225</v>
      </c>
      <c r="M325" s="73">
        <v>45371.923622685186</v>
      </c>
      <c r="N325">
        <v>42449538</v>
      </c>
      <c r="O325">
        <v>801</v>
      </c>
      <c r="P325" t="s">
        <v>73</v>
      </c>
      <c r="Q325">
        <v>801</v>
      </c>
      <c r="R325" t="s">
        <v>73</v>
      </c>
      <c r="U325" t="s">
        <v>226</v>
      </c>
      <c r="V325" t="s">
        <v>359</v>
      </c>
      <c r="W325" t="s">
        <v>235</v>
      </c>
      <c r="X325" t="s">
        <v>229</v>
      </c>
      <c r="Y325" t="s">
        <v>93</v>
      </c>
      <c r="AD325" t="s">
        <v>73</v>
      </c>
      <c r="AE325">
        <v>801</v>
      </c>
      <c r="AF325">
        <v>42449538</v>
      </c>
      <c r="AG325" s="73">
        <v>45371.923622685186</v>
      </c>
      <c r="AH325" t="s">
        <v>226</v>
      </c>
      <c r="AI325" t="s">
        <v>359</v>
      </c>
      <c r="AJ325" t="s">
        <v>235</v>
      </c>
      <c r="AK325" t="s">
        <v>229</v>
      </c>
      <c r="AL325" t="s">
        <v>93</v>
      </c>
      <c r="AP325" t="s">
        <v>230</v>
      </c>
      <c r="AQ325" t="s">
        <v>231</v>
      </c>
      <c r="AT325" t="s">
        <v>232</v>
      </c>
      <c r="AU325">
        <v>-99</v>
      </c>
      <c r="AV325" t="s">
        <v>73</v>
      </c>
      <c r="AW325">
        <v>801</v>
      </c>
      <c r="AX325">
        <v>42449538</v>
      </c>
      <c r="AY325" s="73">
        <v>45371.923622685186</v>
      </c>
      <c r="AZ325" t="s">
        <v>226</v>
      </c>
      <c r="BA325" t="s">
        <v>359</v>
      </c>
      <c r="BB325" t="s">
        <v>235</v>
      </c>
      <c r="BC325" t="s">
        <v>229</v>
      </c>
      <c r="BD325" t="s">
        <v>93</v>
      </c>
      <c r="BI325" t="s">
        <v>233</v>
      </c>
      <c r="BJ325" t="s">
        <v>0</v>
      </c>
      <c r="BK325">
        <v>42449534</v>
      </c>
      <c r="BN325" t="s">
        <v>73</v>
      </c>
      <c r="BO325">
        <v>42449536</v>
      </c>
      <c r="BR325">
        <v>801</v>
      </c>
      <c r="BS325">
        <v>42449538</v>
      </c>
      <c r="BT325" s="73">
        <v>45371.923622685186</v>
      </c>
      <c r="BU325" t="s">
        <v>226</v>
      </c>
      <c r="BV325" t="s">
        <v>359</v>
      </c>
      <c r="BW325" t="s">
        <v>235</v>
      </c>
      <c r="CH325" t="s">
        <v>229</v>
      </c>
      <c r="CI325" t="s">
        <v>93</v>
      </c>
      <c r="CJ325" t="s">
        <v>226</v>
      </c>
      <c r="CK325" t="s">
        <v>359</v>
      </c>
      <c r="CL325" t="s">
        <v>235</v>
      </c>
      <c r="CM325" t="s">
        <v>236</v>
      </c>
      <c r="CN325" t="s">
        <v>73</v>
      </c>
      <c r="CO325">
        <v>801</v>
      </c>
      <c r="CP325">
        <v>42449538</v>
      </c>
      <c r="CQ325" s="73">
        <v>45371.923622685186</v>
      </c>
      <c r="CR325" t="s">
        <v>229</v>
      </c>
      <c r="CS325" t="s">
        <v>93</v>
      </c>
      <c r="CU325" t="s">
        <v>225</v>
      </c>
    </row>
    <row r="326" spans="1:99">
      <c r="A326" t="s">
        <v>71</v>
      </c>
      <c r="B326" t="s">
        <v>77</v>
      </c>
      <c r="J326" t="s">
        <v>225</v>
      </c>
      <c r="K326" t="s">
        <v>225</v>
      </c>
      <c r="M326" s="73">
        <v>45371.923622685186</v>
      </c>
      <c r="N326">
        <v>42449531</v>
      </c>
      <c r="O326">
        <v>0.32</v>
      </c>
      <c r="P326" t="s">
        <v>73</v>
      </c>
      <c r="Q326">
        <v>0.32</v>
      </c>
      <c r="R326" t="s">
        <v>73</v>
      </c>
      <c r="U326" t="s">
        <v>226</v>
      </c>
      <c r="V326" t="s">
        <v>359</v>
      </c>
      <c r="W326" t="s">
        <v>237</v>
      </c>
      <c r="X326" t="s">
        <v>229</v>
      </c>
      <c r="Y326" t="s">
        <v>71</v>
      </c>
      <c r="AD326" t="s">
        <v>73</v>
      </c>
      <c r="AE326">
        <v>0.32</v>
      </c>
      <c r="AF326">
        <v>42449531</v>
      </c>
      <c r="AG326" s="73">
        <v>45371.923622685186</v>
      </c>
      <c r="AH326" t="s">
        <v>226</v>
      </c>
      <c r="AI326" t="s">
        <v>359</v>
      </c>
      <c r="AJ326" t="s">
        <v>237</v>
      </c>
      <c r="AK326" t="s">
        <v>229</v>
      </c>
      <c r="AL326" t="s">
        <v>71</v>
      </c>
      <c r="AP326" t="s">
        <v>230</v>
      </c>
      <c r="AQ326" t="s">
        <v>231</v>
      </c>
      <c r="AT326" t="s">
        <v>232</v>
      </c>
      <c r="AU326">
        <v>-99</v>
      </c>
      <c r="AV326" t="s">
        <v>73</v>
      </c>
      <c r="AW326">
        <v>0.32</v>
      </c>
      <c r="AX326">
        <v>42449531</v>
      </c>
      <c r="AY326" s="73">
        <v>45371.923622685186</v>
      </c>
      <c r="AZ326" t="s">
        <v>226</v>
      </c>
      <c r="BA326" t="s">
        <v>359</v>
      </c>
      <c r="BB326" t="s">
        <v>237</v>
      </c>
      <c r="BC326" t="s">
        <v>229</v>
      </c>
      <c r="BD326" t="s">
        <v>71</v>
      </c>
      <c r="BI326" t="s">
        <v>233</v>
      </c>
      <c r="BJ326" t="s">
        <v>0</v>
      </c>
      <c r="BK326">
        <v>42449527</v>
      </c>
      <c r="BN326" t="s">
        <v>73</v>
      </c>
      <c r="BO326">
        <v>42449529</v>
      </c>
      <c r="BR326">
        <v>0.32</v>
      </c>
      <c r="BS326">
        <v>42449531</v>
      </c>
      <c r="BT326" s="73">
        <v>45371.923622685186</v>
      </c>
      <c r="BU326" t="s">
        <v>226</v>
      </c>
      <c r="BV326" t="s">
        <v>359</v>
      </c>
      <c r="BW326" t="s">
        <v>237</v>
      </c>
      <c r="CH326" t="s">
        <v>229</v>
      </c>
      <c r="CI326" t="s">
        <v>71</v>
      </c>
      <c r="CJ326" t="s">
        <v>226</v>
      </c>
      <c r="CK326" t="s">
        <v>359</v>
      </c>
      <c r="CL326" t="s">
        <v>237</v>
      </c>
      <c r="CM326" t="s">
        <v>236</v>
      </c>
      <c r="CN326" t="s">
        <v>73</v>
      </c>
      <c r="CO326">
        <v>0.32</v>
      </c>
      <c r="CP326">
        <v>42449531</v>
      </c>
      <c r="CQ326" s="73">
        <v>45371.923622685186</v>
      </c>
      <c r="CR326" t="s">
        <v>229</v>
      </c>
      <c r="CS326" t="s">
        <v>71</v>
      </c>
      <c r="CU326" t="s">
        <v>225</v>
      </c>
    </row>
    <row r="327" spans="1:99">
      <c r="A327" t="s">
        <v>87</v>
      </c>
      <c r="B327" t="s">
        <v>90</v>
      </c>
      <c r="J327" t="s">
        <v>225</v>
      </c>
      <c r="K327" t="s">
        <v>225</v>
      </c>
      <c r="M327" s="73">
        <v>45371.923622685186</v>
      </c>
      <c r="N327">
        <v>42449524</v>
      </c>
      <c r="O327">
        <v>-40.700000000000003</v>
      </c>
      <c r="P327" t="s">
        <v>73</v>
      </c>
      <c r="Q327">
        <v>-40.700000000000003</v>
      </c>
      <c r="R327" t="s">
        <v>73</v>
      </c>
      <c r="U327" t="s">
        <v>226</v>
      </c>
      <c r="V327" t="s">
        <v>359</v>
      </c>
      <c r="W327" t="s">
        <v>228</v>
      </c>
      <c r="X327" t="s">
        <v>229</v>
      </c>
      <c r="Y327" t="s">
        <v>87</v>
      </c>
      <c r="AD327" t="s">
        <v>73</v>
      </c>
      <c r="AE327">
        <v>-40.700000000000003</v>
      </c>
      <c r="AF327">
        <v>42449524</v>
      </c>
      <c r="AG327" s="73">
        <v>45371.923622685186</v>
      </c>
      <c r="AH327" t="s">
        <v>226</v>
      </c>
      <c r="AI327" t="s">
        <v>359</v>
      </c>
      <c r="AJ327" t="s">
        <v>228</v>
      </c>
      <c r="AK327" t="s">
        <v>229</v>
      </c>
      <c r="AL327" t="s">
        <v>87</v>
      </c>
      <c r="AP327" t="s">
        <v>230</v>
      </c>
      <c r="AQ327" t="s">
        <v>231</v>
      </c>
      <c r="AT327" t="s">
        <v>232</v>
      </c>
      <c r="AU327">
        <v>-99</v>
      </c>
      <c r="AV327" t="s">
        <v>73</v>
      </c>
      <c r="AW327">
        <v>-40.700000000000003</v>
      </c>
      <c r="AX327">
        <v>42449524</v>
      </c>
      <c r="AY327" s="73">
        <v>45371.923622685186</v>
      </c>
      <c r="AZ327" t="s">
        <v>226</v>
      </c>
      <c r="BA327" t="s">
        <v>359</v>
      </c>
      <c r="BB327" t="s">
        <v>228</v>
      </c>
      <c r="BC327" t="s">
        <v>229</v>
      </c>
      <c r="BD327" t="s">
        <v>87</v>
      </c>
      <c r="BI327" t="s">
        <v>233</v>
      </c>
      <c r="BJ327" t="s">
        <v>0</v>
      </c>
      <c r="BK327">
        <v>42449520</v>
      </c>
      <c r="BN327" t="s">
        <v>73</v>
      </c>
      <c r="BR327">
        <v>-40.700000000000003</v>
      </c>
      <c r="BS327">
        <v>42449524</v>
      </c>
      <c r="BT327" s="73">
        <v>45371.923622685186</v>
      </c>
      <c r="BU327" t="s">
        <v>226</v>
      </c>
      <c r="BV327" t="s">
        <v>359</v>
      </c>
      <c r="BW327" t="s">
        <v>228</v>
      </c>
      <c r="CH327" t="s">
        <v>229</v>
      </c>
      <c r="CI327" t="s">
        <v>87</v>
      </c>
      <c r="CJ327" t="s">
        <v>226</v>
      </c>
      <c r="CK327" t="s">
        <v>359</v>
      </c>
      <c r="CL327" t="s">
        <v>228</v>
      </c>
      <c r="CM327" t="s">
        <v>234</v>
      </c>
      <c r="CN327" t="s">
        <v>73</v>
      </c>
      <c r="CO327">
        <v>-40.700000000000003</v>
      </c>
      <c r="CP327">
        <v>42449524</v>
      </c>
      <c r="CQ327" s="73">
        <v>45371.923622685186</v>
      </c>
      <c r="CR327" t="s">
        <v>229</v>
      </c>
      <c r="CS327" t="s">
        <v>87</v>
      </c>
      <c r="CU327" t="s">
        <v>225</v>
      </c>
    </row>
    <row r="328" spans="1:99">
      <c r="A328" t="s">
        <v>131</v>
      </c>
      <c r="B328" t="s">
        <v>90</v>
      </c>
      <c r="J328" t="s">
        <v>225</v>
      </c>
      <c r="K328" t="s">
        <v>225</v>
      </c>
      <c r="M328" s="73">
        <v>45371.923622685186</v>
      </c>
      <c r="N328">
        <v>42449517</v>
      </c>
      <c r="O328">
        <v>-40.5</v>
      </c>
      <c r="P328" t="s">
        <v>73</v>
      </c>
      <c r="Q328">
        <v>-40.5</v>
      </c>
      <c r="R328" t="s">
        <v>73</v>
      </c>
      <c r="U328" t="s">
        <v>226</v>
      </c>
      <c r="V328" t="s">
        <v>359</v>
      </c>
      <c r="W328" t="s">
        <v>228</v>
      </c>
      <c r="X328" t="s">
        <v>229</v>
      </c>
      <c r="Y328" t="s">
        <v>131</v>
      </c>
      <c r="AD328" t="s">
        <v>73</v>
      </c>
      <c r="AE328">
        <v>-40.5</v>
      </c>
      <c r="AF328">
        <v>42449517</v>
      </c>
      <c r="AG328" s="73">
        <v>45371.923622685186</v>
      </c>
      <c r="AH328" t="s">
        <v>226</v>
      </c>
      <c r="AI328" t="s">
        <v>359</v>
      </c>
      <c r="AJ328" t="s">
        <v>228</v>
      </c>
      <c r="AK328" t="s">
        <v>229</v>
      </c>
      <c r="AL328" t="s">
        <v>131</v>
      </c>
      <c r="AP328" t="s">
        <v>230</v>
      </c>
      <c r="AQ328" t="s">
        <v>231</v>
      </c>
      <c r="AT328" t="s">
        <v>232</v>
      </c>
      <c r="AU328">
        <v>-99</v>
      </c>
      <c r="AV328" t="s">
        <v>73</v>
      </c>
      <c r="AW328">
        <v>-40.5</v>
      </c>
      <c r="AX328">
        <v>42449517</v>
      </c>
      <c r="AY328" s="73">
        <v>45371.923622685186</v>
      </c>
      <c r="AZ328" t="s">
        <v>226</v>
      </c>
      <c r="BA328" t="s">
        <v>359</v>
      </c>
      <c r="BB328" t="s">
        <v>228</v>
      </c>
      <c r="BC328" t="s">
        <v>229</v>
      </c>
      <c r="BD328" t="s">
        <v>131</v>
      </c>
      <c r="BI328" t="s">
        <v>233</v>
      </c>
      <c r="BJ328" t="s">
        <v>0</v>
      </c>
      <c r="BK328">
        <v>42449513</v>
      </c>
      <c r="BN328" t="s">
        <v>73</v>
      </c>
      <c r="BR328">
        <v>-40.5</v>
      </c>
      <c r="BS328">
        <v>42449517</v>
      </c>
      <c r="BT328" s="73">
        <v>45371.923622685186</v>
      </c>
      <c r="BU328" t="s">
        <v>226</v>
      </c>
      <c r="BV328" t="s">
        <v>359</v>
      </c>
      <c r="BW328" t="s">
        <v>228</v>
      </c>
      <c r="CH328" t="s">
        <v>229</v>
      </c>
      <c r="CI328" t="s">
        <v>131</v>
      </c>
      <c r="CJ328" t="s">
        <v>226</v>
      </c>
      <c r="CK328" t="s">
        <v>359</v>
      </c>
      <c r="CL328" t="s">
        <v>228</v>
      </c>
      <c r="CM328" t="s">
        <v>234</v>
      </c>
      <c r="CN328" t="s">
        <v>73</v>
      </c>
      <c r="CO328">
        <v>-40.5</v>
      </c>
      <c r="CP328">
        <v>42449517</v>
      </c>
      <c r="CQ328" s="73">
        <v>45371.923622685186</v>
      </c>
      <c r="CR328" t="s">
        <v>229</v>
      </c>
      <c r="CS328" t="s">
        <v>131</v>
      </c>
      <c r="CU328" t="s">
        <v>225</v>
      </c>
    </row>
    <row r="329" spans="1:99">
      <c r="A329" t="s">
        <v>133</v>
      </c>
      <c r="B329" t="s">
        <v>90</v>
      </c>
      <c r="J329" t="s">
        <v>225</v>
      </c>
      <c r="K329" t="s">
        <v>225</v>
      </c>
      <c r="M329" s="73">
        <v>45371.923622685186</v>
      </c>
      <c r="N329">
        <v>42449510</v>
      </c>
      <c r="O329">
        <v>-163.30000000000001</v>
      </c>
      <c r="P329" t="s">
        <v>73</v>
      </c>
      <c r="Q329">
        <v>-163.30000000000001</v>
      </c>
      <c r="R329" t="s">
        <v>73</v>
      </c>
      <c r="U329" t="s">
        <v>226</v>
      </c>
      <c r="V329" t="s">
        <v>359</v>
      </c>
      <c r="W329" t="s">
        <v>228</v>
      </c>
      <c r="X329" t="s">
        <v>229</v>
      </c>
      <c r="Y329" t="s">
        <v>133</v>
      </c>
      <c r="AD329" t="s">
        <v>73</v>
      </c>
      <c r="AE329">
        <v>-163.30000000000001</v>
      </c>
      <c r="AF329">
        <v>42449510</v>
      </c>
      <c r="AG329" s="73">
        <v>45371.923622685186</v>
      </c>
      <c r="AH329" t="s">
        <v>226</v>
      </c>
      <c r="AI329" t="s">
        <v>359</v>
      </c>
      <c r="AJ329" t="s">
        <v>228</v>
      </c>
      <c r="AK329" t="s">
        <v>229</v>
      </c>
      <c r="AL329" t="s">
        <v>133</v>
      </c>
      <c r="AP329" t="s">
        <v>230</v>
      </c>
      <c r="AQ329" t="s">
        <v>231</v>
      </c>
      <c r="AT329" t="s">
        <v>232</v>
      </c>
      <c r="AU329">
        <v>-99</v>
      </c>
      <c r="AV329" t="s">
        <v>73</v>
      </c>
      <c r="AW329">
        <v>-163.30000000000001</v>
      </c>
      <c r="AX329">
        <v>42449510</v>
      </c>
      <c r="AY329" s="73">
        <v>45371.923622685186</v>
      </c>
      <c r="AZ329" t="s">
        <v>226</v>
      </c>
      <c r="BA329" t="s">
        <v>359</v>
      </c>
      <c r="BB329" t="s">
        <v>228</v>
      </c>
      <c r="BC329" t="s">
        <v>229</v>
      </c>
      <c r="BD329" t="s">
        <v>133</v>
      </c>
      <c r="BI329" t="s">
        <v>233</v>
      </c>
      <c r="BJ329" t="s">
        <v>0</v>
      </c>
      <c r="BK329">
        <v>42449506</v>
      </c>
      <c r="BN329" t="s">
        <v>73</v>
      </c>
      <c r="BR329">
        <v>-163.30000000000001</v>
      </c>
      <c r="BS329">
        <v>42449510</v>
      </c>
      <c r="BT329" s="73">
        <v>45371.923622685186</v>
      </c>
      <c r="BU329" t="s">
        <v>226</v>
      </c>
      <c r="BV329" t="s">
        <v>359</v>
      </c>
      <c r="BW329" t="s">
        <v>228</v>
      </c>
      <c r="CH329" t="s">
        <v>229</v>
      </c>
      <c r="CI329" t="s">
        <v>133</v>
      </c>
      <c r="CJ329" t="s">
        <v>226</v>
      </c>
      <c r="CK329" t="s">
        <v>359</v>
      </c>
      <c r="CL329" t="s">
        <v>228</v>
      </c>
      <c r="CM329" t="s">
        <v>234</v>
      </c>
      <c r="CN329" t="s">
        <v>73</v>
      </c>
      <c r="CO329">
        <v>-163.30000000000001</v>
      </c>
      <c r="CP329">
        <v>42449510</v>
      </c>
      <c r="CQ329" s="73">
        <v>45371.923622685186</v>
      </c>
      <c r="CR329" t="s">
        <v>229</v>
      </c>
      <c r="CS329" t="s">
        <v>133</v>
      </c>
      <c r="CU329" t="s">
        <v>225</v>
      </c>
    </row>
    <row r="330" spans="1:99">
      <c r="A330" t="s">
        <v>127</v>
      </c>
      <c r="B330" t="s">
        <v>90</v>
      </c>
      <c r="J330" t="s">
        <v>225</v>
      </c>
      <c r="K330" t="s">
        <v>225</v>
      </c>
      <c r="M330" s="73">
        <v>45371.923622685186</v>
      </c>
      <c r="N330">
        <v>42449503</v>
      </c>
      <c r="O330">
        <v>-569.79999999999995</v>
      </c>
      <c r="P330" t="s">
        <v>73</v>
      </c>
      <c r="Q330">
        <v>-569.79999999999995</v>
      </c>
      <c r="R330" t="s">
        <v>73</v>
      </c>
      <c r="U330" t="s">
        <v>226</v>
      </c>
      <c r="V330" t="s">
        <v>359</v>
      </c>
      <c r="W330" t="s">
        <v>228</v>
      </c>
      <c r="X330" t="s">
        <v>229</v>
      </c>
      <c r="Y330" t="s">
        <v>127</v>
      </c>
      <c r="AD330" t="s">
        <v>73</v>
      </c>
      <c r="AE330">
        <v>-569.79999999999995</v>
      </c>
      <c r="AF330">
        <v>42449503</v>
      </c>
      <c r="AG330" s="73">
        <v>45371.923622685186</v>
      </c>
      <c r="AH330" t="s">
        <v>226</v>
      </c>
      <c r="AI330" t="s">
        <v>359</v>
      </c>
      <c r="AJ330" t="s">
        <v>228</v>
      </c>
      <c r="AK330" t="s">
        <v>229</v>
      </c>
      <c r="AL330" t="s">
        <v>127</v>
      </c>
      <c r="AP330" t="s">
        <v>230</v>
      </c>
      <c r="AQ330" t="s">
        <v>231</v>
      </c>
      <c r="AT330" t="s">
        <v>232</v>
      </c>
      <c r="AU330">
        <v>-99</v>
      </c>
      <c r="AV330" t="s">
        <v>73</v>
      </c>
      <c r="AW330">
        <v>-569.79999999999995</v>
      </c>
      <c r="AX330">
        <v>42449503</v>
      </c>
      <c r="AY330" s="73">
        <v>45371.923622685186</v>
      </c>
      <c r="AZ330" t="s">
        <v>226</v>
      </c>
      <c r="BA330" t="s">
        <v>359</v>
      </c>
      <c r="BB330" t="s">
        <v>228</v>
      </c>
      <c r="BC330" t="s">
        <v>229</v>
      </c>
      <c r="BD330" t="s">
        <v>127</v>
      </c>
      <c r="BI330" t="s">
        <v>233</v>
      </c>
      <c r="BJ330" t="s">
        <v>0</v>
      </c>
      <c r="BK330">
        <v>42449499</v>
      </c>
      <c r="BN330" t="s">
        <v>73</v>
      </c>
      <c r="BR330">
        <v>-569.79999999999995</v>
      </c>
      <c r="BS330">
        <v>42449503</v>
      </c>
      <c r="BT330" s="73">
        <v>45371.923622685186</v>
      </c>
      <c r="BU330" t="s">
        <v>226</v>
      </c>
      <c r="BV330" t="s">
        <v>359</v>
      </c>
      <c r="BW330" t="s">
        <v>228</v>
      </c>
      <c r="CH330" t="s">
        <v>229</v>
      </c>
      <c r="CI330" t="s">
        <v>127</v>
      </c>
      <c r="CJ330" t="s">
        <v>226</v>
      </c>
      <c r="CK330" t="s">
        <v>359</v>
      </c>
      <c r="CL330" t="s">
        <v>228</v>
      </c>
      <c r="CM330" t="s">
        <v>234</v>
      </c>
      <c r="CN330" t="s">
        <v>73</v>
      </c>
      <c r="CO330">
        <v>-569.79999999999995</v>
      </c>
      <c r="CP330">
        <v>42449503</v>
      </c>
      <c r="CQ330" s="73">
        <v>45371.923622685186</v>
      </c>
      <c r="CR330" t="s">
        <v>229</v>
      </c>
      <c r="CS330" t="s">
        <v>127</v>
      </c>
      <c r="CU330" t="s">
        <v>225</v>
      </c>
    </row>
    <row r="331" spans="1:99">
      <c r="A331" t="s">
        <v>99</v>
      </c>
      <c r="B331" t="s">
        <v>98</v>
      </c>
      <c r="J331" t="s">
        <v>225</v>
      </c>
      <c r="K331" t="s">
        <v>225</v>
      </c>
      <c r="M331" s="73">
        <v>45371.923611111109</v>
      </c>
      <c r="N331">
        <v>42444467</v>
      </c>
      <c r="O331">
        <v>1434.59</v>
      </c>
      <c r="P331" t="s">
        <v>73</v>
      </c>
      <c r="Q331">
        <v>1434.59</v>
      </c>
      <c r="R331" t="s">
        <v>73</v>
      </c>
      <c r="U331" t="s">
        <v>226</v>
      </c>
      <c r="V331" t="s">
        <v>360</v>
      </c>
      <c r="W331" t="s">
        <v>235</v>
      </c>
      <c r="X331" t="s">
        <v>229</v>
      </c>
      <c r="Y331" t="s">
        <v>99</v>
      </c>
      <c r="AD331" t="s">
        <v>73</v>
      </c>
      <c r="AE331">
        <v>1434.59</v>
      </c>
      <c r="AF331">
        <v>42444467</v>
      </c>
      <c r="AG331" s="73">
        <v>45371.923611111109</v>
      </c>
      <c r="AH331" t="s">
        <v>226</v>
      </c>
      <c r="AI331" t="s">
        <v>360</v>
      </c>
      <c r="AJ331" t="s">
        <v>235</v>
      </c>
      <c r="AK331" t="s">
        <v>229</v>
      </c>
      <c r="AL331" t="s">
        <v>99</v>
      </c>
      <c r="AP331" t="s">
        <v>230</v>
      </c>
      <c r="AQ331" t="s">
        <v>231</v>
      </c>
      <c r="AT331" t="s">
        <v>232</v>
      </c>
      <c r="AU331">
        <v>-99</v>
      </c>
      <c r="AV331" t="s">
        <v>73</v>
      </c>
      <c r="AW331">
        <v>1434.59</v>
      </c>
      <c r="AX331">
        <v>42444467</v>
      </c>
      <c r="AY331" s="73">
        <v>45371.923611111109</v>
      </c>
      <c r="AZ331" t="s">
        <v>226</v>
      </c>
      <c r="BA331" t="s">
        <v>360</v>
      </c>
      <c r="BB331" t="s">
        <v>235</v>
      </c>
      <c r="BC331" t="s">
        <v>229</v>
      </c>
      <c r="BD331" t="s">
        <v>99</v>
      </c>
      <c r="BI331" t="s">
        <v>233</v>
      </c>
      <c r="BJ331" t="s">
        <v>0</v>
      </c>
      <c r="BK331">
        <v>42444463</v>
      </c>
      <c r="BN331" t="s">
        <v>73</v>
      </c>
      <c r="BO331">
        <v>42444465</v>
      </c>
      <c r="BR331">
        <v>1434.59</v>
      </c>
      <c r="BS331">
        <v>42444467</v>
      </c>
      <c r="BT331" s="73">
        <v>45371.923611111109</v>
      </c>
      <c r="BU331" t="s">
        <v>226</v>
      </c>
      <c r="BV331" t="s">
        <v>360</v>
      </c>
      <c r="BW331" t="s">
        <v>235</v>
      </c>
      <c r="CH331" t="s">
        <v>229</v>
      </c>
      <c r="CI331" t="s">
        <v>99</v>
      </c>
      <c r="CJ331" t="s">
        <v>226</v>
      </c>
      <c r="CK331" t="s">
        <v>360</v>
      </c>
      <c r="CL331" t="s">
        <v>235</v>
      </c>
      <c r="CM331" t="s">
        <v>236</v>
      </c>
      <c r="CN331" t="s">
        <v>73</v>
      </c>
      <c r="CO331">
        <v>1434.59</v>
      </c>
      <c r="CP331">
        <v>42444467</v>
      </c>
      <c r="CQ331" s="73">
        <v>45371.923611111109</v>
      </c>
      <c r="CR331" t="s">
        <v>229</v>
      </c>
      <c r="CS331" t="s">
        <v>99</v>
      </c>
      <c r="CU331" t="s">
        <v>225</v>
      </c>
    </row>
    <row r="332" spans="1:99">
      <c r="A332" t="s">
        <v>71</v>
      </c>
      <c r="B332" t="s">
        <v>77</v>
      </c>
      <c r="J332" t="s">
        <v>225</v>
      </c>
      <c r="K332" t="s">
        <v>225</v>
      </c>
      <c r="M332" s="73">
        <v>45371.923611111109</v>
      </c>
      <c r="N332">
        <v>42444460</v>
      </c>
      <c r="O332">
        <v>0.86</v>
      </c>
      <c r="P332" t="s">
        <v>73</v>
      </c>
      <c r="Q332">
        <v>0.86</v>
      </c>
      <c r="R332" t="s">
        <v>73</v>
      </c>
      <c r="U332" t="s">
        <v>226</v>
      </c>
      <c r="V332" t="s">
        <v>360</v>
      </c>
      <c r="W332" t="s">
        <v>237</v>
      </c>
      <c r="X332" t="s">
        <v>229</v>
      </c>
      <c r="Y332" t="s">
        <v>71</v>
      </c>
      <c r="AD332" t="s">
        <v>73</v>
      </c>
      <c r="AE332">
        <v>0.86</v>
      </c>
      <c r="AF332">
        <v>42444460</v>
      </c>
      <c r="AG332" s="73">
        <v>45371.923611111109</v>
      </c>
      <c r="AH332" t="s">
        <v>226</v>
      </c>
      <c r="AI332" t="s">
        <v>360</v>
      </c>
      <c r="AJ332" t="s">
        <v>237</v>
      </c>
      <c r="AK332" t="s">
        <v>229</v>
      </c>
      <c r="AL332" t="s">
        <v>71</v>
      </c>
      <c r="AP332" t="s">
        <v>230</v>
      </c>
      <c r="AQ332" t="s">
        <v>231</v>
      </c>
      <c r="AT332" t="s">
        <v>232</v>
      </c>
      <c r="AU332">
        <v>-99</v>
      </c>
      <c r="AV332" t="s">
        <v>73</v>
      </c>
      <c r="AW332">
        <v>0.86</v>
      </c>
      <c r="AX332">
        <v>42444460</v>
      </c>
      <c r="AY332" s="73">
        <v>45371.923611111109</v>
      </c>
      <c r="AZ332" t="s">
        <v>226</v>
      </c>
      <c r="BA332" t="s">
        <v>360</v>
      </c>
      <c r="BB332" t="s">
        <v>237</v>
      </c>
      <c r="BC332" t="s">
        <v>229</v>
      </c>
      <c r="BD332" t="s">
        <v>71</v>
      </c>
      <c r="BI332" t="s">
        <v>233</v>
      </c>
      <c r="BJ332" t="s">
        <v>0</v>
      </c>
      <c r="BK332">
        <v>42444456</v>
      </c>
      <c r="BN332" t="s">
        <v>73</v>
      </c>
      <c r="BO332">
        <v>42444458</v>
      </c>
      <c r="BR332">
        <v>0.86</v>
      </c>
      <c r="BS332">
        <v>42444460</v>
      </c>
      <c r="BT332" s="73">
        <v>45371.923611111109</v>
      </c>
      <c r="BU332" t="s">
        <v>226</v>
      </c>
      <c r="BV332" t="s">
        <v>360</v>
      </c>
      <c r="BW332" t="s">
        <v>237</v>
      </c>
      <c r="CH332" t="s">
        <v>229</v>
      </c>
      <c r="CI332" t="s">
        <v>71</v>
      </c>
      <c r="CJ332" t="s">
        <v>226</v>
      </c>
      <c r="CK332" t="s">
        <v>360</v>
      </c>
      <c r="CL332" t="s">
        <v>237</v>
      </c>
      <c r="CM332" t="s">
        <v>236</v>
      </c>
      <c r="CN332" t="s">
        <v>73</v>
      </c>
      <c r="CO332">
        <v>0.86</v>
      </c>
      <c r="CP332">
        <v>42444460</v>
      </c>
      <c r="CQ332" s="73">
        <v>45371.923611111109</v>
      </c>
      <c r="CR332" t="s">
        <v>229</v>
      </c>
      <c r="CS332" t="s">
        <v>71</v>
      </c>
      <c r="CU332" t="s">
        <v>225</v>
      </c>
    </row>
    <row r="333" spans="1:99">
      <c r="A333" t="s">
        <v>87</v>
      </c>
      <c r="B333" t="s">
        <v>90</v>
      </c>
      <c r="J333" t="s">
        <v>225</v>
      </c>
      <c r="K333" t="s">
        <v>225</v>
      </c>
      <c r="M333" s="73">
        <v>45371.923611111109</v>
      </c>
      <c r="N333">
        <v>42444453</v>
      </c>
      <c r="O333">
        <v>-74</v>
      </c>
      <c r="P333" t="s">
        <v>73</v>
      </c>
      <c r="Q333">
        <v>-74</v>
      </c>
      <c r="R333" t="s">
        <v>73</v>
      </c>
      <c r="U333" t="s">
        <v>226</v>
      </c>
      <c r="V333" t="s">
        <v>360</v>
      </c>
      <c r="W333" t="s">
        <v>228</v>
      </c>
      <c r="X333" t="s">
        <v>229</v>
      </c>
      <c r="Y333" t="s">
        <v>87</v>
      </c>
      <c r="AD333" t="s">
        <v>73</v>
      </c>
      <c r="AE333">
        <v>-74</v>
      </c>
      <c r="AF333">
        <v>42444453</v>
      </c>
      <c r="AG333" s="73">
        <v>45371.923611111109</v>
      </c>
      <c r="AH333" t="s">
        <v>226</v>
      </c>
      <c r="AI333" t="s">
        <v>360</v>
      </c>
      <c r="AJ333" t="s">
        <v>228</v>
      </c>
      <c r="AK333" t="s">
        <v>229</v>
      </c>
      <c r="AL333" t="s">
        <v>87</v>
      </c>
      <c r="AP333" t="s">
        <v>230</v>
      </c>
      <c r="AQ333" t="s">
        <v>231</v>
      </c>
      <c r="AT333" t="s">
        <v>232</v>
      </c>
      <c r="AU333">
        <v>-99</v>
      </c>
      <c r="AV333" t="s">
        <v>73</v>
      </c>
      <c r="AW333">
        <v>-74</v>
      </c>
      <c r="AX333">
        <v>42444453</v>
      </c>
      <c r="AY333" s="73">
        <v>45371.923611111109</v>
      </c>
      <c r="AZ333" t="s">
        <v>226</v>
      </c>
      <c r="BA333" t="s">
        <v>360</v>
      </c>
      <c r="BB333" t="s">
        <v>228</v>
      </c>
      <c r="BC333" t="s">
        <v>229</v>
      </c>
      <c r="BD333" t="s">
        <v>87</v>
      </c>
      <c r="BI333" t="s">
        <v>233</v>
      </c>
      <c r="BJ333" t="s">
        <v>0</v>
      </c>
      <c r="BK333">
        <v>42444449</v>
      </c>
      <c r="BN333" t="s">
        <v>73</v>
      </c>
      <c r="BR333">
        <v>-74</v>
      </c>
      <c r="BS333">
        <v>42444453</v>
      </c>
      <c r="BT333" s="73">
        <v>45371.923611111109</v>
      </c>
      <c r="BU333" t="s">
        <v>226</v>
      </c>
      <c r="BV333" t="s">
        <v>360</v>
      </c>
      <c r="BW333" t="s">
        <v>228</v>
      </c>
      <c r="CH333" t="s">
        <v>229</v>
      </c>
      <c r="CI333" t="s">
        <v>87</v>
      </c>
      <c r="CJ333" t="s">
        <v>226</v>
      </c>
      <c r="CK333" t="s">
        <v>360</v>
      </c>
      <c r="CL333" t="s">
        <v>228</v>
      </c>
      <c r="CM333" t="s">
        <v>234</v>
      </c>
      <c r="CN333" t="s">
        <v>73</v>
      </c>
      <c r="CO333">
        <v>-74</v>
      </c>
      <c r="CP333">
        <v>42444453</v>
      </c>
      <c r="CQ333" s="73">
        <v>45371.923611111109</v>
      </c>
      <c r="CR333" t="s">
        <v>229</v>
      </c>
      <c r="CS333" t="s">
        <v>87</v>
      </c>
      <c r="CU333" t="s">
        <v>225</v>
      </c>
    </row>
    <row r="334" spans="1:99">
      <c r="A334" t="s">
        <v>131</v>
      </c>
      <c r="B334" t="s">
        <v>90</v>
      </c>
      <c r="J334" t="s">
        <v>225</v>
      </c>
      <c r="K334" t="s">
        <v>225</v>
      </c>
      <c r="M334" s="73">
        <v>45371.923611111109</v>
      </c>
      <c r="N334">
        <v>42444446</v>
      </c>
      <c r="O334">
        <v>-133.19999999999999</v>
      </c>
      <c r="P334" t="s">
        <v>73</v>
      </c>
      <c r="Q334">
        <v>-133.19999999999999</v>
      </c>
      <c r="R334" t="s">
        <v>73</v>
      </c>
      <c r="U334" t="s">
        <v>226</v>
      </c>
      <c r="V334" t="s">
        <v>360</v>
      </c>
      <c r="W334" t="s">
        <v>228</v>
      </c>
      <c r="X334" t="s">
        <v>229</v>
      </c>
      <c r="Y334" t="s">
        <v>131</v>
      </c>
      <c r="AD334" t="s">
        <v>73</v>
      </c>
      <c r="AE334">
        <v>-133.19999999999999</v>
      </c>
      <c r="AF334">
        <v>42444446</v>
      </c>
      <c r="AG334" s="73">
        <v>45371.923611111109</v>
      </c>
      <c r="AH334" t="s">
        <v>226</v>
      </c>
      <c r="AI334" t="s">
        <v>360</v>
      </c>
      <c r="AJ334" t="s">
        <v>228</v>
      </c>
      <c r="AK334" t="s">
        <v>229</v>
      </c>
      <c r="AL334" t="s">
        <v>131</v>
      </c>
      <c r="AP334" t="s">
        <v>230</v>
      </c>
      <c r="AQ334" t="s">
        <v>231</v>
      </c>
      <c r="AT334" t="s">
        <v>232</v>
      </c>
      <c r="AU334">
        <v>-99</v>
      </c>
      <c r="AV334" t="s">
        <v>73</v>
      </c>
      <c r="AW334">
        <v>-133.19999999999999</v>
      </c>
      <c r="AX334">
        <v>42444446</v>
      </c>
      <c r="AY334" s="73">
        <v>45371.923611111109</v>
      </c>
      <c r="AZ334" t="s">
        <v>226</v>
      </c>
      <c r="BA334" t="s">
        <v>360</v>
      </c>
      <c r="BB334" t="s">
        <v>228</v>
      </c>
      <c r="BC334" t="s">
        <v>229</v>
      </c>
      <c r="BD334" t="s">
        <v>131</v>
      </c>
      <c r="BI334" t="s">
        <v>233</v>
      </c>
      <c r="BJ334" t="s">
        <v>0</v>
      </c>
      <c r="BK334">
        <v>42444442</v>
      </c>
      <c r="BN334" t="s">
        <v>73</v>
      </c>
      <c r="BR334">
        <v>-133.19999999999999</v>
      </c>
      <c r="BS334">
        <v>42444446</v>
      </c>
      <c r="BT334" s="73">
        <v>45371.923611111109</v>
      </c>
      <c r="BU334" t="s">
        <v>226</v>
      </c>
      <c r="BV334" t="s">
        <v>360</v>
      </c>
      <c r="BW334" t="s">
        <v>228</v>
      </c>
      <c r="CH334" t="s">
        <v>229</v>
      </c>
      <c r="CI334" t="s">
        <v>131</v>
      </c>
      <c r="CJ334" t="s">
        <v>226</v>
      </c>
      <c r="CK334" t="s">
        <v>360</v>
      </c>
      <c r="CL334" t="s">
        <v>228</v>
      </c>
      <c r="CM334" t="s">
        <v>234</v>
      </c>
      <c r="CN334" t="s">
        <v>73</v>
      </c>
      <c r="CO334">
        <v>-133.19999999999999</v>
      </c>
      <c r="CP334">
        <v>42444446</v>
      </c>
      <c r="CQ334" s="73">
        <v>45371.923611111109</v>
      </c>
      <c r="CR334" t="s">
        <v>229</v>
      </c>
      <c r="CS334" t="s">
        <v>131</v>
      </c>
      <c r="CU334" t="s">
        <v>225</v>
      </c>
    </row>
    <row r="335" spans="1:99">
      <c r="A335" t="s">
        <v>127</v>
      </c>
      <c r="B335" t="s">
        <v>90</v>
      </c>
      <c r="J335" t="s">
        <v>225</v>
      </c>
      <c r="K335" t="s">
        <v>225</v>
      </c>
      <c r="M335" s="73">
        <v>45371.923611111109</v>
      </c>
      <c r="N335">
        <v>42444439</v>
      </c>
      <c r="O335">
        <v>-666</v>
      </c>
      <c r="P335" t="s">
        <v>73</v>
      </c>
      <c r="Q335">
        <v>-666</v>
      </c>
      <c r="R335" t="s">
        <v>73</v>
      </c>
      <c r="U335" t="s">
        <v>226</v>
      </c>
      <c r="V335" t="s">
        <v>360</v>
      </c>
      <c r="W335" t="s">
        <v>228</v>
      </c>
      <c r="X335" t="s">
        <v>229</v>
      </c>
      <c r="Y335" t="s">
        <v>127</v>
      </c>
      <c r="AD335" t="s">
        <v>73</v>
      </c>
      <c r="AE335">
        <v>-666</v>
      </c>
      <c r="AF335">
        <v>42444439</v>
      </c>
      <c r="AG335" s="73">
        <v>45371.923611111109</v>
      </c>
      <c r="AH335" t="s">
        <v>226</v>
      </c>
      <c r="AI335" t="s">
        <v>360</v>
      </c>
      <c r="AJ335" t="s">
        <v>228</v>
      </c>
      <c r="AK335" t="s">
        <v>229</v>
      </c>
      <c r="AL335" t="s">
        <v>127</v>
      </c>
      <c r="AP335" t="s">
        <v>230</v>
      </c>
      <c r="AQ335" t="s">
        <v>231</v>
      </c>
      <c r="AT335" t="s">
        <v>232</v>
      </c>
      <c r="AU335">
        <v>-99</v>
      </c>
      <c r="AV335" t="s">
        <v>73</v>
      </c>
      <c r="AW335">
        <v>-666</v>
      </c>
      <c r="AX335">
        <v>42444439</v>
      </c>
      <c r="AY335" s="73">
        <v>45371.923611111109</v>
      </c>
      <c r="AZ335" t="s">
        <v>226</v>
      </c>
      <c r="BA335" t="s">
        <v>360</v>
      </c>
      <c r="BB335" t="s">
        <v>228</v>
      </c>
      <c r="BC335" t="s">
        <v>229</v>
      </c>
      <c r="BD335" t="s">
        <v>127</v>
      </c>
      <c r="BI335" t="s">
        <v>233</v>
      </c>
      <c r="BJ335" t="s">
        <v>0</v>
      </c>
      <c r="BK335">
        <v>42444435</v>
      </c>
      <c r="BN335" t="s">
        <v>73</v>
      </c>
      <c r="BR335">
        <v>-666</v>
      </c>
      <c r="BS335">
        <v>42444439</v>
      </c>
      <c r="BT335" s="73">
        <v>45371.923611111109</v>
      </c>
      <c r="BU335" t="s">
        <v>226</v>
      </c>
      <c r="BV335" t="s">
        <v>360</v>
      </c>
      <c r="BW335" t="s">
        <v>228</v>
      </c>
      <c r="CH335" t="s">
        <v>229</v>
      </c>
      <c r="CI335" t="s">
        <v>127</v>
      </c>
      <c r="CJ335" t="s">
        <v>226</v>
      </c>
      <c r="CK335" t="s">
        <v>360</v>
      </c>
      <c r="CL335" t="s">
        <v>228</v>
      </c>
      <c r="CM335" t="s">
        <v>234</v>
      </c>
      <c r="CN335" t="s">
        <v>73</v>
      </c>
      <c r="CO335">
        <v>-666</v>
      </c>
      <c r="CP335">
        <v>42444439</v>
      </c>
      <c r="CQ335" s="73">
        <v>45371.923611111109</v>
      </c>
      <c r="CR335" t="s">
        <v>229</v>
      </c>
      <c r="CS335" t="s">
        <v>127</v>
      </c>
      <c r="CU335" t="s">
        <v>225</v>
      </c>
    </row>
    <row r="336" spans="1:99">
      <c r="A336" t="s">
        <v>133</v>
      </c>
      <c r="B336" t="s">
        <v>90</v>
      </c>
      <c r="J336" t="s">
        <v>225</v>
      </c>
      <c r="K336" t="s">
        <v>225</v>
      </c>
      <c r="M336" s="73">
        <v>45371.923611111109</v>
      </c>
      <c r="N336">
        <v>42444432</v>
      </c>
      <c r="O336">
        <v>-606.79999999999995</v>
      </c>
      <c r="P336" t="s">
        <v>73</v>
      </c>
      <c r="Q336">
        <v>-606.79999999999995</v>
      </c>
      <c r="R336" t="s">
        <v>73</v>
      </c>
      <c r="U336" t="s">
        <v>226</v>
      </c>
      <c r="V336" t="s">
        <v>360</v>
      </c>
      <c r="W336" t="s">
        <v>228</v>
      </c>
      <c r="X336" t="s">
        <v>229</v>
      </c>
      <c r="Y336" t="s">
        <v>133</v>
      </c>
      <c r="AD336" t="s">
        <v>73</v>
      </c>
      <c r="AE336">
        <v>-606.79999999999995</v>
      </c>
      <c r="AF336">
        <v>42444432</v>
      </c>
      <c r="AG336" s="73">
        <v>45371.923611111109</v>
      </c>
      <c r="AH336" t="s">
        <v>226</v>
      </c>
      <c r="AI336" t="s">
        <v>360</v>
      </c>
      <c r="AJ336" t="s">
        <v>228</v>
      </c>
      <c r="AK336" t="s">
        <v>229</v>
      </c>
      <c r="AL336" t="s">
        <v>133</v>
      </c>
      <c r="AP336" t="s">
        <v>230</v>
      </c>
      <c r="AQ336" t="s">
        <v>231</v>
      </c>
      <c r="AT336" t="s">
        <v>232</v>
      </c>
      <c r="AU336">
        <v>-99</v>
      </c>
      <c r="AV336" t="s">
        <v>73</v>
      </c>
      <c r="AW336">
        <v>-606.79999999999995</v>
      </c>
      <c r="AX336">
        <v>42444432</v>
      </c>
      <c r="AY336" s="73">
        <v>45371.923611111109</v>
      </c>
      <c r="AZ336" t="s">
        <v>226</v>
      </c>
      <c r="BA336" t="s">
        <v>360</v>
      </c>
      <c r="BB336" t="s">
        <v>228</v>
      </c>
      <c r="BC336" t="s">
        <v>229</v>
      </c>
      <c r="BD336" t="s">
        <v>133</v>
      </c>
      <c r="BI336" t="s">
        <v>233</v>
      </c>
      <c r="BJ336" t="s">
        <v>0</v>
      </c>
      <c r="BK336">
        <v>42444428</v>
      </c>
      <c r="BN336" t="s">
        <v>73</v>
      </c>
      <c r="BR336">
        <v>-606.79999999999995</v>
      </c>
      <c r="BS336">
        <v>42444432</v>
      </c>
      <c r="BT336" s="73">
        <v>45371.923611111109</v>
      </c>
      <c r="BU336" t="s">
        <v>226</v>
      </c>
      <c r="BV336" t="s">
        <v>360</v>
      </c>
      <c r="BW336" t="s">
        <v>228</v>
      </c>
      <c r="CH336" t="s">
        <v>229</v>
      </c>
      <c r="CI336" t="s">
        <v>133</v>
      </c>
      <c r="CJ336" t="s">
        <v>226</v>
      </c>
      <c r="CK336" t="s">
        <v>360</v>
      </c>
      <c r="CL336" t="s">
        <v>228</v>
      </c>
      <c r="CM336" t="s">
        <v>234</v>
      </c>
      <c r="CN336" t="s">
        <v>73</v>
      </c>
      <c r="CO336">
        <v>-606.79999999999995</v>
      </c>
      <c r="CP336">
        <v>42444432</v>
      </c>
      <c r="CQ336" s="73">
        <v>45371.923611111109</v>
      </c>
      <c r="CR336" t="s">
        <v>229</v>
      </c>
      <c r="CS336" t="s">
        <v>133</v>
      </c>
      <c r="CU336" t="s">
        <v>225</v>
      </c>
    </row>
    <row r="337" spans="1:99">
      <c r="A337" t="s">
        <v>113</v>
      </c>
      <c r="B337" t="s">
        <v>90</v>
      </c>
      <c r="J337" t="s">
        <v>225</v>
      </c>
      <c r="K337" t="s">
        <v>225</v>
      </c>
      <c r="M337" s="73">
        <v>45371.590289351851</v>
      </c>
      <c r="N337">
        <v>42444625</v>
      </c>
      <c r="O337">
        <v>-300</v>
      </c>
      <c r="P337" t="s">
        <v>115</v>
      </c>
      <c r="Q337">
        <v>-300</v>
      </c>
      <c r="R337" t="s">
        <v>115</v>
      </c>
      <c r="U337" t="s">
        <v>226</v>
      </c>
      <c r="V337" t="s">
        <v>360</v>
      </c>
      <c r="W337" t="s">
        <v>228</v>
      </c>
      <c r="X337" t="s">
        <v>229</v>
      </c>
      <c r="Y337" t="s">
        <v>113</v>
      </c>
      <c r="AD337" t="s">
        <v>115</v>
      </c>
      <c r="AE337">
        <v>-300</v>
      </c>
      <c r="AF337">
        <v>42444625</v>
      </c>
      <c r="AG337" s="73">
        <v>45371.590289351851</v>
      </c>
      <c r="AH337" t="s">
        <v>226</v>
      </c>
      <c r="AI337" t="s">
        <v>360</v>
      </c>
      <c r="AJ337" t="s">
        <v>228</v>
      </c>
      <c r="AK337" t="s">
        <v>229</v>
      </c>
      <c r="AL337" t="s">
        <v>113</v>
      </c>
      <c r="AP337" t="s">
        <v>230</v>
      </c>
      <c r="AQ337" t="s">
        <v>231</v>
      </c>
      <c r="AT337" t="s">
        <v>232</v>
      </c>
      <c r="AU337">
        <v>-99</v>
      </c>
      <c r="AV337" t="s">
        <v>115</v>
      </c>
      <c r="AW337">
        <v>-300</v>
      </c>
      <c r="AX337">
        <v>42444625</v>
      </c>
      <c r="AY337" s="73">
        <v>45371.590289351851</v>
      </c>
      <c r="AZ337" t="s">
        <v>226</v>
      </c>
      <c r="BA337" t="s">
        <v>360</v>
      </c>
      <c r="BB337" t="s">
        <v>228</v>
      </c>
      <c r="BC337" t="s">
        <v>229</v>
      </c>
      <c r="BD337" t="s">
        <v>113</v>
      </c>
      <c r="BI337" t="s">
        <v>233</v>
      </c>
      <c r="BJ337" t="s">
        <v>0</v>
      </c>
      <c r="BK337">
        <v>42444536</v>
      </c>
      <c r="BN337" t="s">
        <v>115</v>
      </c>
      <c r="BR337">
        <v>-300</v>
      </c>
      <c r="BS337">
        <v>42444625</v>
      </c>
      <c r="BT337" s="73">
        <v>45371.590289351851</v>
      </c>
      <c r="BU337" t="s">
        <v>226</v>
      </c>
      <c r="BV337" t="s">
        <v>360</v>
      </c>
      <c r="BW337" t="s">
        <v>228</v>
      </c>
      <c r="CH337" t="s">
        <v>229</v>
      </c>
      <c r="CI337" t="s">
        <v>113</v>
      </c>
      <c r="CJ337" t="s">
        <v>226</v>
      </c>
      <c r="CK337" t="s">
        <v>360</v>
      </c>
      <c r="CL337" t="s">
        <v>228</v>
      </c>
      <c r="CM337" t="s">
        <v>234</v>
      </c>
      <c r="CN337" t="s">
        <v>115</v>
      </c>
      <c r="CO337">
        <v>-300</v>
      </c>
      <c r="CP337">
        <v>42444625</v>
      </c>
      <c r="CQ337" s="73">
        <v>45371.590289351851</v>
      </c>
      <c r="CR337" t="s">
        <v>229</v>
      </c>
      <c r="CS337" t="s">
        <v>113</v>
      </c>
      <c r="CU337" t="s">
        <v>225</v>
      </c>
    </row>
    <row r="338" spans="1:99">
      <c r="A338" t="s">
        <v>129</v>
      </c>
      <c r="B338" t="s">
        <v>90</v>
      </c>
      <c r="J338" t="s">
        <v>225</v>
      </c>
      <c r="K338" t="s">
        <v>225</v>
      </c>
      <c r="M338" s="73">
        <v>45371.590289351851</v>
      </c>
      <c r="N338">
        <v>42444624</v>
      </c>
      <c r="O338">
        <v>-5.8</v>
      </c>
      <c r="P338" t="s">
        <v>73</v>
      </c>
      <c r="Q338">
        <v>-5.8</v>
      </c>
      <c r="R338" t="s">
        <v>73</v>
      </c>
      <c r="U338" t="s">
        <v>226</v>
      </c>
      <c r="V338" t="s">
        <v>360</v>
      </c>
      <c r="W338" t="s">
        <v>228</v>
      </c>
      <c r="X338" t="s">
        <v>229</v>
      </c>
      <c r="Y338" t="s">
        <v>129</v>
      </c>
      <c r="AD338" t="s">
        <v>73</v>
      </c>
      <c r="AE338">
        <v>-5.8</v>
      </c>
      <c r="AF338">
        <v>42444624</v>
      </c>
      <c r="AG338" s="73">
        <v>45371.590289351851</v>
      </c>
      <c r="AH338" t="s">
        <v>226</v>
      </c>
      <c r="AI338" t="s">
        <v>360</v>
      </c>
      <c r="AJ338" t="s">
        <v>228</v>
      </c>
      <c r="AK338" t="s">
        <v>229</v>
      </c>
      <c r="AL338" t="s">
        <v>129</v>
      </c>
      <c r="AP338" t="s">
        <v>230</v>
      </c>
      <c r="AQ338" t="s">
        <v>231</v>
      </c>
      <c r="AT338" t="s">
        <v>232</v>
      </c>
      <c r="AU338">
        <v>-99</v>
      </c>
      <c r="AV338" t="s">
        <v>73</v>
      </c>
      <c r="AW338">
        <v>-5.8</v>
      </c>
      <c r="AX338">
        <v>42444624</v>
      </c>
      <c r="AY338" s="73">
        <v>45371.590289351851</v>
      </c>
      <c r="AZ338" t="s">
        <v>226</v>
      </c>
      <c r="BA338" t="s">
        <v>360</v>
      </c>
      <c r="BB338" t="s">
        <v>228</v>
      </c>
      <c r="BC338" t="s">
        <v>229</v>
      </c>
      <c r="BD338" t="s">
        <v>129</v>
      </c>
      <c r="BI338" t="s">
        <v>233</v>
      </c>
      <c r="BJ338" t="s">
        <v>0</v>
      </c>
      <c r="BK338">
        <v>42444536</v>
      </c>
      <c r="BN338" t="s">
        <v>73</v>
      </c>
      <c r="BR338">
        <v>-5.8</v>
      </c>
      <c r="BS338">
        <v>42444624</v>
      </c>
      <c r="BT338" s="73">
        <v>45371.590289351851</v>
      </c>
      <c r="BU338" t="s">
        <v>226</v>
      </c>
      <c r="BV338" t="s">
        <v>360</v>
      </c>
      <c r="BW338" t="s">
        <v>228</v>
      </c>
      <c r="CH338" t="s">
        <v>229</v>
      </c>
      <c r="CI338" t="s">
        <v>129</v>
      </c>
      <c r="CJ338" t="s">
        <v>226</v>
      </c>
      <c r="CK338" t="s">
        <v>360</v>
      </c>
      <c r="CL338" t="s">
        <v>228</v>
      </c>
      <c r="CM338" t="s">
        <v>234</v>
      </c>
      <c r="CN338" t="s">
        <v>73</v>
      </c>
      <c r="CO338">
        <v>-5.8</v>
      </c>
      <c r="CP338">
        <v>42444624</v>
      </c>
      <c r="CQ338" s="73">
        <v>45371.590289351851</v>
      </c>
      <c r="CR338" t="s">
        <v>229</v>
      </c>
      <c r="CS338" t="s">
        <v>129</v>
      </c>
      <c r="CU338" t="s">
        <v>225</v>
      </c>
    </row>
    <row r="339" spans="1:99">
      <c r="A339" t="s">
        <v>99</v>
      </c>
      <c r="B339" t="s">
        <v>98</v>
      </c>
      <c r="J339" t="s">
        <v>225</v>
      </c>
      <c r="K339" t="s">
        <v>225</v>
      </c>
      <c r="M339" s="73">
        <v>45371.590277777781</v>
      </c>
      <c r="N339">
        <v>42434524</v>
      </c>
      <c r="O339">
        <v>1402.83</v>
      </c>
      <c r="P339" t="s">
        <v>73</v>
      </c>
      <c r="Q339">
        <v>1402.83</v>
      </c>
      <c r="R339" t="s">
        <v>73</v>
      </c>
      <c r="U339" t="s">
        <v>226</v>
      </c>
      <c r="V339" t="s">
        <v>361</v>
      </c>
      <c r="W339" t="s">
        <v>235</v>
      </c>
      <c r="X339" t="s">
        <v>229</v>
      </c>
      <c r="Y339" t="s">
        <v>99</v>
      </c>
      <c r="AD339" t="s">
        <v>73</v>
      </c>
      <c r="AE339">
        <v>1402.83</v>
      </c>
      <c r="AF339">
        <v>42434524</v>
      </c>
      <c r="AG339" s="73">
        <v>45371.590277777781</v>
      </c>
      <c r="AH339" t="s">
        <v>226</v>
      </c>
      <c r="AI339" t="s">
        <v>361</v>
      </c>
      <c r="AJ339" t="s">
        <v>235</v>
      </c>
      <c r="AK339" t="s">
        <v>229</v>
      </c>
      <c r="AL339" t="s">
        <v>99</v>
      </c>
      <c r="AP339" t="s">
        <v>230</v>
      </c>
      <c r="AQ339" t="s">
        <v>231</v>
      </c>
      <c r="AT339" t="s">
        <v>232</v>
      </c>
      <c r="AU339">
        <v>-99</v>
      </c>
      <c r="AV339" t="s">
        <v>73</v>
      </c>
      <c r="AW339">
        <v>1402.83</v>
      </c>
      <c r="AX339">
        <v>42434524</v>
      </c>
      <c r="AY339" s="73">
        <v>45371.590277777781</v>
      </c>
      <c r="AZ339" t="s">
        <v>226</v>
      </c>
      <c r="BA339" t="s">
        <v>361</v>
      </c>
      <c r="BB339" t="s">
        <v>235</v>
      </c>
      <c r="BC339" t="s">
        <v>229</v>
      </c>
      <c r="BD339" t="s">
        <v>99</v>
      </c>
      <c r="BI339" t="s">
        <v>233</v>
      </c>
      <c r="BJ339" t="s">
        <v>0</v>
      </c>
      <c r="BK339">
        <v>42434520</v>
      </c>
      <c r="BN339" t="s">
        <v>73</v>
      </c>
      <c r="BO339">
        <v>42434522</v>
      </c>
      <c r="BR339">
        <v>1402.83</v>
      </c>
      <c r="BS339">
        <v>42434524</v>
      </c>
      <c r="BT339" s="73">
        <v>45371.590277777781</v>
      </c>
      <c r="BU339" t="s">
        <v>226</v>
      </c>
      <c r="BV339" t="s">
        <v>361</v>
      </c>
      <c r="BW339" t="s">
        <v>235</v>
      </c>
      <c r="CH339" t="s">
        <v>229</v>
      </c>
      <c r="CI339" t="s">
        <v>99</v>
      </c>
      <c r="CJ339" t="s">
        <v>226</v>
      </c>
      <c r="CK339" t="s">
        <v>361</v>
      </c>
      <c r="CL339" t="s">
        <v>235</v>
      </c>
      <c r="CM339" t="s">
        <v>236</v>
      </c>
      <c r="CN339" t="s">
        <v>73</v>
      </c>
      <c r="CO339">
        <v>1402.83</v>
      </c>
      <c r="CP339">
        <v>42434524</v>
      </c>
      <c r="CQ339" s="73">
        <v>45371.590277777781</v>
      </c>
      <c r="CR339" t="s">
        <v>229</v>
      </c>
      <c r="CS339" t="s">
        <v>99</v>
      </c>
      <c r="CU339" t="s">
        <v>225</v>
      </c>
    </row>
    <row r="340" spans="1:99">
      <c r="A340" t="s">
        <v>71</v>
      </c>
      <c r="B340" t="s">
        <v>77</v>
      </c>
      <c r="J340" t="s">
        <v>225</v>
      </c>
      <c r="K340" t="s">
        <v>225</v>
      </c>
      <c r="M340" s="73">
        <v>45371.590277777781</v>
      </c>
      <c r="N340">
        <v>42434517</v>
      </c>
      <c r="O340">
        <v>0.84</v>
      </c>
      <c r="P340" t="s">
        <v>73</v>
      </c>
      <c r="Q340">
        <v>0.84</v>
      </c>
      <c r="R340" t="s">
        <v>73</v>
      </c>
      <c r="U340" t="s">
        <v>226</v>
      </c>
      <c r="V340" t="s">
        <v>361</v>
      </c>
      <c r="W340" t="s">
        <v>237</v>
      </c>
      <c r="X340" t="s">
        <v>229</v>
      </c>
      <c r="Y340" t="s">
        <v>71</v>
      </c>
      <c r="AD340" t="s">
        <v>73</v>
      </c>
      <c r="AE340">
        <v>0.84</v>
      </c>
      <c r="AF340">
        <v>42434517</v>
      </c>
      <c r="AG340" s="73">
        <v>45371.590277777781</v>
      </c>
      <c r="AH340" t="s">
        <v>226</v>
      </c>
      <c r="AI340" t="s">
        <v>361</v>
      </c>
      <c r="AJ340" t="s">
        <v>237</v>
      </c>
      <c r="AK340" t="s">
        <v>229</v>
      </c>
      <c r="AL340" t="s">
        <v>71</v>
      </c>
      <c r="AP340" t="s">
        <v>230</v>
      </c>
      <c r="AQ340" t="s">
        <v>231</v>
      </c>
      <c r="AT340" t="s">
        <v>232</v>
      </c>
      <c r="AU340">
        <v>-99</v>
      </c>
      <c r="AV340" t="s">
        <v>73</v>
      </c>
      <c r="AW340">
        <v>0.84</v>
      </c>
      <c r="AX340">
        <v>42434517</v>
      </c>
      <c r="AY340" s="73">
        <v>45371.590277777781</v>
      </c>
      <c r="AZ340" t="s">
        <v>226</v>
      </c>
      <c r="BA340" t="s">
        <v>361</v>
      </c>
      <c r="BB340" t="s">
        <v>237</v>
      </c>
      <c r="BC340" t="s">
        <v>229</v>
      </c>
      <c r="BD340" t="s">
        <v>71</v>
      </c>
      <c r="BI340" t="s">
        <v>233</v>
      </c>
      <c r="BJ340" t="s">
        <v>0</v>
      </c>
      <c r="BK340">
        <v>42434513</v>
      </c>
      <c r="BN340" t="s">
        <v>73</v>
      </c>
      <c r="BO340">
        <v>42434515</v>
      </c>
      <c r="BR340">
        <v>0.84</v>
      </c>
      <c r="BS340">
        <v>42434517</v>
      </c>
      <c r="BT340" s="73">
        <v>45371.590277777781</v>
      </c>
      <c r="BU340" t="s">
        <v>226</v>
      </c>
      <c r="BV340" t="s">
        <v>361</v>
      </c>
      <c r="BW340" t="s">
        <v>237</v>
      </c>
      <c r="CH340" t="s">
        <v>229</v>
      </c>
      <c r="CI340" t="s">
        <v>71</v>
      </c>
      <c r="CJ340" t="s">
        <v>226</v>
      </c>
      <c r="CK340" t="s">
        <v>361</v>
      </c>
      <c r="CL340" t="s">
        <v>237</v>
      </c>
      <c r="CM340" t="s">
        <v>236</v>
      </c>
      <c r="CN340" t="s">
        <v>73</v>
      </c>
      <c r="CO340">
        <v>0.84</v>
      </c>
      <c r="CP340">
        <v>42434517</v>
      </c>
      <c r="CQ340" s="73">
        <v>45371.590277777781</v>
      </c>
      <c r="CR340" t="s">
        <v>229</v>
      </c>
      <c r="CS340" t="s">
        <v>71</v>
      </c>
      <c r="CU340" t="s">
        <v>225</v>
      </c>
    </row>
    <row r="341" spans="1:99">
      <c r="A341" t="s">
        <v>131</v>
      </c>
      <c r="B341" t="s">
        <v>90</v>
      </c>
      <c r="J341" t="s">
        <v>225</v>
      </c>
      <c r="K341" t="s">
        <v>225</v>
      </c>
      <c r="M341" s="73">
        <v>45371.590277777781</v>
      </c>
      <c r="N341">
        <v>42434510</v>
      </c>
      <c r="O341">
        <v>-129.5</v>
      </c>
      <c r="P341" t="s">
        <v>73</v>
      </c>
      <c r="Q341">
        <v>-129.5</v>
      </c>
      <c r="R341" t="s">
        <v>73</v>
      </c>
      <c r="U341" t="s">
        <v>226</v>
      </c>
      <c r="V341" t="s">
        <v>361</v>
      </c>
      <c r="W341" t="s">
        <v>228</v>
      </c>
      <c r="X341" t="s">
        <v>229</v>
      </c>
      <c r="Y341" t="s">
        <v>131</v>
      </c>
      <c r="AD341" t="s">
        <v>73</v>
      </c>
      <c r="AE341">
        <v>-129.5</v>
      </c>
      <c r="AF341">
        <v>42434510</v>
      </c>
      <c r="AG341" s="73">
        <v>45371.590277777781</v>
      </c>
      <c r="AH341" t="s">
        <v>226</v>
      </c>
      <c r="AI341" t="s">
        <v>361</v>
      </c>
      <c r="AJ341" t="s">
        <v>228</v>
      </c>
      <c r="AK341" t="s">
        <v>229</v>
      </c>
      <c r="AL341" t="s">
        <v>131</v>
      </c>
      <c r="AP341" t="s">
        <v>230</v>
      </c>
      <c r="AQ341" t="s">
        <v>231</v>
      </c>
      <c r="AT341" t="s">
        <v>232</v>
      </c>
      <c r="AU341">
        <v>-99</v>
      </c>
      <c r="AV341" t="s">
        <v>73</v>
      </c>
      <c r="AW341">
        <v>-129.5</v>
      </c>
      <c r="AX341">
        <v>42434510</v>
      </c>
      <c r="AY341" s="73">
        <v>45371.590277777781</v>
      </c>
      <c r="AZ341" t="s">
        <v>226</v>
      </c>
      <c r="BA341" t="s">
        <v>361</v>
      </c>
      <c r="BB341" t="s">
        <v>228</v>
      </c>
      <c r="BC341" t="s">
        <v>229</v>
      </c>
      <c r="BD341" t="s">
        <v>131</v>
      </c>
      <c r="BI341" t="s">
        <v>233</v>
      </c>
      <c r="BJ341" t="s">
        <v>0</v>
      </c>
      <c r="BK341">
        <v>42434506</v>
      </c>
      <c r="BN341" t="s">
        <v>73</v>
      </c>
      <c r="BR341">
        <v>-129.5</v>
      </c>
      <c r="BS341">
        <v>42434510</v>
      </c>
      <c r="BT341" s="73">
        <v>45371.590277777781</v>
      </c>
      <c r="BU341" t="s">
        <v>226</v>
      </c>
      <c r="BV341" t="s">
        <v>361</v>
      </c>
      <c r="BW341" t="s">
        <v>228</v>
      </c>
      <c r="CH341" t="s">
        <v>229</v>
      </c>
      <c r="CI341" t="s">
        <v>131</v>
      </c>
      <c r="CJ341" t="s">
        <v>226</v>
      </c>
      <c r="CK341" t="s">
        <v>361</v>
      </c>
      <c r="CL341" t="s">
        <v>228</v>
      </c>
      <c r="CM341" t="s">
        <v>234</v>
      </c>
      <c r="CN341" t="s">
        <v>73</v>
      </c>
      <c r="CO341">
        <v>-129.5</v>
      </c>
      <c r="CP341">
        <v>42434510</v>
      </c>
      <c r="CQ341" s="73">
        <v>45371.590277777781</v>
      </c>
      <c r="CR341" t="s">
        <v>229</v>
      </c>
      <c r="CS341" t="s">
        <v>131</v>
      </c>
      <c r="CU341" t="s">
        <v>225</v>
      </c>
    </row>
    <row r="342" spans="1:99">
      <c r="A342" t="s">
        <v>133</v>
      </c>
      <c r="B342" t="s">
        <v>90</v>
      </c>
      <c r="J342" t="s">
        <v>225</v>
      </c>
      <c r="K342" t="s">
        <v>225</v>
      </c>
      <c r="M342" s="73">
        <v>45371.590277777781</v>
      </c>
      <c r="N342">
        <v>42434503</v>
      </c>
      <c r="O342">
        <v>-594</v>
      </c>
      <c r="P342" t="s">
        <v>73</v>
      </c>
      <c r="Q342">
        <v>-594</v>
      </c>
      <c r="R342" t="s">
        <v>73</v>
      </c>
      <c r="U342" t="s">
        <v>226</v>
      </c>
      <c r="V342" t="s">
        <v>361</v>
      </c>
      <c r="W342" t="s">
        <v>228</v>
      </c>
      <c r="X342" t="s">
        <v>229</v>
      </c>
      <c r="Y342" t="s">
        <v>133</v>
      </c>
      <c r="AD342" t="s">
        <v>73</v>
      </c>
      <c r="AE342">
        <v>-594</v>
      </c>
      <c r="AF342">
        <v>42434503</v>
      </c>
      <c r="AG342" s="73">
        <v>45371.590277777781</v>
      </c>
      <c r="AH342" t="s">
        <v>226</v>
      </c>
      <c r="AI342" t="s">
        <v>361</v>
      </c>
      <c r="AJ342" t="s">
        <v>228</v>
      </c>
      <c r="AK342" t="s">
        <v>229</v>
      </c>
      <c r="AL342" t="s">
        <v>133</v>
      </c>
      <c r="AP342" t="s">
        <v>230</v>
      </c>
      <c r="AQ342" t="s">
        <v>231</v>
      </c>
      <c r="AT342" t="s">
        <v>232</v>
      </c>
      <c r="AU342">
        <v>-99</v>
      </c>
      <c r="AV342" t="s">
        <v>73</v>
      </c>
      <c r="AW342">
        <v>-594</v>
      </c>
      <c r="AX342">
        <v>42434503</v>
      </c>
      <c r="AY342" s="73">
        <v>45371.590277777781</v>
      </c>
      <c r="AZ342" t="s">
        <v>226</v>
      </c>
      <c r="BA342" t="s">
        <v>361</v>
      </c>
      <c r="BB342" t="s">
        <v>228</v>
      </c>
      <c r="BC342" t="s">
        <v>229</v>
      </c>
      <c r="BD342" t="s">
        <v>133</v>
      </c>
      <c r="BI342" t="s">
        <v>233</v>
      </c>
      <c r="BJ342" t="s">
        <v>0</v>
      </c>
      <c r="BK342">
        <v>42434499</v>
      </c>
      <c r="BN342" t="s">
        <v>73</v>
      </c>
      <c r="BR342">
        <v>-594</v>
      </c>
      <c r="BS342">
        <v>42434503</v>
      </c>
      <c r="BT342" s="73">
        <v>45371.590277777781</v>
      </c>
      <c r="BU342" t="s">
        <v>226</v>
      </c>
      <c r="BV342" t="s">
        <v>361</v>
      </c>
      <c r="BW342" t="s">
        <v>228</v>
      </c>
      <c r="CH342" t="s">
        <v>229</v>
      </c>
      <c r="CI342" t="s">
        <v>133</v>
      </c>
      <c r="CJ342" t="s">
        <v>226</v>
      </c>
      <c r="CK342" t="s">
        <v>361</v>
      </c>
      <c r="CL342" t="s">
        <v>228</v>
      </c>
      <c r="CM342" t="s">
        <v>234</v>
      </c>
      <c r="CN342" t="s">
        <v>73</v>
      </c>
      <c r="CO342">
        <v>-594</v>
      </c>
      <c r="CP342">
        <v>42434503</v>
      </c>
      <c r="CQ342" s="73">
        <v>45371.590277777781</v>
      </c>
      <c r="CR342" t="s">
        <v>229</v>
      </c>
      <c r="CS342" t="s">
        <v>133</v>
      </c>
      <c r="CU342" t="s">
        <v>225</v>
      </c>
    </row>
    <row r="343" spans="1:99">
      <c r="A343" t="s">
        <v>87</v>
      </c>
      <c r="B343" t="s">
        <v>90</v>
      </c>
      <c r="J343" t="s">
        <v>225</v>
      </c>
      <c r="K343" t="s">
        <v>225</v>
      </c>
      <c r="M343" s="73">
        <v>45371.590277777781</v>
      </c>
      <c r="N343">
        <v>42434496</v>
      </c>
      <c r="O343">
        <v>-72.599999999999994</v>
      </c>
      <c r="P343" t="s">
        <v>73</v>
      </c>
      <c r="Q343">
        <v>-72.599999999999994</v>
      </c>
      <c r="R343" t="s">
        <v>73</v>
      </c>
      <c r="U343" t="s">
        <v>226</v>
      </c>
      <c r="V343" t="s">
        <v>361</v>
      </c>
      <c r="W343" t="s">
        <v>228</v>
      </c>
      <c r="X343" t="s">
        <v>229</v>
      </c>
      <c r="Y343" t="s">
        <v>87</v>
      </c>
      <c r="AD343" t="s">
        <v>73</v>
      </c>
      <c r="AE343">
        <v>-72.599999999999994</v>
      </c>
      <c r="AF343">
        <v>42434496</v>
      </c>
      <c r="AG343" s="73">
        <v>45371.590277777781</v>
      </c>
      <c r="AH343" t="s">
        <v>226</v>
      </c>
      <c r="AI343" t="s">
        <v>361</v>
      </c>
      <c r="AJ343" t="s">
        <v>228</v>
      </c>
      <c r="AK343" t="s">
        <v>229</v>
      </c>
      <c r="AL343" t="s">
        <v>87</v>
      </c>
      <c r="AP343" t="s">
        <v>230</v>
      </c>
      <c r="AQ343" t="s">
        <v>231</v>
      </c>
      <c r="AT343" t="s">
        <v>232</v>
      </c>
      <c r="AU343">
        <v>-99</v>
      </c>
      <c r="AV343" t="s">
        <v>73</v>
      </c>
      <c r="AW343">
        <v>-72.599999999999994</v>
      </c>
      <c r="AX343">
        <v>42434496</v>
      </c>
      <c r="AY343" s="73">
        <v>45371.590277777781</v>
      </c>
      <c r="AZ343" t="s">
        <v>226</v>
      </c>
      <c r="BA343" t="s">
        <v>361</v>
      </c>
      <c r="BB343" t="s">
        <v>228</v>
      </c>
      <c r="BC343" t="s">
        <v>229</v>
      </c>
      <c r="BD343" t="s">
        <v>87</v>
      </c>
      <c r="BI343" t="s">
        <v>233</v>
      </c>
      <c r="BJ343" t="s">
        <v>0</v>
      </c>
      <c r="BK343">
        <v>42434492</v>
      </c>
      <c r="BN343" t="s">
        <v>73</v>
      </c>
      <c r="BR343">
        <v>-72.599999999999994</v>
      </c>
      <c r="BS343">
        <v>42434496</v>
      </c>
      <c r="BT343" s="73">
        <v>45371.590277777781</v>
      </c>
      <c r="BU343" t="s">
        <v>226</v>
      </c>
      <c r="BV343" t="s">
        <v>361</v>
      </c>
      <c r="BW343" t="s">
        <v>228</v>
      </c>
      <c r="CH343" t="s">
        <v>229</v>
      </c>
      <c r="CI343" t="s">
        <v>87</v>
      </c>
      <c r="CJ343" t="s">
        <v>226</v>
      </c>
      <c r="CK343" t="s">
        <v>361</v>
      </c>
      <c r="CL343" t="s">
        <v>228</v>
      </c>
      <c r="CM343" t="s">
        <v>234</v>
      </c>
      <c r="CN343" t="s">
        <v>73</v>
      </c>
      <c r="CO343">
        <v>-72.599999999999994</v>
      </c>
      <c r="CP343">
        <v>42434496</v>
      </c>
      <c r="CQ343" s="73">
        <v>45371.590277777781</v>
      </c>
      <c r="CR343" t="s">
        <v>229</v>
      </c>
      <c r="CS343" t="s">
        <v>87</v>
      </c>
      <c r="CU343" t="s">
        <v>225</v>
      </c>
    </row>
    <row r="344" spans="1:99">
      <c r="A344" t="s">
        <v>127</v>
      </c>
      <c r="B344" t="s">
        <v>90</v>
      </c>
      <c r="J344" t="s">
        <v>225</v>
      </c>
      <c r="K344" t="s">
        <v>225</v>
      </c>
      <c r="M344" s="73">
        <v>45371.590277777781</v>
      </c>
      <c r="N344">
        <v>42434489</v>
      </c>
      <c r="O344">
        <v>-652.79999999999995</v>
      </c>
      <c r="P344" t="s">
        <v>73</v>
      </c>
      <c r="Q344">
        <v>-652.79999999999995</v>
      </c>
      <c r="R344" t="s">
        <v>73</v>
      </c>
      <c r="U344" t="s">
        <v>226</v>
      </c>
      <c r="V344" t="s">
        <v>361</v>
      </c>
      <c r="W344" t="s">
        <v>228</v>
      </c>
      <c r="X344" t="s">
        <v>229</v>
      </c>
      <c r="Y344" t="s">
        <v>127</v>
      </c>
      <c r="AD344" t="s">
        <v>73</v>
      </c>
      <c r="AE344">
        <v>-652.79999999999995</v>
      </c>
      <c r="AF344">
        <v>42434489</v>
      </c>
      <c r="AG344" s="73">
        <v>45371.590277777781</v>
      </c>
      <c r="AH344" t="s">
        <v>226</v>
      </c>
      <c r="AI344" t="s">
        <v>361</v>
      </c>
      <c r="AJ344" t="s">
        <v>228</v>
      </c>
      <c r="AK344" t="s">
        <v>229</v>
      </c>
      <c r="AL344" t="s">
        <v>127</v>
      </c>
      <c r="AP344" t="s">
        <v>230</v>
      </c>
      <c r="AQ344" t="s">
        <v>231</v>
      </c>
      <c r="AT344" t="s">
        <v>232</v>
      </c>
      <c r="AU344">
        <v>-99</v>
      </c>
      <c r="AV344" t="s">
        <v>73</v>
      </c>
      <c r="AW344">
        <v>-652.79999999999995</v>
      </c>
      <c r="AX344">
        <v>42434489</v>
      </c>
      <c r="AY344" s="73">
        <v>45371.590277777781</v>
      </c>
      <c r="AZ344" t="s">
        <v>226</v>
      </c>
      <c r="BA344" t="s">
        <v>361</v>
      </c>
      <c r="BB344" t="s">
        <v>228</v>
      </c>
      <c r="BC344" t="s">
        <v>229</v>
      </c>
      <c r="BD344" t="s">
        <v>127</v>
      </c>
      <c r="BI344" t="s">
        <v>233</v>
      </c>
      <c r="BJ344" t="s">
        <v>0</v>
      </c>
      <c r="BK344">
        <v>42434485</v>
      </c>
      <c r="BN344" t="s">
        <v>73</v>
      </c>
      <c r="BR344">
        <v>-652.79999999999995</v>
      </c>
      <c r="BS344">
        <v>42434489</v>
      </c>
      <c r="BT344" s="73">
        <v>45371.590277777781</v>
      </c>
      <c r="BU344" t="s">
        <v>226</v>
      </c>
      <c r="BV344" t="s">
        <v>361</v>
      </c>
      <c r="BW344" t="s">
        <v>228</v>
      </c>
      <c r="CH344" t="s">
        <v>229</v>
      </c>
      <c r="CI344" t="s">
        <v>127</v>
      </c>
      <c r="CJ344" t="s">
        <v>226</v>
      </c>
      <c r="CK344" t="s">
        <v>361</v>
      </c>
      <c r="CL344" t="s">
        <v>228</v>
      </c>
      <c r="CM344" t="s">
        <v>234</v>
      </c>
      <c r="CN344" t="s">
        <v>73</v>
      </c>
      <c r="CO344">
        <v>-652.79999999999995</v>
      </c>
      <c r="CP344">
        <v>42434489</v>
      </c>
      <c r="CQ344" s="73">
        <v>45371.590277777781</v>
      </c>
      <c r="CR344" t="s">
        <v>229</v>
      </c>
      <c r="CS344" t="s">
        <v>127</v>
      </c>
      <c r="CU344" t="s">
        <v>225</v>
      </c>
    </row>
    <row r="345" spans="1:99">
      <c r="A345" t="s">
        <v>52</v>
      </c>
      <c r="B345" t="s">
        <v>92</v>
      </c>
      <c r="J345" t="s">
        <v>225</v>
      </c>
      <c r="K345" t="s">
        <v>225</v>
      </c>
      <c r="M345" s="73">
        <v>45371.574305555558</v>
      </c>
      <c r="N345">
        <v>42432200</v>
      </c>
      <c r="O345">
        <v>-300</v>
      </c>
      <c r="P345" t="s">
        <v>45</v>
      </c>
      <c r="Q345">
        <v>-300</v>
      </c>
      <c r="R345" t="s">
        <v>45</v>
      </c>
      <c r="U345" t="s">
        <v>226</v>
      </c>
      <c r="V345" t="s">
        <v>362</v>
      </c>
      <c r="W345" t="s">
        <v>228</v>
      </c>
      <c r="X345" t="s">
        <v>229</v>
      </c>
      <c r="Y345" t="s">
        <v>52</v>
      </c>
      <c r="AD345" t="s">
        <v>45</v>
      </c>
      <c r="AE345">
        <v>-300</v>
      </c>
      <c r="AF345">
        <v>42432200</v>
      </c>
      <c r="AG345" s="73">
        <v>45371.574305555558</v>
      </c>
      <c r="AH345" t="s">
        <v>226</v>
      </c>
      <c r="AI345" t="s">
        <v>362</v>
      </c>
      <c r="AJ345" t="s">
        <v>228</v>
      </c>
      <c r="AK345" t="s">
        <v>229</v>
      </c>
      <c r="AL345" t="s">
        <v>52</v>
      </c>
      <c r="AP345" t="s">
        <v>230</v>
      </c>
      <c r="AQ345" t="s">
        <v>231</v>
      </c>
      <c r="AT345" t="s">
        <v>232</v>
      </c>
      <c r="AU345">
        <v>-99</v>
      </c>
      <c r="AV345" t="s">
        <v>45</v>
      </c>
      <c r="AW345">
        <v>-300</v>
      </c>
      <c r="AX345">
        <v>42432200</v>
      </c>
      <c r="AY345" s="73">
        <v>45371.574305555558</v>
      </c>
      <c r="AZ345" t="s">
        <v>226</v>
      </c>
      <c r="BA345" t="s">
        <v>362</v>
      </c>
      <c r="BB345" t="s">
        <v>228</v>
      </c>
      <c r="BC345" t="s">
        <v>229</v>
      </c>
      <c r="BD345" t="s">
        <v>52</v>
      </c>
      <c r="BI345" t="s">
        <v>233</v>
      </c>
      <c r="BJ345" t="s">
        <v>0</v>
      </c>
      <c r="BK345">
        <v>42432181</v>
      </c>
      <c r="BN345" t="s">
        <v>45</v>
      </c>
      <c r="BR345">
        <v>-300</v>
      </c>
      <c r="BS345">
        <v>42432200</v>
      </c>
      <c r="BT345" s="73">
        <v>45371.574305555558</v>
      </c>
      <c r="BU345" t="s">
        <v>226</v>
      </c>
      <c r="BV345" t="s">
        <v>362</v>
      </c>
      <c r="BW345" t="s">
        <v>228</v>
      </c>
      <c r="CH345" t="s">
        <v>229</v>
      </c>
      <c r="CI345" t="s">
        <v>52</v>
      </c>
      <c r="CJ345" t="s">
        <v>226</v>
      </c>
      <c r="CK345" t="s">
        <v>362</v>
      </c>
      <c r="CL345" t="s">
        <v>228</v>
      </c>
      <c r="CM345" t="s">
        <v>234</v>
      </c>
      <c r="CN345" t="s">
        <v>45</v>
      </c>
      <c r="CO345">
        <v>-300</v>
      </c>
      <c r="CP345">
        <v>42432200</v>
      </c>
      <c r="CQ345" s="73">
        <v>45371.574305555558</v>
      </c>
      <c r="CR345" t="s">
        <v>229</v>
      </c>
      <c r="CS345" t="s">
        <v>52</v>
      </c>
      <c r="CU345" t="s">
        <v>225</v>
      </c>
    </row>
    <row r="346" spans="1:99">
      <c r="A346" t="s">
        <v>101</v>
      </c>
      <c r="B346" t="s">
        <v>98</v>
      </c>
      <c r="J346" t="s">
        <v>225</v>
      </c>
      <c r="K346" t="s">
        <v>225</v>
      </c>
      <c r="M346" s="73">
        <v>45371.574305555558</v>
      </c>
      <c r="N346">
        <v>42432199</v>
      </c>
      <c r="O346">
        <v>-15</v>
      </c>
      <c r="P346" t="s">
        <v>73</v>
      </c>
      <c r="Q346">
        <v>-15</v>
      </c>
      <c r="R346" t="s">
        <v>73</v>
      </c>
      <c r="U346" t="s">
        <v>226</v>
      </c>
      <c r="V346" t="s">
        <v>362</v>
      </c>
      <c r="W346" t="s">
        <v>228</v>
      </c>
      <c r="X346" t="s">
        <v>229</v>
      </c>
      <c r="Y346" t="s">
        <v>101</v>
      </c>
      <c r="AD346" t="s">
        <v>73</v>
      </c>
      <c r="AE346">
        <v>-15</v>
      </c>
      <c r="AF346">
        <v>42432199</v>
      </c>
      <c r="AG346" s="73">
        <v>45371.574305555558</v>
      </c>
      <c r="AH346" t="s">
        <v>226</v>
      </c>
      <c r="AI346" t="s">
        <v>362</v>
      </c>
      <c r="AJ346" t="s">
        <v>228</v>
      </c>
      <c r="AK346" t="s">
        <v>229</v>
      </c>
      <c r="AL346" t="s">
        <v>101</v>
      </c>
      <c r="AP346" t="s">
        <v>230</v>
      </c>
      <c r="AQ346" t="s">
        <v>231</v>
      </c>
      <c r="AT346" t="s">
        <v>232</v>
      </c>
      <c r="AU346">
        <v>-99</v>
      </c>
      <c r="AV346" t="s">
        <v>73</v>
      </c>
      <c r="AW346">
        <v>-15</v>
      </c>
      <c r="AX346">
        <v>42432199</v>
      </c>
      <c r="AY346" s="73">
        <v>45371.574305555558</v>
      </c>
      <c r="AZ346" t="s">
        <v>226</v>
      </c>
      <c r="BA346" t="s">
        <v>362</v>
      </c>
      <c r="BB346" t="s">
        <v>228</v>
      </c>
      <c r="BC346" t="s">
        <v>229</v>
      </c>
      <c r="BD346" t="s">
        <v>101</v>
      </c>
      <c r="BI346" t="s">
        <v>233</v>
      </c>
      <c r="BJ346" t="s">
        <v>0</v>
      </c>
      <c r="BK346">
        <v>42432181</v>
      </c>
      <c r="BN346" t="s">
        <v>73</v>
      </c>
      <c r="BR346">
        <v>-15</v>
      </c>
      <c r="BS346">
        <v>42432199</v>
      </c>
      <c r="BT346" s="73">
        <v>45371.574305555558</v>
      </c>
      <c r="BU346" t="s">
        <v>226</v>
      </c>
      <c r="BV346" t="s">
        <v>362</v>
      </c>
      <c r="BW346" t="s">
        <v>228</v>
      </c>
      <c r="CH346" t="s">
        <v>229</v>
      </c>
      <c r="CI346" t="s">
        <v>101</v>
      </c>
      <c r="CJ346" t="s">
        <v>226</v>
      </c>
      <c r="CK346" t="s">
        <v>362</v>
      </c>
      <c r="CL346" t="s">
        <v>228</v>
      </c>
      <c r="CM346" t="s">
        <v>234</v>
      </c>
      <c r="CN346" t="s">
        <v>73</v>
      </c>
      <c r="CO346">
        <v>-15</v>
      </c>
      <c r="CP346">
        <v>42432199</v>
      </c>
      <c r="CQ346" s="73">
        <v>45371.574305555558</v>
      </c>
      <c r="CR346" t="s">
        <v>229</v>
      </c>
      <c r="CS346" t="s">
        <v>101</v>
      </c>
      <c r="CU346" t="s">
        <v>225</v>
      </c>
    </row>
    <row r="347" spans="1:99">
      <c r="A347" t="s">
        <v>107</v>
      </c>
      <c r="B347" t="s">
        <v>98</v>
      </c>
      <c r="J347" t="s">
        <v>225</v>
      </c>
      <c r="K347" t="s">
        <v>225</v>
      </c>
      <c r="M347" s="73">
        <v>45371.574305555558</v>
      </c>
      <c r="N347">
        <v>42432198</v>
      </c>
      <c r="O347">
        <v>300</v>
      </c>
      <c r="P347" t="s">
        <v>104</v>
      </c>
      <c r="Q347">
        <v>300</v>
      </c>
      <c r="R347" t="s">
        <v>104</v>
      </c>
      <c r="S347">
        <v>15</v>
      </c>
      <c r="T347" t="s">
        <v>73</v>
      </c>
      <c r="U347" t="s">
        <v>226</v>
      </c>
      <c r="V347" t="s">
        <v>362</v>
      </c>
      <c r="W347" t="s">
        <v>235</v>
      </c>
      <c r="X347" t="s">
        <v>229</v>
      </c>
      <c r="Y347" t="s">
        <v>107</v>
      </c>
      <c r="AD347" t="s">
        <v>104</v>
      </c>
      <c r="AE347">
        <v>300</v>
      </c>
      <c r="AF347">
        <v>42432198</v>
      </c>
      <c r="AG347" s="73">
        <v>45371.574305555558</v>
      </c>
      <c r="AH347" t="s">
        <v>226</v>
      </c>
      <c r="AI347" t="s">
        <v>362</v>
      </c>
      <c r="AJ347" t="s">
        <v>235</v>
      </c>
      <c r="AK347" t="s">
        <v>229</v>
      </c>
      <c r="AL347" t="s">
        <v>107</v>
      </c>
      <c r="AP347" t="s">
        <v>230</v>
      </c>
      <c r="AQ347" t="s">
        <v>231</v>
      </c>
      <c r="AT347" t="s">
        <v>232</v>
      </c>
      <c r="AU347">
        <v>-99</v>
      </c>
      <c r="AV347" t="s">
        <v>104</v>
      </c>
      <c r="AW347">
        <v>300</v>
      </c>
      <c r="AX347">
        <v>42432198</v>
      </c>
      <c r="AY347" s="73">
        <v>45371.574305555558</v>
      </c>
      <c r="AZ347" t="s">
        <v>226</v>
      </c>
      <c r="BA347" t="s">
        <v>362</v>
      </c>
      <c r="BB347" t="s">
        <v>235</v>
      </c>
      <c r="BC347" t="s">
        <v>229</v>
      </c>
      <c r="BD347" t="s">
        <v>107</v>
      </c>
      <c r="BI347" t="s">
        <v>233</v>
      </c>
      <c r="BJ347" t="s">
        <v>0</v>
      </c>
      <c r="BK347">
        <v>42432181</v>
      </c>
      <c r="BN347" t="s">
        <v>104</v>
      </c>
      <c r="BO347">
        <v>42432194</v>
      </c>
      <c r="BR347">
        <v>300</v>
      </c>
      <c r="BS347">
        <v>42432198</v>
      </c>
      <c r="BT347" s="73">
        <v>45371.574305555558</v>
      </c>
      <c r="BU347" t="s">
        <v>226</v>
      </c>
      <c r="BV347" t="s">
        <v>362</v>
      </c>
      <c r="BW347" t="s">
        <v>235</v>
      </c>
      <c r="CH347" t="s">
        <v>229</v>
      </c>
      <c r="CI347" t="s">
        <v>107</v>
      </c>
      <c r="CJ347" t="s">
        <v>226</v>
      </c>
      <c r="CK347" t="s">
        <v>362</v>
      </c>
      <c r="CL347" t="s">
        <v>235</v>
      </c>
      <c r="CM347" t="s">
        <v>236</v>
      </c>
      <c r="CN347" t="s">
        <v>104</v>
      </c>
      <c r="CO347">
        <v>300</v>
      </c>
      <c r="CP347">
        <v>42432198</v>
      </c>
      <c r="CQ347" s="73">
        <v>45371.574305555558</v>
      </c>
      <c r="CR347" t="s">
        <v>229</v>
      </c>
      <c r="CS347" t="s">
        <v>107</v>
      </c>
      <c r="CU347" t="s">
        <v>225</v>
      </c>
    </row>
    <row r="348" spans="1:99">
      <c r="A348" t="s">
        <v>42</v>
      </c>
      <c r="B348" t="s">
        <v>92</v>
      </c>
      <c r="J348" t="s">
        <v>225</v>
      </c>
      <c r="K348" t="s">
        <v>225</v>
      </c>
      <c r="M348" s="73">
        <v>45371.290972222225</v>
      </c>
      <c r="N348">
        <v>42432274</v>
      </c>
      <c r="O348">
        <v>-2771</v>
      </c>
      <c r="P348" t="s">
        <v>45</v>
      </c>
      <c r="Q348">
        <v>-2771</v>
      </c>
      <c r="R348" t="s">
        <v>45</v>
      </c>
      <c r="U348" t="s">
        <v>226</v>
      </c>
      <c r="V348" t="s">
        <v>363</v>
      </c>
      <c r="W348" t="s">
        <v>228</v>
      </c>
      <c r="X348" t="s">
        <v>229</v>
      </c>
      <c r="Y348" t="s">
        <v>42</v>
      </c>
      <c r="AD348" t="s">
        <v>45</v>
      </c>
      <c r="AE348">
        <v>-2771</v>
      </c>
      <c r="AF348">
        <v>42432274</v>
      </c>
      <c r="AG348" s="73">
        <v>45371.290972222225</v>
      </c>
      <c r="AH348" t="s">
        <v>226</v>
      </c>
      <c r="AI348" t="s">
        <v>363</v>
      </c>
      <c r="AJ348" t="s">
        <v>228</v>
      </c>
      <c r="AK348" t="s">
        <v>229</v>
      </c>
      <c r="AL348" t="s">
        <v>42</v>
      </c>
      <c r="AP348" t="s">
        <v>230</v>
      </c>
      <c r="AQ348" t="s">
        <v>231</v>
      </c>
      <c r="AT348" t="s">
        <v>232</v>
      </c>
      <c r="AU348">
        <v>-99</v>
      </c>
      <c r="AV348" t="s">
        <v>45</v>
      </c>
      <c r="AW348">
        <v>-2771</v>
      </c>
      <c r="AX348">
        <v>42432274</v>
      </c>
      <c r="AY348" s="73">
        <v>45371.290972222225</v>
      </c>
      <c r="AZ348" t="s">
        <v>226</v>
      </c>
      <c r="BA348" t="s">
        <v>363</v>
      </c>
      <c r="BB348" t="s">
        <v>228</v>
      </c>
      <c r="BC348" t="s">
        <v>229</v>
      </c>
      <c r="BD348" t="s">
        <v>42</v>
      </c>
      <c r="BI348" t="s">
        <v>233</v>
      </c>
      <c r="BJ348" t="s">
        <v>0</v>
      </c>
      <c r="BK348">
        <v>42432251</v>
      </c>
      <c r="BN348" t="s">
        <v>45</v>
      </c>
      <c r="BR348">
        <v>-2771</v>
      </c>
      <c r="BS348">
        <v>42432274</v>
      </c>
      <c r="BT348" s="73">
        <v>45371.290972222225</v>
      </c>
      <c r="BU348" t="s">
        <v>226</v>
      </c>
      <c r="BV348" t="s">
        <v>363</v>
      </c>
      <c r="BW348" t="s">
        <v>228</v>
      </c>
      <c r="CH348" t="s">
        <v>229</v>
      </c>
      <c r="CI348" t="s">
        <v>42</v>
      </c>
      <c r="CJ348" t="s">
        <v>226</v>
      </c>
      <c r="CK348" t="s">
        <v>363</v>
      </c>
      <c r="CL348" t="s">
        <v>228</v>
      </c>
      <c r="CM348" t="s">
        <v>234</v>
      </c>
      <c r="CN348" t="s">
        <v>45</v>
      </c>
      <c r="CO348">
        <v>-2771</v>
      </c>
      <c r="CP348">
        <v>42432274</v>
      </c>
      <c r="CQ348" s="73">
        <v>45371.290972222225</v>
      </c>
      <c r="CR348" t="s">
        <v>229</v>
      </c>
      <c r="CS348" t="s">
        <v>42</v>
      </c>
      <c r="CU348" t="s">
        <v>225</v>
      </c>
    </row>
    <row r="349" spans="1:99">
      <c r="A349" t="s">
        <v>99</v>
      </c>
      <c r="B349" t="s">
        <v>98</v>
      </c>
      <c r="J349" t="s">
        <v>225</v>
      </c>
      <c r="K349" t="s">
        <v>225</v>
      </c>
      <c r="M349" s="73">
        <v>45371.290972222225</v>
      </c>
      <c r="N349">
        <v>42432273</v>
      </c>
      <c r="O349">
        <v>-138.5</v>
      </c>
      <c r="P349" t="s">
        <v>73</v>
      </c>
      <c r="Q349">
        <v>-138.5</v>
      </c>
      <c r="R349" t="s">
        <v>73</v>
      </c>
      <c r="U349" t="s">
        <v>226</v>
      </c>
      <c r="V349" t="s">
        <v>363</v>
      </c>
      <c r="W349" t="s">
        <v>228</v>
      </c>
      <c r="X349" t="s">
        <v>229</v>
      </c>
      <c r="Y349" t="s">
        <v>99</v>
      </c>
      <c r="AD349" t="s">
        <v>73</v>
      </c>
      <c r="AE349">
        <v>-138.5</v>
      </c>
      <c r="AF349">
        <v>42432273</v>
      </c>
      <c r="AG349" s="73">
        <v>45371.290972222225</v>
      </c>
      <c r="AH349" t="s">
        <v>226</v>
      </c>
      <c r="AI349" t="s">
        <v>363</v>
      </c>
      <c r="AJ349" t="s">
        <v>228</v>
      </c>
      <c r="AK349" t="s">
        <v>229</v>
      </c>
      <c r="AL349" t="s">
        <v>99</v>
      </c>
      <c r="AP349" t="s">
        <v>230</v>
      </c>
      <c r="AQ349" t="s">
        <v>231</v>
      </c>
      <c r="AT349" t="s">
        <v>232</v>
      </c>
      <c r="AU349">
        <v>-99</v>
      </c>
      <c r="AV349" t="s">
        <v>73</v>
      </c>
      <c r="AW349">
        <v>-138.5</v>
      </c>
      <c r="AX349">
        <v>42432273</v>
      </c>
      <c r="AY349" s="73">
        <v>45371.290972222225</v>
      </c>
      <c r="AZ349" t="s">
        <v>226</v>
      </c>
      <c r="BA349" t="s">
        <v>363</v>
      </c>
      <c r="BB349" t="s">
        <v>228</v>
      </c>
      <c r="BC349" t="s">
        <v>229</v>
      </c>
      <c r="BD349" t="s">
        <v>99</v>
      </c>
      <c r="BI349" t="s">
        <v>233</v>
      </c>
      <c r="BJ349" t="s">
        <v>0</v>
      </c>
      <c r="BK349">
        <v>42432251</v>
      </c>
      <c r="BN349" t="s">
        <v>73</v>
      </c>
      <c r="BR349">
        <v>-138.5</v>
      </c>
      <c r="BS349">
        <v>42432273</v>
      </c>
      <c r="BT349" s="73">
        <v>45371.290972222225</v>
      </c>
      <c r="BU349" t="s">
        <v>226</v>
      </c>
      <c r="BV349" t="s">
        <v>363</v>
      </c>
      <c r="BW349" t="s">
        <v>228</v>
      </c>
      <c r="CH349" t="s">
        <v>229</v>
      </c>
      <c r="CI349" t="s">
        <v>99</v>
      </c>
      <c r="CJ349" t="s">
        <v>226</v>
      </c>
      <c r="CK349" t="s">
        <v>363</v>
      </c>
      <c r="CL349" t="s">
        <v>228</v>
      </c>
      <c r="CM349" t="s">
        <v>234</v>
      </c>
      <c r="CN349" t="s">
        <v>73</v>
      </c>
      <c r="CO349">
        <v>-138.5</v>
      </c>
      <c r="CP349">
        <v>42432273</v>
      </c>
      <c r="CQ349" s="73">
        <v>45371.290972222225</v>
      </c>
      <c r="CR349" t="s">
        <v>229</v>
      </c>
      <c r="CS349" t="s">
        <v>99</v>
      </c>
      <c r="CU349" t="s">
        <v>225</v>
      </c>
    </row>
    <row r="350" spans="1:99">
      <c r="A350" t="s">
        <v>103</v>
      </c>
      <c r="B350" t="s">
        <v>98</v>
      </c>
      <c r="J350" t="s">
        <v>225</v>
      </c>
      <c r="K350" t="s">
        <v>225</v>
      </c>
      <c r="M350" s="73">
        <v>45371.290972222225</v>
      </c>
      <c r="N350">
        <v>42432272</v>
      </c>
      <c r="O350">
        <v>2770</v>
      </c>
      <c r="P350" t="s">
        <v>104</v>
      </c>
      <c r="Q350">
        <v>2770</v>
      </c>
      <c r="R350" t="s">
        <v>104</v>
      </c>
      <c r="S350">
        <v>138.5</v>
      </c>
      <c r="T350" t="s">
        <v>73</v>
      </c>
      <c r="U350" t="s">
        <v>226</v>
      </c>
      <c r="V350" t="s">
        <v>363</v>
      </c>
      <c r="W350" t="s">
        <v>235</v>
      </c>
      <c r="X350" t="s">
        <v>229</v>
      </c>
      <c r="Y350" t="s">
        <v>103</v>
      </c>
      <c r="AD350" t="s">
        <v>104</v>
      </c>
      <c r="AE350">
        <v>2770</v>
      </c>
      <c r="AF350">
        <v>42432272</v>
      </c>
      <c r="AG350" s="73">
        <v>45371.290972222225</v>
      </c>
      <c r="AH350" t="s">
        <v>226</v>
      </c>
      <c r="AI350" t="s">
        <v>363</v>
      </c>
      <c r="AJ350" t="s">
        <v>235</v>
      </c>
      <c r="AK350" t="s">
        <v>229</v>
      </c>
      <c r="AL350" t="s">
        <v>103</v>
      </c>
      <c r="AP350" t="s">
        <v>230</v>
      </c>
      <c r="AQ350" t="s">
        <v>231</v>
      </c>
      <c r="AT350" t="s">
        <v>232</v>
      </c>
      <c r="AU350">
        <v>-99</v>
      </c>
      <c r="AV350" t="s">
        <v>104</v>
      </c>
      <c r="AW350">
        <v>2770</v>
      </c>
      <c r="AX350">
        <v>42432272</v>
      </c>
      <c r="AY350" s="73">
        <v>45371.290972222225</v>
      </c>
      <c r="AZ350" t="s">
        <v>226</v>
      </c>
      <c r="BA350" t="s">
        <v>363</v>
      </c>
      <c r="BB350" t="s">
        <v>235</v>
      </c>
      <c r="BC350" t="s">
        <v>229</v>
      </c>
      <c r="BD350" t="s">
        <v>103</v>
      </c>
      <c r="BI350" t="s">
        <v>233</v>
      </c>
      <c r="BJ350" t="s">
        <v>0</v>
      </c>
      <c r="BK350">
        <v>42432251</v>
      </c>
      <c r="BN350" t="s">
        <v>104</v>
      </c>
      <c r="BO350">
        <v>42432257</v>
      </c>
      <c r="BR350">
        <v>2770</v>
      </c>
      <c r="BS350">
        <v>42432272</v>
      </c>
      <c r="BT350" s="73">
        <v>45371.290972222225</v>
      </c>
      <c r="BU350" t="s">
        <v>226</v>
      </c>
      <c r="BV350" t="s">
        <v>363</v>
      </c>
      <c r="BW350" t="s">
        <v>235</v>
      </c>
      <c r="CH350" t="s">
        <v>229</v>
      </c>
      <c r="CI350" t="s">
        <v>103</v>
      </c>
      <c r="CJ350" t="s">
        <v>226</v>
      </c>
      <c r="CK350" t="s">
        <v>363</v>
      </c>
      <c r="CL350" t="s">
        <v>235</v>
      </c>
      <c r="CM350" t="s">
        <v>236</v>
      </c>
      <c r="CN350" t="s">
        <v>104</v>
      </c>
      <c r="CO350">
        <v>2770</v>
      </c>
      <c r="CP350">
        <v>42432272</v>
      </c>
      <c r="CQ350" s="73">
        <v>45371.290972222225</v>
      </c>
      <c r="CR350" t="s">
        <v>229</v>
      </c>
      <c r="CS350" t="s">
        <v>103</v>
      </c>
      <c r="CU350" t="s">
        <v>225</v>
      </c>
    </row>
    <row r="351" spans="1:99">
      <c r="A351" t="s">
        <v>111</v>
      </c>
      <c r="B351" t="s">
        <v>77</v>
      </c>
      <c r="J351" t="s">
        <v>225</v>
      </c>
      <c r="K351" t="s">
        <v>225</v>
      </c>
      <c r="M351" s="73">
        <v>45371.290972222225</v>
      </c>
      <c r="N351">
        <v>42432271</v>
      </c>
      <c r="O351">
        <v>1</v>
      </c>
      <c r="P351" t="s">
        <v>45</v>
      </c>
      <c r="Q351">
        <v>1</v>
      </c>
      <c r="R351" t="s">
        <v>45</v>
      </c>
      <c r="U351" t="s">
        <v>226</v>
      </c>
      <c r="V351" t="s">
        <v>363</v>
      </c>
      <c r="W351" t="s">
        <v>237</v>
      </c>
      <c r="X351" t="s">
        <v>229</v>
      </c>
      <c r="Y351" t="s">
        <v>111</v>
      </c>
      <c r="AD351" t="s">
        <v>45</v>
      </c>
      <c r="AE351">
        <v>1</v>
      </c>
      <c r="AF351">
        <v>42432271</v>
      </c>
      <c r="AG351" s="73">
        <v>45371.290972222225</v>
      </c>
      <c r="AH351" t="s">
        <v>226</v>
      </c>
      <c r="AI351" t="s">
        <v>363</v>
      </c>
      <c r="AJ351" t="s">
        <v>237</v>
      </c>
      <c r="AK351" t="s">
        <v>229</v>
      </c>
      <c r="AL351" t="s">
        <v>111</v>
      </c>
      <c r="AP351" t="s">
        <v>230</v>
      </c>
      <c r="AQ351" t="s">
        <v>231</v>
      </c>
      <c r="AT351" t="s">
        <v>232</v>
      </c>
      <c r="AU351">
        <v>-99</v>
      </c>
      <c r="AV351" t="s">
        <v>45</v>
      </c>
      <c r="AW351">
        <v>1</v>
      </c>
      <c r="AX351">
        <v>42432271</v>
      </c>
      <c r="AY351" s="73">
        <v>45371.290972222225</v>
      </c>
      <c r="AZ351" t="s">
        <v>226</v>
      </c>
      <c r="BA351" t="s">
        <v>363</v>
      </c>
      <c r="BB351" t="s">
        <v>237</v>
      </c>
      <c r="BC351" t="s">
        <v>229</v>
      </c>
      <c r="BD351" t="s">
        <v>111</v>
      </c>
      <c r="BI351" t="s">
        <v>233</v>
      </c>
      <c r="BJ351" t="s">
        <v>0</v>
      </c>
      <c r="BK351">
        <v>42432251</v>
      </c>
      <c r="BN351" t="s">
        <v>45</v>
      </c>
      <c r="BO351">
        <v>42432266</v>
      </c>
      <c r="BR351">
        <v>1</v>
      </c>
      <c r="BS351">
        <v>42432271</v>
      </c>
      <c r="BT351" s="73">
        <v>45371.290972222225</v>
      </c>
      <c r="BU351" t="s">
        <v>226</v>
      </c>
      <c r="BV351" t="s">
        <v>363</v>
      </c>
      <c r="BW351" t="s">
        <v>237</v>
      </c>
      <c r="CH351" t="s">
        <v>229</v>
      </c>
      <c r="CI351" t="s">
        <v>111</v>
      </c>
      <c r="CJ351" t="s">
        <v>226</v>
      </c>
      <c r="CK351" t="s">
        <v>363</v>
      </c>
      <c r="CL351" t="s">
        <v>237</v>
      </c>
      <c r="CM351" t="s">
        <v>236</v>
      </c>
      <c r="CN351" t="s">
        <v>45</v>
      </c>
      <c r="CO351">
        <v>1</v>
      </c>
      <c r="CP351">
        <v>42432271</v>
      </c>
      <c r="CQ351" s="73">
        <v>45371.290972222225</v>
      </c>
      <c r="CR351" t="s">
        <v>229</v>
      </c>
      <c r="CS351" t="s">
        <v>111</v>
      </c>
      <c r="CU351" t="s">
        <v>225</v>
      </c>
    </row>
    <row r="352" spans="1:99">
      <c r="A352" t="s">
        <v>42</v>
      </c>
      <c r="B352" t="s">
        <v>92</v>
      </c>
      <c r="J352" t="s">
        <v>225</v>
      </c>
      <c r="K352" t="s">
        <v>225</v>
      </c>
      <c r="M352" s="73">
        <v>45371.26666666667</v>
      </c>
      <c r="N352">
        <v>42431832</v>
      </c>
      <c r="O352">
        <v>-300</v>
      </c>
      <c r="P352" t="s">
        <v>45</v>
      </c>
      <c r="Q352">
        <v>-300</v>
      </c>
      <c r="R352" t="s">
        <v>45</v>
      </c>
      <c r="U352" t="s">
        <v>226</v>
      </c>
      <c r="V352" t="s">
        <v>364</v>
      </c>
      <c r="W352" t="s">
        <v>228</v>
      </c>
      <c r="X352" t="s">
        <v>229</v>
      </c>
      <c r="Y352" t="s">
        <v>42</v>
      </c>
      <c r="AD352" t="s">
        <v>45</v>
      </c>
      <c r="AE352">
        <v>-300</v>
      </c>
      <c r="AF352">
        <v>42431832</v>
      </c>
      <c r="AG352" s="73">
        <v>45371.26666666667</v>
      </c>
      <c r="AH352" t="s">
        <v>226</v>
      </c>
      <c r="AI352" t="s">
        <v>364</v>
      </c>
      <c r="AJ352" t="s">
        <v>228</v>
      </c>
      <c r="AK352" t="s">
        <v>229</v>
      </c>
      <c r="AL352" t="s">
        <v>42</v>
      </c>
      <c r="AP352" t="s">
        <v>230</v>
      </c>
      <c r="AQ352" t="s">
        <v>231</v>
      </c>
      <c r="AT352" t="s">
        <v>232</v>
      </c>
      <c r="AU352">
        <v>-99</v>
      </c>
      <c r="AV352" t="s">
        <v>45</v>
      </c>
      <c r="AW352">
        <v>-300</v>
      </c>
      <c r="AX352">
        <v>42431832</v>
      </c>
      <c r="AY352" s="73">
        <v>45371.26666666667</v>
      </c>
      <c r="AZ352" t="s">
        <v>226</v>
      </c>
      <c r="BA352" t="s">
        <v>364</v>
      </c>
      <c r="BB352" t="s">
        <v>228</v>
      </c>
      <c r="BC352" t="s">
        <v>229</v>
      </c>
      <c r="BD352" t="s">
        <v>42</v>
      </c>
      <c r="BI352" t="s">
        <v>233</v>
      </c>
      <c r="BJ352" t="s">
        <v>0</v>
      </c>
      <c r="BK352">
        <v>42431814</v>
      </c>
      <c r="BN352" t="s">
        <v>45</v>
      </c>
      <c r="BR352">
        <v>-300</v>
      </c>
      <c r="BS352">
        <v>42431832</v>
      </c>
      <c r="BT352" s="73">
        <v>45371.26666666667</v>
      </c>
      <c r="BU352" t="s">
        <v>226</v>
      </c>
      <c r="BV352" t="s">
        <v>364</v>
      </c>
      <c r="BW352" t="s">
        <v>228</v>
      </c>
      <c r="CH352" t="s">
        <v>229</v>
      </c>
      <c r="CI352" t="s">
        <v>42</v>
      </c>
      <c r="CJ352" t="s">
        <v>226</v>
      </c>
      <c r="CK352" t="s">
        <v>364</v>
      </c>
      <c r="CL352" t="s">
        <v>228</v>
      </c>
      <c r="CM352" t="s">
        <v>234</v>
      </c>
      <c r="CN352" t="s">
        <v>45</v>
      </c>
      <c r="CO352">
        <v>-300</v>
      </c>
      <c r="CP352">
        <v>42431832</v>
      </c>
      <c r="CQ352" s="73">
        <v>45371.26666666667</v>
      </c>
      <c r="CR352" t="s">
        <v>229</v>
      </c>
      <c r="CS352" t="s">
        <v>42</v>
      </c>
      <c r="CU352" t="s">
        <v>225</v>
      </c>
    </row>
    <row r="353" spans="1:99">
      <c r="A353" t="s">
        <v>99</v>
      </c>
      <c r="B353" t="s">
        <v>98</v>
      </c>
      <c r="J353" t="s">
        <v>225</v>
      </c>
      <c r="K353" t="s">
        <v>225</v>
      </c>
      <c r="M353" s="73">
        <v>45371.26666666667</v>
      </c>
      <c r="N353">
        <v>42431831</v>
      </c>
      <c r="O353">
        <v>-15</v>
      </c>
      <c r="P353" t="s">
        <v>73</v>
      </c>
      <c r="Q353">
        <v>-15</v>
      </c>
      <c r="R353" t="s">
        <v>73</v>
      </c>
      <c r="U353" t="s">
        <v>226</v>
      </c>
      <c r="V353" t="s">
        <v>364</v>
      </c>
      <c r="W353" t="s">
        <v>228</v>
      </c>
      <c r="X353" t="s">
        <v>229</v>
      </c>
      <c r="Y353" t="s">
        <v>99</v>
      </c>
      <c r="AD353" t="s">
        <v>73</v>
      </c>
      <c r="AE353">
        <v>-15</v>
      </c>
      <c r="AF353">
        <v>42431831</v>
      </c>
      <c r="AG353" s="73">
        <v>45371.26666666667</v>
      </c>
      <c r="AH353" t="s">
        <v>226</v>
      </c>
      <c r="AI353" t="s">
        <v>364</v>
      </c>
      <c r="AJ353" t="s">
        <v>228</v>
      </c>
      <c r="AK353" t="s">
        <v>229</v>
      </c>
      <c r="AL353" t="s">
        <v>99</v>
      </c>
      <c r="AP353" t="s">
        <v>230</v>
      </c>
      <c r="AQ353" t="s">
        <v>231</v>
      </c>
      <c r="AT353" t="s">
        <v>232</v>
      </c>
      <c r="AU353">
        <v>-99</v>
      </c>
      <c r="AV353" t="s">
        <v>73</v>
      </c>
      <c r="AW353">
        <v>-15</v>
      </c>
      <c r="AX353">
        <v>42431831</v>
      </c>
      <c r="AY353" s="73">
        <v>45371.26666666667</v>
      </c>
      <c r="AZ353" t="s">
        <v>226</v>
      </c>
      <c r="BA353" t="s">
        <v>364</v>
      </c>
      <c r="BB353" t="s">
        <v>228</v>
      </c>
      <c r="BC353" t="s">
        <v>229</v>
      </c>
      <c r="BD353" t="s">
        <v>99</v>
      </c>
      <c r="BI353" t="s">
        <v>233</v>
      </c>
      <c r="BJ353" t="s">
        <v>0</v>
      </c>
      <c r="BK353">
        <v>42431814</v>
      </c>
      <c r="BN353" t="s">
        <v>73</v>
      </c>
      <c r="BR353">
        <v>-15</v>
      </c>
      <c r="BS353">
        <v>42431831</v>
      </c>
      <c r="BT353" s="73">
        <v>45371.26666666667</v>
      </c>
      <c r="BU353" t="s">
        <v>226</v>
      </c>
      <c r="BV353" t="s">
        <v>364</v>
      </c>
      <c r="BW353" t="s">
        <v>228</v>
      </c>
      <c r="CH353" t="s">
        <v>229</v>
      </c>
      <c r="CI353" t="s">
        <v>99</v>
      </c>
      <c r="CJ353" t="s">
        <v>226</v>
      </c>
      <c r="CK353" t="s">
        <v>364</v>
      </c>
      <c r="CL353" t="s">
        <v>228</v>
      </c>
      <c r="CM353" t="s">
        <v>234</v>
      </c>
      <c r="CN353" t="s">
        <v>73</v>
      </c>
      <c r="CO353">
        <v>-15</v>
      </c>
      <c r="CP353">
        <v>42431831</v>
      </c>
      <c r="CQ353" s="73">
        <v>45371.26666666667</v>
      </c>
      <c r="CR353" t="s">
        <v>229</v>
      </c>
      <c r="CS353" t="s">
        <v>99</v>
      </c>
      <c r="CU353" t="s">
        <v>225</v>
      </c>
    </row>
    <row r="354" spans="1:99">
      <c r="A354" t="s">
        <v>103</v>
      </c>
      <c r="B354" t="s">
        <v>98</v>
      </c>
      <c r="J354" t="s">
        <v>225</v>
      </c>
      <c r="K354" t="s">
        <v>225</v>
      </c>
      <c r="M354" s="73">
        <v>45371.26666666667</v>
      </c>
      <c r="N354">
        <v>42431830</v>
      </c>
      <c r="O354">
        <v>300</v>
      </c>
      <c r="P354" t="s">
        <v>104</v>
      </c>
      <c r="Q354">
        <v>300</v>
      </c>
      <c r="R354" t="s">
        <v>104</v>
      </c>
      <c r="S354">
        <v>15</v>
      </c>
      <c r="T354" t="s">
        <v>73</v>
      </c>
      <c r="U354" t="s">
        <v>226</v>
      </c>
      <c r="V354" t="s">
        <v>364</v>
      </c>
      <c r="W354" t="s">
        <v>235</v>
      </c>
      <c r="X354" t="s">
        <v>229</v>
      </c>
      <c r="Y354" t="s">
        <v>103</v>
      </c>
      <c r="AD354" t="s">
        <v>104</v>
      </c>
      <c r="AE354">
        <v>300</v>
      </c>
      <c r="AF354">
        <v>42431830</v>
      </c>
      <c r="AG354" s="73">
        <v>45371.26666666667</v>
      </c>
      <c r="AH354" t="s">
        <v>226</v>
      </c>
      <c r="AI354" t="s">
        <v>364</v>
      </c>
      <c r="AJ354" t="s">
        <v>235</v>
      </c>
      <c r="AK354" t="s">
        <v>229</v>
      </c>
      <c r="AL354" t="s">
        <v>103</v>
      </c>
      <c r="AP354" t="s">
        <v>230</v>
      </c>
      <c r="AQ354" t="s">
        <v>231</v>
      </c>
      <c r="AT354" t="s">
        <v>232</v>
      </c>
      <c r="AU354">
        <v>-99</v>
      </c>
      <c r="AV354" t="s">
        <v>104</v>
      </c>
      <c r="AW354">
        <v>300</v>
      </c>
      <c r="AX354">
        <v>42431830</v>
      </c>
      <c r="AY354" s="73">
        <v>45371.26666666667</v>
      </c>
      <c r="AZ354" t="s">
        <v>226</v>
      </c>
      <c r="BA354" t="s">
        <v>364</v>
      </c>
      <c r="BB354" t="s">
        <v>235</v>
      </c>
      <c r="BC354" t="s">
        <v>229</v>
      </c>
      <c r="BD354" t="s">
        <v>103</v>
      </c>
      <c r="BI354" t="s">
        <v>233</v>
      </c>
      <c r="BJ354" t="s">
        <v>0</v>
      </c>
      <c r="BK354">
        <v>42431814</v>
      </c>
      <c r="BN354" t="s">
        <v>104</v>
      </c>
      <c r="BO354">
        <v>42431826</v>
      </c>
      <c r="BR354">
        <v>300</v>
      </c>
      <c r="BS354">
        <v>42431830</v>
      </c>
      <c r="BT354" s="73">
        <v>45371.26666666667</v>
      </c>
      <c r="BU354" t="s">
        <v>226</v>
      </c>
      <c r="BV354" t="s">
        <v>364</v>
      </c>
      <c r="BW354" t="s">
        <v>235</v>
      </c>
      <c r="CH354" t="s">
        <v>229</v>
      </c>
      <c r="CI354" t="s">
        <v>103</v>
      </c>
      <c r="CJ354" t="s">
        <v>226</v>
      </c>
      <c r="CK354" t="s">
        <v>364</v>
      </c>
      <c r="CL354" t="s">
        <v>235</v>
      </c>
      <c r="CM354" t="s">
        <v>236</v>
      </c>
      <c r="CN354" t="s">
        <v>104</v>
      </c>
      <c r="CO354">
        <v>300</v>
      </c>
      <c r="CP354">
        <v>42431830</v>
      </c>
      <c r="CQ354" s="73">
        <v>45371.26666666667</v>
      </c>
      <c r="CR354" t="s">
        <v>229</v>
      </c>
      <c r="CS354" t="s">
        <v>103</v>
      </c>
      <c r="CU354" t="s">
        <v>225</v>
      </c>
    </row>
    <row r="355" spans="1:99">
      <c r="A355" t="s">
        <v>113</v>
      </c>
      <c r="B355" t="s">
        <v>90</v>
      </c>
      <c r="J355" t="s">
        <v>225</v>
      </c>
      <c r="K355" t="s">
        <v>225</v>
      </c>
      <c r="M355" s="73">
        <v>45371.256956018522</v>
      </c>
      <c r="N355">
        <v>42434615</v>
      </c>
      <c r="O355">
        <v>-290</v>
      </c>
      <c r="P355" t="s">
        <v>115</v>
      </c>
      <c r="Q355">
        <v>-290</v>
      </c>
      <c r="R355" t="s">
        <v>115</v>
      </c>
      <c r="U355" t="s">
        <v>226</v>
      </c>
      <c r="V355" t="s">
        <v>361</v>
      </c>
      <c r="W355" t="s">
        <v>228</v>
      </c>
      <c r="X355" t="s">
        <v>229</v>
      </c>
      <c r="Y355" t="s">
        <v>113</v>
      </c>
      <c r="AD355" t="s">
        <v>115</v>
      </c>
      <c r="AE355">
        <v>-290</v>
      </c>
      <c r="AF355">
        <v>42434615</v>
      </c>
      <c r="AG355" s="73">
        <v>45371.256956018522</v>
      </c>
      <c r="AH355" t="s">
        <v>226</v>
      </c>
      <c r="AI355" t="s">
        <v>361</v>
      </c>
      <c r="AJ355" t="s">
        <v>228</v>
      </c>
      <c r="AK355" t="s">
        <v>229</v>
      </c>
      <c r="AL355" t="s">
        <v>113</v>
      </c>
      <c r="AP355" t="s">
        <v>230</v>
      </c>
      <c r="AQ355" t="s">
        <v>231</v>
      </c>
      <c r="AT355" t="s">
        <v>232</v>
      </c>
      <c r="AU355">
        <v>-99</v>
      </c>
      <c r="AV355" t="s">
        <v>115</v>
      </c>
      <c r="AW355">
        <v>-290</v>
      </c>
      <c r="AX355">
        <v>42434615</v>
      </c>
      <c r="AY355" s="73">
        <v>45371.256956018522</v>
      </c>
      <c r="AZ355" t="s">
        <v>226</v>
      </c>
      <c r="BA355" t="s">
        <v>361</v>
      </c>
      <c r="BB355" t="s">
        <v>228</v>
      </c>
      <c r="BC355" t="s">
        <v>229</v>
      </c>
      <c r="BD355" t="s">
        <v>113</v>
      </c>
      <c r="BI355" t="s">
        <v>233</v>
      </c>
      <c r="BJ355" t="s">
        <v>0</v>
      </c>
      <c r="BK355">
        <v>42434564</v>
      </c>
      <c r="BN355" t="s">
        <v>115</v>
      </c>
      <c r="BR355">
        <v>-290</v>
      </c>
      <c r="BS355">
        <v>42434615</v>
      </c>
      <c r="BT355" s="73">
        <v>45371.256956018522</v>
      </c>
      <c r="BU355" t="s">
        <v>226</v>
      </c>
      <c r="BV355" t="s">
        <v>361</v>
      </c>
      <c r="BW355" t="s">
        <v>228</v>
      </c>
      <c r="CH355" t="s">
        <v>229</v>
      </c>
      <c r="CI355" t="s">
        <v>113</v>
      </c>
      <c r="CJ355" t="s">
        <v>226</v>
      </c>
      <c r="CK355" t="s">
        <v>361</v>
      </c>
      <c r="CL355" t="s">
        <v>228</v>
      </c>
      <c r="CM355" t="s">
        <v>234</v>
      </c>
      <c r="CN355" t="s">
        <v>115</v>
      </c>
      <c r="CO355">
        <v>-290</v>
      </c>
      <c r="CP355">
        <v>42434615</v>
      </c>
      <c r="CQ355" s="73">
        <v>45371.256956018522</v>
      </c>
      <c r="CR355" t="s">
        <v>229</v>
      </c>
      <c r="CS355" t="s">
        <v>113</v>
      </c>
      <c r="CU355" t="s">
        <v>225</v>
      </c>
    </row>
    <row r="356" spans="1:99">
      <c r="A356" t="s">
        <v>129</v>
      </c>
      <c r="B356" t="s">
        <v>90</v>
      </c>
      <c r="J356" t="s">
        <v>225</v>
      </c>
      <c r="K356" t="s">
        <v>225</v>
      </c>
      <c r="M356" s="73">
        <v>45371.256956018522</v>
      </c>
      <c r="N356">
        <v>42434614</v>
      </c>
      <c r="O356">
        <v>-5.7</v>
      </c>
      <c r="P356" t="s">
        <v>73</v>
      </c>
      <c r="Q356">
        <v>-5.7</v>
      </c>
      <c r="R356" t="s">
        <v>73</v>
      </c>
      <c r="U356" t="s">
        <v>226</v>
      </c>
      <c r="V356" t="s">
        <v>361</v>
      </c>
      <c r="W356" t="s">
        <v>228</v>
      </c>
      <c r="X356" t="s">
        <v>229</v>
      </c>
      <c r="Y356" t="s">
        <v>129</v>
      </c>
      <c r="AD356" t="s">
        <v>73</v>
      </c>
      <c r="AE356">
        <v>-5.7</v>
      </c>
      <c r="AF356">
        <v>42434614</v>
      </c>
      <c r="AG356" s="73">
        <v>45371.256956018522</v>
      </c>
      <c r="AH356" t="s">
        <v>226</v>
      </c>
      <c r="AI356" t="s">
        <v>361</v>
      </c>
      <c r="AJ356" t="s">
        <v>228</v>
      </c>
      <c r="AK356" t="s">
        <v>229</v>
      </c>
      <c r="AL356" t="s">
        <v>129</v>
      </c>
      <c r="AP356" t="s">
        <v>230</v>
      </c>
      <c r="AQ356" t="s">
        <v>231</v>
      </c>
      <c r="AT356" t="s">
        <v>232</v>
      </c>
      <c r="AU356">
        <v>-99</v>
      </c>
      <c r="AV356" t="s">
        <v>73</v>
      </c>
      <c r="AW356">
        <v>-5.7</v>
      </c>
      <c r="AX356">
        <v>42434614</v>
      </c>
      <c r="AY356" s="73">
        <v>45371.256956018522</v>
      </c>
      <c r="AZ356" t="s">
        <v>226</v>
      </c>
      <c r="BA356" t="s">
        <v>361</v>
      </c>
      <c r="BB356" t="s">
        <v>228</v>
      </c>
      <c r="BC356" t="s">
        <v>229</v>
      </c>
      <c r="BD356" t="s">
        <v>129</v>
      </c>
      <c r="BI356" t="s">
        <v>233</v>
      </c>
      <c r="BJ356" t="s">
        <v>0</v>
      </c>
      <c r="BK356">
        <v>42434564</v>
      </c>
      <c r="BN356" t="s">
        <v>73</v>
      </c>
      <c r="BR356">
        <v>-5.7</v>
      </c>
      <c r="BS356">
        <v>42434614</v>
      </c>
      <c r="BT356" s="73">
        <v>45371.256956018522</v>
      </c>
      <c r="BU356" t="s">
        <v>226</v>
      </c>
      <c r="BV356" t="s">
        <v>361</v>
      </c>
      <c r="BW356" t="s">
        <v>228</v>
      </c>
      <c r="CH356" t="s">
        <v>229</v>
      </c>
      <c r="CI356" t="s">
        <v>129</v>
      </c>
      <c r="CJ356" t="s">
        <v>226</v>
      </c>
      <c r="CK356" t="s">
        <v>361</v>
      </c>
      <c r="CL356" t="s">
        <v>228</v>
      </c>
      <c r="CM356" t="s">
        <v>234</v>
      </c>
      <c r="CN356" t="s">
        <v>73</v>
      </c>
      <c r="CO356">
        <v>-5.7</v>
      </c>
      <c r="CP356">
        <v>42434614</v>
      </c>
      <c r="CQ356" s="73">
        <v>45371.256956018522</v>
      </c>
      <c r="CR356" t="s">
        <v>229</v>
      </c>
      <c r="CS356" t="s">
        <v>129</v>
      </c>
      <c r="CU356" t="s">
        <v>225</v>
      </c>
    </row>
    <row r="357" spans="1:99">
      <c r="A357" t="s">
        <v>46</v>
      </c>
      <c r="B357" t="s">
        <v>92</v>
      </c>
      <c r="J357" t="s">
        <v>225</v>
      </c>
      <c r="K357" t="s">
        <v>225</v>
      </c>
      <c r="M357" s="73">
        <v>45371.250277777777</v>
      </c>
      <c r="N357">
        <v>42425216</v>
      </c>
      <c r="O357">
        <v>-100</v>
      </c>
      <c r="P357" t="s">
        <v>45</v>
      </c>
      <c r="Q357">
        <v>-100</v>
      </c>
      <c r="R357" t="s">
        <v>45</v>
      </c>
      <c r="U357" t="s">
        <v>226</v>
      </c>
      <c r="V357" t="s">
        <v>365</v>
      </c>
      <c r="W357" t="s">
        <v>228</v>
      </c>
      <c r="X357" t="s">
        <v>229</v>
      </c>
      <c r="Y357" t="s">
        <v>46</v>
      </c>
      <c r="AD357" t="s">
        <v>45</v>
      </c>
      <c r="AE357">
        <v>-100</v>
      </c>
      <c r="AF357">
        <v>42425216</v>
      </c>
      <c r="AG357" s="73">
        <v>45371.250277777777</v>
      </c>
      <c r="AH357" t="s">
        <v>226</v>
      </c>
      <c r="AI357" t="s">
        <v>365</v>
      </c>
      <c r="AJ357" t="s">
        <v>228</v>
      </c>
      <c r="AK357" t="s">
        <v>229</v>
      </c>
      <c r="AL357" t="s">
        <v>46</v>
      </c>
      <c r="AP357" t="s">
        <v>230</v>
      </c>
      <c r="AQ357" t="s">
        <v>231</v>
      </c>
      <c r="AT357" t="s">
        <v>232</v>
      </c>
      <c r="AU357">
        <v>-99</v>
      </c>
      <c r="AV357" t="s">
        <v>45</v>
      </c>
      <c r="AW357">
        <v>-100</v>
      </c>
      <c r="AX357">
        <v>42425216</v>
      </c>
      <c r="AY357" s="73">
        <v>45371.250277777777</v>
      </c>
      <c r="AZ357" t="s">
        <v>226</v>
      </c>
      <c r="BA357" t="s">
        <v>365</v>
      </c>
      <c r="BB357" t="s">
        <v>228</v>
      </c>
      <c r="BC357" t="s">
        <v>229</v>
      </c>
      <c r="BD357" t="s">
        <v>46</v>
      </c>
      <c r="BI357" t="s">
        <v>233</v>
      </c>
      <c r="BJ357" t="s">
        <v>0</v>
      </c>
      <c r="BK357">
        <v>42425204</v>
      </c>
      <c r="BN357" t="s">
        <v>45</v>
      </c>
      <c r="BR357">
        <v>-100</v>
      </c>
      <c r="BS357">
        <v>42425216</v>
      </c>
      <c r="BT357" s="73">
        <v>45371.250277777777</v>
      </c>
      <c r="BU357" t="s">
        <v>226</v>
      </c>
      <c r="BV357" t="s">
        <v>365</v>
      </c>
      <c r="BW357" t="s">
        <v>228</v>
      </c>
      <c r="CH357" t="s">
        <v>229</v>
      </c>
      <c r="CI357" t="s">
        <v>46</v>
      </c>
      <c r="CJ357" t="s">
        <v>226</v>
      </c>
      <c r="CK357" t="s">
        <v>365</v>
      </c>
      <c r="CL357" t="s">
        <v>228</v>
      </c>
      <c r="CM357" t="s">
        <v>234</v>
      </c>
      <c r="CN357" t="s">
        <v>45</v>
      </c>
      <c r="CO357">
        <v>-100</v>
      </c>
      <c r="CP357">
        <v>42425216</v>
      </c>
      <c r="CQ357" s="73">
        <v>45371.250277777777</v>
      </c>
      <c r="CR357" t="s">
        <v>229</v>
      </c>
      <c r="CS357" t="s">
        <v>46</v>
      </c>
      <c r="CU357" t="s">
        <v>225</v>
      </c>
    </row>
    <row r="358" spans="1:99">
      <c r="A358" t="s">
        <v>93</v>
      </c>
      <c r="B358" t="s">
        <v>98</v>
      </c>
      <c r="J358" t="s">
        <v>225</v>
      </c>
      <c r="K358" t="s">
        <v>225</v>
      </c>
      <c r="M358" s="73">
        <v>45371.250277777777</v>
      </c>
      <c r="N358">
        <v>42425215</v>
      </c>
      <c r="O358">
        <v>-5</v>
      </c>
      <c r="P358" t="s">
        <v>73</v>
      </c>
      <c r="Q358">
        <v>-5</v>
      </c>
      <c r="R358" t="s">
        <v>73</v>
      </c>
      <c r="U358" t="s">
        <v>226</v>
      </c>
      <c r="V358" t="s">
        <v>365</v>
      </c>
      <c r="W358" t="s">
        <v>228</v>
      </c>
      <c r="X358" t="s">
        <v>229</v>
      </c>
      <c r="Y358" t="s">
        <v>93</v>
      </c>
      <c r="AD358" t="s">
        <v>73</v>
      </c>
      <c r="AE358">
        <v>-5</v>
      </c>
      <c r="AF358">
        <v>42425215</v>
      </c>
      <c r="AG358" s="73">
        <v>45371.250277777777</v>
      </c>
      <c r="AH358" t="s">
        <v>226</v>
      </c>
      <c r="AI358" t="s">
        <v>365</v>
      </c>
      <c r="AJ358" t="s">
        <v>228</v>
      </c>
      <c r="AK358" t="s">
        <v>229</v>
      </c>
      <c r="AL358" t="s">
        <v>93</v>
      </c>
      <c r="AP358" t="s">
        <v>230</v>
      </c>
      <c r="AQ358" t="s">
        <v>231</v>
      </c>
      <c r="AT358" t="s">
        <v>232</v>
      </c>
      <c r="AU358">
        <v>-99</v>
      </c>
      <c r="AV358" t="s">
        <v>73</v>
      </c>
      <c r="AW358">
        <v>-5</v>
      </c>
      <c r="AX358">
        <v>42425215</v>
      </c>
      <c r="AY358" s="73">
        <v>45371.250277777777</v>
      </c>
      <c r="AZ358" t="s">
        <v>226</v>
      </c>
      <c r="BA358" t="s">
        <v>365</v>
      </c>
      <c r="BB358" t="s">
        <v>228</v>
      </c>
      <c r="BC358" t="s">
        <v>229</v>
      </c>
      <c r="BD358" t="s">
        <v>93</v>
      </c>
      <c r="BI358" t="s">
        <v>233</v>
      </c>
      <c r="BJ358" t="s">
        <v>0</v>
      </c>
      <c r="BK358">
        <v>42425204</v>
      </c>
      <c r="BN358" t="s">
        <v>73</v>
      </c>
      <c r="BR358">
        <v>-5</v>
      </c>
      <c r="BS358">
        <v>42425215</v>
      </c>
      <c r="BT358" s="73">
        <v>45371.250277777777</v>
      </c>
      <c r="BU358" t="s">
        <v>226</v>
      </c>
      <c r="BV358" t="s">
        <v>365</v>
      </c>
      <c r="BW358" t="s">
        <v>228</v>
      </c>
      <c r="CH358" t="s">
        <v>229</v>
      </c>
      <c r="CI358" t="s">
        <v>93</v>
      </c>
      <c r="CJ358" t="s">
        <v>226</v>
      </c>
      <c r="CK358" t="s">
        <v>365</v>
      </c>
      <c r="CL358" t="s">
        <v>228</v>
      </c>
      <c r="CM358" t="s">
        <v>234</v>
      </c>
      <c r="CN358" t="s">
        <v>73</v>
      </c>
      <c r="CO358">
        <v>-5</v>
      </c>
      <c r="CP358">
        <v>42425215</v>
      </c>
      <c r="CQ358" s="73">
        <v>45371.250277777777</v>
      </c>
      <c r="CR358" t="s">
        <v>229</v>
      </c>
      <c r="CS358" t="s">
        <v>93</v>
      </c>
      <c r="CU358" t="s">
        <v>225</v>
      </c>
    </row>
    <row r="359" spans="1:99">
      <c r="A359" t="s">
        <v>108</v>
      </c>
      <c r="B359" t="s">
        <v>98</v>
      </c>
      <c r="J359" t="s">
        <v>225</v>
      </c>
      <c r="K359" t="s">
        <v>225</v>
      </c>
      <c r="M359" s="73">
        <v>45371.250277777777</v>
      </c>
      <c r="N359">
        <v>42425214</v>
      </c>
      <c r="O359">
        <v>100</v>
      </c>
      <c r="P359" t="s">
        <v>104</v>
      </c>
      <c r="Q359">
        <v>100</v>
      </c>
      <c r="R359" t="s">
        <v>104</v>
      </c>
      <c r="S359">
        <v>5</v>
      </c>
      <c r="T359" t="s">
        <v>73</v>
      </c>
      <c r="U359" t="s">
        <v>226</v>
      </c>
      <c r="V359" t="s">
        <v>365</v>
      </c>
      <c r="W359" t="s">
        <v>235</v>
      </c>
      <c r="X359" t="s">
        <v>229</v>
      </c>
      <c r="Y359" t="s">
        <v>108</v>
      </c>
      <c r="AD359" t="s">
        <v>104</v>
      </c>
      <c r="AE359">
        <v>100</v>
      </c>
      <c r="AF359">
        <v>42425214</v>
      </c>
      <c r="AG359" s="73">
        <v>45371.250277777777</v>
      </c>
      <c r="AH359" t="s">
        <v>226</v>
      </c>
      <c r="AI359" t="s">
        <v>365</v>
      </c>
      <c r="AJ359" t="s">
        <v>235</v>
      </c>
      <c r="AK359" t="s">
        <v>229</v>
      </c>
      <c r="AL359" t="s">
        <v>108</v>
      </c>
      <c r="AP359" t="s">
        <v>230</v>
      </c>
      <c r="AQ359" t="s">
        <v>231</v>
      </c>
      <c r="AT359" t="s">
        <v>232</v>
      </c>
      <c r="AU359">
        <v>-99</v>
      </c>
      <c r="AV359" t="s">
        <v>104</v>
      </c>
      <c r="AW359">
        <v>100</v>
      </c>
      <c r="AX359">
        <v>42425214</v>
      </c>
      <c r="AY359" s="73">
        <v>45371.250277777777</v>
      </c>
      <c r="AZ359" t="s">
        <v>226</v>
      </c>
      <c r="BA359" t="s">
        <v>365</v>
      </c>
      <c r="BB359" t="s">
        <v>235</v>
      </c>
      <c r="BC359" t="s">
        <v>229</v>
      </c>
      <c r="BD359" t="s">
        <v>108</v>
      </c>
      <c r="BI359" t="s">
        <v>233</v>
      </c>
      <c r="BJ359" t="s">
        <v>0</v>
      </c>
      <c r="BK359">
        <v>42425204</v>
      </c>
      <c r="BN359" t="s">
        <v>104</v>
      </c>
      <c r="BO359">
        <v>42425210</v>
      </c>
      <c r="BR359">
        <v>100</v>
      </c>
      <c r="BS359">
        <v>42425214</v>
      </c>
      <c r="BT359" s="73">
        <v>45371.250277777777</v>
      </c>
      <c r="BU359" t="s">
        <v>226</v>
      </c>
      <c r="BV359" t="s">
        <v>365</v>
      </c>
      <c r="BW359" t="s">
        <v>235</v>
      </c>
      <c r="CH359" t="s">
        <v>229</v>
      </c>
      <c r="CI359" t="s">
        <v>108</v>
      </c>
      <c r="CJ359" t="s">
        <v>226</v>
      </c>
      <c r="CK359" t="s">
        <v>365</v>
      </c>
      <c r="CL359" t="s">
        <v>235</v>
      </c>
      <c r="CM359" t="s">
        <v>236</v>
      </c>
      <c r="CN359" t="s">
        <v>104</v>
      </c>
      <c r="CO359">
        <v>100</v>
      </c>
      <c r="CP359">
        <v>42425214</v>
      </c>
      <c r="CQ359" s="73">
        <v>45371.250277777777</v>
      </c>
      <c r="CR359" t="s">
        <v>229</v>
      </c>
      <c r="CS359" t="s">
        <v>108</v>
      </c>
      <c r="CU359" t="s">
        <v>225</v>
      </c>
    </row>
    <row r="360" spans="1:99">
      <c r="A360" t="s">
        <v>52</v>
      </c>
      <c r="B360" t="s">
        <v>92</v>
      </c>
      <c r="J360" t="s">
        <v>225</v>
      </c>
      <c r="K360" t="s">
        <v>225</v>
      </c>
      <c r="M360" s="73">
        <v>45371.247407407405</v>
      </c>
      <c r="N360">
        <v>42425202</v>
      </c>
      <c r="O360">
        <v>-3361</v>
      </c>
      <c r="P360" t="s">
        <v>45</v>
      </c>
      <c r="Q360">
        <v>-3361</v>
      </c>
      <c r="R360" t="s">
        <v>45</v>
      </c>
      <c r="U360" t="s">
        <v>226</v>
      </c>
      <c r="V360" t="s">
        <v>366</v>
      </c>
      <c r="W360" t="s">
        <v>228</v>
      </c>
      <c r="X360" t="s">
        <v>229</v>
      </c>
      <c r="Y360" t="s">
        <v>52</v>
      </c>
      <c r="AD360" t="s">
        <v>45</v>
      </c>
      <c r="AE360">
        <v>-3361</v>
      </c>
      <c r="AF360">
        <v>42425202</v>
      </c>
      <c r="AG360" s="73">
        <v>45371.247407407405</v>
      </c>
      <c r="AH360" t="s">
        <v>226</v>
      </c>
      <c r="AI360" t="s">
        <v>366</v>
      </c>
      <c r="AJ360" t="s">
        <v>228</v>
      </c>
      <c r="AK360" t="s">
        <v>229</v>
      </c>
      <c r="AL360" t="s">
        <v>52</v>
      </c>
      <c r="AP360" t="s">
        <v>230</v>
      </c>
      <c r="AQ360" t="s">
        <v>231</v>
      </c>
      <c r="AT360" t="s">
        <v>232</v>
      </c>
      <c r="AU360">
        <v>-99</v>
      </c>
      <c r="AV360" t="s">
        <v>45</v>
      </c>
      <c r="AW360">
        <v>-3361</v>
      </c>
      <c r="AX360">
        <v>42425202</v>
      </c>
      <c r="AY360" s="73">
        <v>45371.247407407405</v>
      </c>
      <c r="AZ360" t="s">
        <v>226</v>
      </c>
      <c r="BA360" t="s">
        <v>366</v>
      </c>
      <c r="BB360" t="s">
        <v>228</v>
      </c>
      <c r="BC360" t="s">
        <v>229</v>
      </c>
      <c r="BD360" t="s">
        <v>52</v>
      </c>
      <c r="BI360" t="s">
        <v>233</v>
      </c>
      <c r="BJ360" t="s">
        <v>0</v>
      </c>
      <c r="BK360">
        <v>42425185</v>
      </c>
      <c r="BN360" t="s">
        <v>45</v>
      </c>
      <c r="BR360">
        <v>-3361</v>
      </c>
      <c r="BS360">
        <v>42425202</v>
      </c>
      <c r="BT360" s="73">
        <v>45371.247407407405</v>
      </c>
      <c r="BU360" t="s">
        <v>226</v>
      </c>
      <c r="BV360" t="s">
        <v>366</v>
      </c>
      <c r="BW360" t="s">
        <v>228</v>
      </c>
      <c r="CH360" t="s">
        <v>229</v>
      </c>
      <c r="CI360" t="s">
        <v>52</v>
      </c>
      <c r="CJ360" t="s">
        <v>226</v>
      </c>
      <c r="CK360" t="s">
        <v>366</v>
      </c>
      <c r="CL360" t="s">
        <v>228</v>
      </c>
      <c r="CM360" t="s">
        <v>234</v>
      </c>
      <c r="CN360" t="s">
        <v>45</v>
      </c>
      <c r="CO360">
        <v>-3361</v>
      </c>
      <c r="CP360">
        <v>42425202</v>
      </c>
      <c r="CQ360" s="73">
        <v>45371.247407407405</v>
      </c>
      <c r="CR360" t="s">
        <v>229</v>
      </c>
      <c r="CS360" t="s">
        <v>52</v>
      </c>
      <c r="CU360" t="s">
        <v>225</v>
      </c>
    </row>
    <row r="361" spans="1:99">
      <c r="A361" t="s">
        <v>101</v>
      </c>
      <c r="B361" t="s">
        <v>98</v>
      </c>
      <c r="J361" t="s">
        <v>225</v>
      </c>
      <c r="K361" t="s">
        <v>225</v>
      </c>
      <c r="M361" s="73">
        <v>45371.247407407405</v>
      </c>
      <c r="N361">
        <v>42425201</v>
      </c>
      <c r="O361">
        <v>-168</v>
      </c>
      <c r="P361" t="s">
        <v>73</v>
      </c>
      <c r="Q361">
        <v>-168</v>
      </c>
      <c r="R361" t="s">
        <v>73</v>
      </c>
      <c r="U361" t="s">
        <v>226</v>
      </c>
      <c r="V361" t="s">
        <v>366</v>
      </c>
      <c r="W361" t="s">
        <v>228</v>
      </c>
      <c r="X361" t="s">
        <v>229</v>
      </c>
      <c r="Y361" t="s">
        <v>101</v>
      </c>
      <c r="AD361" t="s">
        <v>73</v>
      </c>
      <c r="AE361">
        <v>-168</v>
      </c>
      <c r="AF361">
        <v>42425201</v>
      </c>
      <c r="AG361" s="73">
        <v>45371.247407407405</v>
      </c>
      <c r="AH361" t="s">
        <v>226</v>
      </c>
      <c r="AI361" t="s">
        <v>366</v>
      </c>
      <c r="AJ361" t="s">
        <v>228</v>
      </c>
      <c r="AK361" t="s">
        <v>229</v>
      </c>
      <c r="AL361" t="s">
        <v>101</v>
      </c>
      <c r="AP361" t="s">
        <v>230</v>
      </c>
      <c r="AQ361" t="s">
        <v>231</v>
      </c>
      <c r="AT361" t="s">
        <v>232</v>
      </c>
      <c r="AU361">
        <v>-99</v>
      </c>
      <c r="AV361" t="s">
        <v>73</v>
      </c>
      <c r="AW361">
        <v>-168</v>
      </c>
      <c r="AX361">
        <v>42425201</v>
      </c>
      <c r="AY361" s="73">
        <v>45371.247407407405</v>
      </c>
      <c r="AZ361" t="s">
        <v>226</v>
      </c>
      <c r="BA361" t="s">
        <v>366</v>
      </c>
      <c r="BB361" t="s">
        <v>228</v>
      </c>
      <c r="BC361" t="s">
        <v>229</v>
      </c>
      <c r="BD361" t="s">
        <v>101</v>
      </c>
      <c r="BI361" t="s">
        <v>233</v>
      </c>
      <c r="BJ361" t="s">
        <v>0</v>
      </c>
      <c r="BK361">
        <v>42425185</v>
      </c>
      <c r="BN361" t="s">
        <v>73</v>
      </c>
      <c r="BR361">
        <v>-168</v>
      </c>
      <c r="BS361">
        <v>42425201</v>
      </c>
      <c r="BT361" s="73">
        <v>45371.247407407405</v>
      </c>
      <c r="BU361" t="s">
        <v>226</v>
      </c>
      <c r="BV361" t="s">
        <v>366</v>
      </c>
      <c r="BW361" t="s">
        <v>228</v>
      </c>
      <c r="CH361" t="s">
        <v>229</v>
      </c>
      <c r="CI361" t="s">
        <v>101</v>
      </c>
      <c r="CJ361" t="s">
        <v>226</v>
      </c>
      <c r="CK361" t="s">
        <v>366</v>
      </c>
      <c r="CL361" t="s">
        <v>228</v>
      </c>
      <c r="CM361" t="s">
        <v>234</v>
      </c>
      <c r="CN361" t="s">
        <v>73</v>
      </c>
      <c r="CO361">
        <v>-168</v>
      </c>
      <c r="CP361">
        <v>42425201</v>
      </c>
      <c r="CQ361" s="73">
        <v>45371.247407407405</v>
      </c>
      <c r="CR361" t="s">
        <v>229</v>
      </c>
      <c r="CS361" t="s">
        <v>101</v>
      </c>
      <c r="CU361" t="s">
        <v>225</v>
      </c>
    </row>
    <row r="362" spans="1:99">
      <c r="A362" t="s">
        <v>107</v>
      </c>
      <c r="B362" t="s">
        <v>98</v>
      </c>
      <c r="J362" t="s">
        <v>225</v>
      </c>
      <c r="K362" t="s">
        <v>225</v>
      </c>
      <c r="M362" s="73">
        <v>45371.247407407405</v>
      </c>
      <c r="N362">
        <v>42425200</v>
      </c>
      <c r="O362">
        <v>3360</v>
      </c>
      <c r="P362" t="s">
        <v>104</v>
      </c>
      <c r="Q362">
        <v>3360</v>
      </c>
      <c r="R362" t="s">
        <v>104</v>
      </c>
      <c r="S362">
        <v>168</v>
      </c>
      <c r="T362" t="s">
        <v>73</v>
      </c>
      <c r="U362" t="s">
        <v>226</v>
      </c>
      <c r="V362" t="s">
        <v>366</v>
      </c>
      <c r="W362" t="s">
        <v>235</v>
      </c>
      <c r="X362" t="s">
        <v>229</v>
      </c>
      <c r="Y362" t="s">
        <v>107</v>
      </c>
      <c r="AD362" t="s">
        <v>104</v>
      </c>
      <c r="AE362">
        <v>3360</v>
      </c>
      <c r="AF362">
        <v>42425200</v>
      </c>
      <c r="AG362" s="73">
        <v>45371.247407407405</v>
      </c>
      <c r="AH362" t="s">
        <v>226</v>
      </c>
      <c r="AI362" t="s">
        <v>366</v>
      </c>
      <c r="AJ362" t="s">
        <v>235</v>
      </c>
      <c r="AK362" t="s">
        <v>229</v>
      </c>
      <c r="AL362" t="s">
        <v>107</v>
      </c>
      <c r="AP362" t="s">
        <v>230</v>
      </c>
      <c r="AQ362" t="s">
        <v>231</v>
      </c>
      <c r="AT362" t="s">
        <v>232</v>
      </c>
      <c r="AU362">
        <v>-99</v>
      </c>
      <c r="AV362" t="s">
        <v>104</v>
      </c>
      <c r="AW362">
        <v>3360</v>
      </c>
      <c r="AX362">
        <v>42425200</v>
      </c>
      <c r="AY362" s="73">
        <v>45371.247407407405</v>
      </c>
      <c r="AZ362" t="s">
        <v>226</v>
      </c>
      <c r="BA362" t="s">
        <v>366</v>
      </c>
      <c r="BB362" t="s">
        <v>235</v>
      </c>
      <c r="BC362" t="s">
        <v>229</v>
      </c>
      <c r="BD362" t="s">
        <v>107</v>
      </c>
      <c r="BI362" t="s">
        <v>233</v>
      </c>
      <c r="BJ362" t="s">
        <v>0</v>
      </c>
      <c r="BK362">
        <v>42425185</v>
      </c>
      <c r="BN362" t="s">
        <v>104</v>
      </c>
      <c r="BO362">
        <v>42425192</v>
      </c>
      <c r="BR362">
        <v>3360</v>
      </c>
      <c r="BS362">
        <v>42425200</v>
      </c>
      <c r="BT362" s="73">
        <v>45371.247407407405</v>
      </c>
      <c r="BU362" t="s">
        <v>226</v>
      </c>
      <c r="BV362" t="s">
        <v>366</v>
      </c>
      <c r="BW362" t="s">
        <v>235</v>
      </c>
      <c r="CH362" t="s">
        <v>229</v>
      </c>
      <c r="CI362" t="s">
        <v>107</v>
      </c>
      <c r="CJ362" t="s">
        <v>226</v>
      </c>
      <c r="CK362" t="s">
        <v>366</v>
      </c>
      <c r="CL362" t="s">
        <v>235</v>
      </c>
      <c r="CM362" t="s">
        <v>236</v>
      </c>
      <c r="CN362" t="s">
        <v>104</v>
      </c>
      <c r="CO362">
        <v>3360</v>
      </c>
      <c r="CP362">
        <v>42425200</v>
      </c>
      <c r="CQ362" s="73">
        <v>45371.247407407405</v>
      </c>
      <c r="CR362" t="s">
        <v>229</v>
      </c>
      <c r="CS362" t="s">
        <v>107</v>
      </c>
      <c r="CU362" t="s">
        <v>225</v>
      </c>
    </row>
    <row r="363" spans="1:99">
      <c r="A363" t="s">
        <v>111</v>
      </c>
      <c r="B363" t="s">
        <v>77</v>
      </c>
      <c r="J363" t="s">
        <v>225</v>
      </c>
      <c r="K363" t="s">
        <v>225</v>
      </c>
      <c r="M363" s="73">
        <v>45371.247407407405</v>
      </c>
      <c r="N363">
        <v>42425199</v>
      </c>
      <c r="O363">
        <v>1</v>
      </c>
      <c r="P363" t="s">
        <v>45</v>
      </c>
      <c r="Q363">
        <v>1</v>
      </c>
      <c r="R363" t="s">
        <v>45</v>
      </c>
      <c r="U363" t="s">
        <v>226</v>
      </c>
      <c r="V363" t="s">
        <v>366</v>
      </c>
      <c r="W363" t="s">
        <v>237</v>
      </c>
      <c r="X363" t="s">
        <v>229</v>
      </c>
      <c r="Y363" t="s">
        <v>111</v>
      </c>
      <c r="AD363" t="s">
        <v>45</v>
      </c>
      <c r="AE363">
        <v>1</v>
      </c>
      <c r="AF363">
        <v>42425199</v>
      </c>
      <c r="AG363" s="73">
        <v>45371.247407407405</v>
      </c>
      <c r="AH363" t="s">
        <v>226</v>
      </c>
      <c r="AI363" t="s">
        <v>366</v>
      </c>
      <c r="AJ363" t="s">
        <v>237</v>
      </c>
      <c r="AK363" t="s">
        <v>229</v>
      </c>
      <c r="AL363" t="s">
        <v>111</v>
      </c>
      <c r="AP363" t="s">
        <v>230</v>
      </c>
      <c r="AQ363" t="s">
        <v>231</v>
      </c>
      <c r="AT363" t="s">
        <v>232</v>
      </c>
      <c r="AU363">
        <v>-99</v>
      </c>
      <c r="AV363" t="s">
        <v>45</v>
      </c>
      <c r="AW363">
        <v>1</v>
      </c>
      <c r="AX363">
        <v>42425199</v>
      </c>
      <c r="AY363" s="73">
        <v>45371.247407407405</v>
      </c>
      <c r="AZ363" t="s">
        <v>226</v>
      </c>
      <c r="BA363" t="s">
        <v>366</v>
      </c>
      <c r="BB363" t="s">
        <v>237</v>
      </c>
      <c r="BC363" t="s">
        <v>229</v>
      </c>
      <c r="BD363" t="s">
        <v>111</v>
      </c>
      <c r="BI363" t="s">
        <v>233</v>
      </c>
      <c r="BJ363" t="s">
        <v>0</v>
      </c>
      <c r="BK363">
        <v>42425185</v>
      </c>
      <c r="BN363" t="s">
        <v>45</v>
      </c>
      <c r="BO363">
        <v>42425194</v>
      </c>
      <c r="BR363">
        <v>1</v>
      </c>
      <c r="BS363">
        <v>42425199</v>
      </c>
      <c r="BT363" s="73">
        <v>45371.247407407405</v>
      </c>
      <c r="BU363" t="s">
        <v>226</v>
      </c>
      <c r="BV363" t="s">
        <v>366</v>
      </c>
      <c r="BW363" t="s">
        <v>237</v>
      </c>
      <c r="CH363" t="s">
        <v>229</v>
      </c>
      <c r="CI363" t="s">
        <v>111</v>
      </c>
      <c r="CJ363" t="s">
        <v>226</v>
      </c>
      <c r="CK363" t="s">
        <v>366</v>
      </c>
      <c r="CL363" t="s">
        <v>237</v>
      </c>
      <c r="CM363" t="s">
        <v>236</v>
      </c>
      <c r="CN363" t="s">
        <v>45</v>
      </c>
      <c r="CO363">
        <v>1</v>
      </c>
      <c r="CP363">
        <v>42425199</v>
      </c>
      <c r="CQ363" s="73">
        <v>45371.247407407405</v>
      </c>
      <c r="CR363" t="s">
        <v>229</v>
      </c>
      <c r="CS363" t="s">
        <v>111</v>
      </c>
      <c r="CU363" t="s">
        <v>225</v>
      </c>
    </row>
    <row r="364" spans="1:99">
      <c r="A364" t="s">
        <v>42</v>
      </c>
      <c r="B364" t="s">
        <v>92</v>
      </c>
      <c r="J364" t="s">
        <v>225</v>
      </c>
      <c r="K364" t="s">
        <v>225</v>
      </c>
      <c r="M364" s="73">
        <v>45370.953472222223</v>
      </c>
      <c r="N364">
        <v>42425700</v>
      </c>
      <c r="O364">
        <v>-8508</v>
      </c>
      <c r="P364" t="s">
        <v>45</v>
      </c>
      <c r="Q364">
        <v>-8508</v>
      </c>
      <c r="R364" t="s">
        <v>45</v>
      </c>
      <c r="U364" t="s">
        <v>226</v>
      </c>
      <c r="V364" t="s">
        <v>367</v>
      </c>
      <c r="W364" t="s">
        <v>228</v>
      </c>
      <c r="X364" t="s">
        <v>229</v>
      </c>
      <c r="Y364" t="s">
        <v>42</v>
      </c>
      <c r="AD364" t="s">
        <v>45</v>
      </c>
      <c r="AE364">
        <v>-8508</v>
      </c>
      <c r="AF364">
        <v>42425700</v>
      </c>
      <c r="AG364" s="73">
        <v>45370.953472222223</v>
      </c>
      <c r="AH364" t="s">
        <v>226</v>
      </c>
      <c r="AI364" t="s">
        <v>367</v>
      </c>
      <c r="AJ364" t="s">
        <v>228</v>
      </c>
      <c r="AK364" t="s">
        <v>229</v>
      </c>
      <c r="AL364" t="s">
        <v>42</v>
      </c>
      <c r="AP364" t="s">
        <v>230</v>
      </c>
      <c r="AQ364" t="s">
        <v>231</v>
      </c>
      <c r="AT364" t="s">
        <v>232</v>
      </c>
      <c r="AU364">
        <v>-99</v>
      </c>
      <c r="AV364" t="s">
        <v>45</v>
      </c>
      <c r="AW364">
        <v>-8508</v>
      </c>
      <c r="AX364">
        <v>42425700</v>
      </c>
      <c r="AY364" s="73">
        <v>45370.953472222223</v>
      </c>
      <c r="AZ364" t="s">
        <v>226</v>
      </c>
      <c r="BA364" t="s">
        <v>367</v>
      </c>
      <c r="BB364" t="s">
        <v>228</v>
      </c>
      <c r="BC364" t="s">
        <v>229</v>
      </c>
      <c r="BD364" t="s">
        <v>42</v>
      </c>
      <c r="BI364" t="s">
        <v>233</v>
      </c>
      <c r="BJ364" t="s">
        <v>0</v>
      </c>
      <c r="BK364">
        <v>42425684</v>
      </c>
      <c r="BN364" t="s">
        <v>45</v>
      </c>
      <c r="BR364">
        <v>-8508</v>
      </c>
      <c r="BS364">
        <v>42425700</v>
      </c>
      <c r="BT364" s="73">
        <v>45370.953472222223</v>
      </c>
      <c r="BU364" t="s">
        <v>226</v>
      </c>
      <c r="BV364" t="s">
        <v>367</v>
      </c>
      <c r="BW364" t="s">
        <v>228</v>
      </c>
      <c r="CH364" t="s">
        <v>229</v>
      </c>
      <c r="CI364" t="s">
        <v>42</v>
      </c>
      <c r="CJ364" t="s">
        <v>226</v>
      </c>
      <c r="CK364" t="s">
        <v>367</v>
      </c>
      <c r="CL364" t="s">
        <v>228</v>
      </c>
      <c r="CM364" t="s">
        <v>234</v>
      </c>
      <c r="CN364" t="s">
        <v>45</v>
      </c>
      <c r="CO364">
        <v>-8508</v>
      </c>
      <c r="CP364">
        <v>42425700</v>
      </c>
      <c r="CQ364" s="73">
        <v>45370.953472222223</v>
      </c>
      <c r="CR364" t="s">
        <v>229</v>
      </c>
      <c r="CS364" t="s">
        <v>42</v>
      </c>
      <c r="CU364" t="s">
        <v>225</v>
      </c>
    </row>
    <row r="365" spans="1:99">
      <c r="A365" t="s">
        <v>99</v>
      </c>
      <c r="B365" t="s">
        <v>98</v>
      </c>
      <c r="J365" t="s">
        <v>225</v>
      </c>
      <c r="K365" t="s">
        <v>225</v>
      </c>
      <c r="M365" s="73">
        <v>45370.953472222223</v>
      </c>
      <c r="N365">
        <v>42425699</v>
      </c>
      <c r="O365">
        <v>-425</v>
      </c>
      <c r="P365" t="s">
        <v>73</v>
      </c>
      <c r="Q365">
        <v>-425</v>
      </c>
      <c r="R365" t="s">
        <v>73</v>
      </c>
      <c r="U365" t="s">
        <v>226</v>
      </c>
      <c r="V365" t="s">
        <v>367</v>
      </c>
      <c r="W365" t="s">
        <v>228</v>
      </c>
      <c r="X365" t="s">
        <v>229</v>
      </c>
      <c r="Y365" t="s">
        <v>99</v>
      </c>
      <c r="AD365" t="s">
        <v>73</v>
      </c>
      <c r="AE365">
        <v>-425</v>
      </c>
      <c r="AF365">
        <v>42425699</v>
      </c>
      <c r="AG365" s="73">
        <v>45370.953472222223</v>
      </c>
      <c r="AH365" t="s">
        <v>226</v>
      </c>
      <c r="AI365" t="s">
        <v>367</v>
      </c>
      <c r="AJ365" t="s">
        <v>228</v>
      </c>
      <c r="AK365" t="s">
        <v>229</v>
      </c>
      <c r="AL365" t="s">
        <v>99</v>
      </c>
      <c r="AP365" t="s">
        <v>230</v>
      </c>
      <c r="AQ365" t="s">
        <v>231</v>
      </c>
      <c r="AT365" t="s">
        <v>232</v>
      </c>
      <c r="AU365">
        <v>-99</v>
      </c>
      <c r="AV365" t="s">
        <v>73</v>
      </c>
      <c r="AW365">
        <v>-425</v>
      </c>
      <c r="AX365">
        <v>42425699</v>
      </c>
      <c r="AY365" s="73">
        <v>45370.953472222223</v>
      </c>
      <c r="AZ365" t="s">
        <v>226</v>
      </c>
      <c r="BA365" t="s">
        <v>367</v>
      </c>
      <c r="BB365" t="s">
        <v>228</v>
      </c>
      <c r="BC365" t="s">
        <v>229</v>
      </c>
      <c r="BD365" t="s">
        <v>99</v>
      </c>
      <c r="BI365" t="s">
        <v>233</v>
      </c>
      <c r="BJ365" t="s">
        <v>0</v>
      </c>
      <c r="BK365">
        <v>42425684</v>
      </c>
      <c r="BN365" t="s">
        <v>73</v>
      </c>
      <c r="BR365">
        <v>-425</v>
      </c>
      <c r="BS365">
        <v>42425699</v>
      </c>
      <c r="BT365" s="73">
        <v>45370.953472222223</v>
      </c>
      <c r="BU365" t="s">
        <v>226</v>
      </c>
      <c r="BV365" t="s">
        <v>367</v>
      </c>
      <c r="BW365" t="s">
        <v>228</v>
      </c>
      <c r="CH365" t="s">
        <v>229</v>
      </c>
      <c r="CI365" t="s">
        <v>99</v>
      </c>
      <c r="CJ365" t="s">
        <v>226</v>
      </c>
      <c r="CK365" t="s">
        <v>367</v>
      </c>
      <c r="CL365" t="s">
        <v>228</v>
      </c>
      <c r="CM365" t="s">
        <v>234</v>
      </c>
      <c r="CN365" t="s">
        <v>73</v>
      </c>
      <c r="CO365">
        <v>-425</v>
      </c>
      <c r="CP365">
        <v>42425699</v>
      </c>
      <c r="CQ365" s="73">
        <v>45370.953472222223</v>
      </c>
      <c r="CR365" t="s">
        <v>229</v>
      </c>
      <c r="CS365" t="s">
        <v>99</v>
      </c>
      <c r="CU365" t="s">
        <v>225</v>
      </c>
    </row>
    <row r="366" spans="1:99">
      <c r="A366" t="s">
        <v>103</v>
      </c>
      <c r="B366" t="s">
        <v>98</v>
      </c>
      <c r="J366" t="s">
        <v>225</v>
      </c>
      <c r="K366" t="s">
        <v>225</v>
      </c>
      <c r="M366" s="73">
        <v>45370.953472222223</v>
      </c>
      <c r="N366">
        <v>42425698</v>
      </c>
      <c r="O366">
        <v>8500</v>
      </c>
      <c r="P366" t="s">
        <v>104</v>
      </c>
      <c r="Q366">
        <v>8500</v>
      </c>
      <c r="R366" t="s">
        <v>104</v>
      </c>
      <c r="S366">
        <v>425</v>
      </c>
      <c r="T366" t="s">
        <v>73</v>
      </c>
      <c r="U366" t="s">
        <v>226</v>
      </c>
      <c r="V366" t="s">
        <v>367</v>
      </c>
      <c r="W366" t="s">
        <v>235</v>
      </c>
      <c r="X366" t="s">
        <v>229</v>
      </c>
      <c r="Y366" t="s">
        <v>103</v>
      </c>
      <c r="AD366" t="s">
        <v>104</v>
      </c>
      <c r="AE366">
        <v>8500</v>
      </c>
      <c r="AF366">
        <v>42425698</v>
      </c>
      <c r="AG366" s="73">
        <v>45370.953472222223</v>
      </c>
      <c r="AH366" t="s">
        <v>226</v>
      </c>
      <c r="AI366" t="s">
        <v>367</v>
      </c>
      <c r="AJ366" t="s">
        <v>235</v>
      </c>
      <c r="AK366" t="s">
        <v>229</v>
      </c>
      <c r="AL366" t="s">
        <v>103</v>
      </c>
      <c r="AP366" t="s">
        <v>230</v>
      </c>
      <c r="AQ366" t="s">
        <v>231</v>
      </c>
      <c r="AT366" t="s">
        <v>232</v>
      </c>
      <c r="AU366">
        <v>-99</v>
      </c>
      <c r="AV366" t="s">
        <v>104</v>
      </c>
      <c r="AW366">
        <v>8500</v>
      </c>
      <c r="AX366">
        <v>42425698</v>
      </c>
      <c r="AY366" s="73">
        <v>45370.953472222223</v>
      </c>
      <c r="AZ366" t="s">
        <v>226</v>
      </c>
      <c r="BA366" t="s">
        <v>367</v>
      </c>
      <c r="BB366" t="s">
        <v>235</v>
      </c>
      <c r="BC366" t="s">
        <v>229</v>
      </c>
      <c r="BD366" t="s">
        <v>103</v>
      </c>
      <c r="BI366" t="s">
        <v>233</v>
      </c>
      <c r="BJ366" t="s">
        <v>0</v>
      </c>
      <c r="BK366">
        <v>42425684</v>
      </c>
      <c r="BN366" t="s">
        <v>104</v>
      </c>
      <c r="BO366">
        <v>42425690</v>
      </c>
      <c r="BR366">
        <v>8500</v>
      </c>
      <c r="BS366">
        <v>42425698</v>
      </c>
      <c r="BT366" s="73">
        <v>45370.953472222223</v>
      </c>
      <c r="BU366" t="s">
        <v>226</v>
      </c>
      <c r="BV366" t="s">
        <v>367</v>
      </c>
      <c r="BW366" t="s">
        <v>235</v>
      </c>
      <c r="CH366" t="s">
        <v>229</v>
      </c>
      <c r="CI366" t="s">
        <v>103</v>
      </c>
      <c r="CJ366" t="s">
        <v>226</v>
      </c>
      <c r="CK366" t="s">
        <v>367</v>
      </c>
      <c r="CL366" t="s">
        <v>235</v>
      </c>
      <c r="CM366" t="s">
        <v>236</v>
      </c>
      <c r="CN366" t="s">
        <v>104</v>
      </c>
      <c r="CO366">
        <v>8500</v>
      </c>
      <c r="CP366">
        <v>42425698</v>
      </c>
      <c r="CQ366" s="73">
        <v>45370.953472222223</v>
      </c>
      <c r="CR366" t="s">
        <v>229</v>
      </c>
      <c r="CS366" t="s">
        <v>103</v>
      </c>
      <c r="CU366" t="s">
        <v>225</v>
      </c>
    </row>
    <row r="367" spans="1:99">
      <c r="A367" t="s">
        <v>111</v>
      </c>
      <c r="B367" t="s">
        <v>77</v>
      </c>
      <c r="J367" t="s">
        <v>225</v>
      </c>
      <c r="K367" t="s">
        <v>225</v>
      </c>
      <c r="M367" s="73">
        <v>45370.953472222223</v>
      </c>
      <c r="N367">
        <v>42425697</v>
      </c>
      <c r="O367">
        <v>8</v>
      </c>
      <c r="P367" t="s">
        <v>45</v>
      </c>
      <c r="Q367">
        <v>8</v>
      </c>
      <c r="R367" t="s">
        <v>45</v>
      </c>
      <c r="U367" t="s">
        <v>226</v>
      </c>
      <c r="V367" t="s">
        <v>367</v>
      </c>
      <c r="W367" t="s">
        <v>237</v>
      </c>
      <c r="X367" t="s">
        <v>229</v>
      </c>
      <c r="Y367" t="s">
        <v>111</v>
      </c>
      <c r="AD367" t="s">
        <v>45</v>
      </c>
      <c r="AE367">
        <v>8</v>
      </c>
      <c r="AF367">
        <v>42425697</v>
      </c>
      <c r="AG367" s="73">
        <v>45370.953472222223</v>
      </c>
      <c r="AH367" t="s">
        <v>226</v>
      </c>
      <c r="AI367" t="s">
        <v>367</v>
      </c>
      <c r="AJ367" t="s">
        <v>237</v>
      </c>
      <c r="AK367" t="s">
        <v>229</v>
      </c>
      <c r="AL367" t="s">
        <v>111</v>
      </c>
      <c r="AP367" t="s">
        <v>230</v>
      </c>
      <c r="AQ367" t="s">
        <v>231</v>
      </c>
      <c r="AT367" t="s">
        <v>232</v>
      </c>
      <c r="AU367">
        <v>-99</v>
      </c>
      <c r="AV367" t="s">
        <v>45</v>
      </c>
      <c r="AW367">
        <v>8</v>
      </c>
      <c r="AX367">
        <v>42425697</v>
      </c>
      <c r="AY367" s="73">
        <v>45370.953472222223</v>
      </c>
      <c r="AZ367" t="s">
        <v>226</v>
      </c>
      <c r="BA367" t="s">
        <v>367</v>
      </c>
      <c r="BB367" t="s">
        <v>237</v>
      </c>
      <c r="BC367" t="s">
        <v>229</v>
      </c>
      <c r="BD367" t="s">
        <v>111</v>
      </c>
      <c r="BI367" t="s">
        <v>233</v>
      </c>
      <c r="BJ367" t="s">
        <v>0</v>
      </c>
      <c r="BK367">
        <v>42425684</v>
      </c>
      <c r="BN367" t="s">
        <v>45</v>
      </c>
      <c r="BO367">
        <v>42425692</v>
      </c>
      <c r="BR367">
        <v>8</v>
      </c>
      <c r="BS367">
        <v>42425697</v>
      </c>
      <c r="BT367" s="73">
        <v>45370.953472222223</v>
      </c>
      <c r="BU367" t="s">
        <v>226</v>
      </c>
      <c r="BV367" t="s">
        <v>367</v>
      </c>
      <c r="BW367" t="s">
        <v>237</v>
      </c>
      <c r="CH367" t="s">
        <v>229</v>
      </c>
      <c r="CI367" t="s">
        <v>111</v>
      </c>
      <c r="CJ367" t="s">
        <v>226</v>
      </c>
      <c r="CK367" t="s">
        <v>367</v>
      </c>
      <c r="CL367" t="s">
        <v>237</v>
      </c>
      <c r="CM367" t="s">
        <v>236</v>
      </c>
      <c r="CN367" t="s">
        <v>45</v>
      </c>
      <c r="CO367">
        <v>8</v>
      </c>
      <c r="CP367">
        <v>42425697</v>
      </c>
      <c r="CQ367" s="73">
        <v>45370.953472222223</v>
      </c>
      <c r="CR367" t="s">
        <v>229</v>
      </c>
      <c r="CS367" t="s">
        <v>111</v>
      </c>
      <c r="CU367" t="s">
        <v>225</v>
      </c>
    </row>
    <row r="368" spans="1:99">
      <c r="A368" t="s">
        <v>42</v>
      </c>
      <c r="B368" t="s">
        <v>92</v>
      </c>
      <c r="J368" t="s">
        <v>225</v>
      </c>
      <c r="K368" t="s">
        <v>225</v>
      </c>
      <c r="M368" s="73">
        <v>45370.951388888891</v>
      </c>
      <c r="N368">
        <v>42425680</v>
      </c>
      <c r="O368">
        <v>-4740</v>
      </c>
      <c r="P368" t="s">
        <v>45</v>
      </c>
      <c r="Q368">
        <v>-4740</v>
      </c>
      <c r="R368" t="s">
        <v>45</v>
      </c>
      <c r="U368" t="s">
        <v>226</v>
      </c>
      <c r="V368" t="s">
        <v>368</v>
      </c>
      <c r="W368" t="s">
        <v>228</v>
      </c>
      <c r="X368" t="s">
        <v>229</v>
      </c>
      <c r="Y368" t="s">
        <v>42</v>
      </c>
      <c r="AD368" t="s">
        <v>45</v>
      </c>
      <c r="AE368">
        <v>-4740</v>
      </c>
      <c r="AF368">
        <v>42425680</v>
      </c>
      <c r="AG368" s="73">
        <v>45370.951388888891</v>
      </c>
      <c r="AH368" t="s">
        <v>226</v>
      </c>
      <c r="AI368" t="s">
        <v>368</v>
      </c>
      <c r="AJ368" t="s">
        <v>228</v>
      </c>
      <c r="AK368" t="s">
        <v>229</v>
      </c>
      <c r="AL368" t="s">
        <v>42</v>
      </c>
      <c r="AP368" t="s">
        <v>230</v>
      </c>
      <c r="AQ368" t="s">
        <v>231</v>
      </c>
      <c r="AT368" t="s">
        <v>232</v>
      </c>
      <c r="AU368">
        <v>-99</v>
      </c>
      <c r="AV368" t="s">
        <v>45</v>
      </c>
      <c r="AW368">
        <v>-4740</v>
      </c>
      <c r="AX368">
        <v>42425680</v>
      </c>
      <c r="AY368" s="73">
        <v>45370.951388888891</v>
      </c>
      <c r="AZ368" t="s">
        <v>226</v>
      </c>
      <c r="BA368" t="s">
        <v>368</v>
      </c>
      <c r="BB368" t="s">
        <v>228</v>
      </c>
      <c r="BC368" t="s">
        <v>229</v>
      </c>
      <c r="BD368" t="s">
        <v>42</v>
      </c>
      <c r="BI368" t="s">
        <v>233</v>
      </c>
      <c r="BJ368" t="s">
        <v>0</v>
      </c>
      <c r="BK368">
        <v>42425668</v>
      </c>
      <c r="BN368" t="s">
        <v>45</v>
      </c>
      <c r="BR368">
        <v>-4740</v>
      </c>
      <c r="BS368">
        <v>42425680</v>
      </c>
      <c r="BT368" s="73">
        <v>45370.951388888891</v>
      </c>
      <c r="BU368" t="s">
        <v>226</v>
      </c>
      <c r="BV368" t="s">
        <v>368</v>
      </c>
      <c r="BW368" t="s">
        <v>228</v>
      </c>
      <c r="CH368" t="s">
        <v>229</v>
      </c>
      <c r="CI368" t="s">
        <v>42</v>
      </c>
      <c r="CJ368" t="s">
        <v>226</v>
      </c>
      <c r="CK368" t="s">
        <v>368</v>
      </c>
      <c r="CL368" t="s">
        <v>228</v>
      </c>
      <c r="CM368" t="s">
        <v>234</v>
      </c>
      <c r="CN368" t="s">
        <v>45</v>
      </c>
      <c r="CO368">
        <v>-4740</v>
      </c>
      <c r="CP368">
        <v>42425680</v>
      </c>
      <c r="CQ368" s="73">
        <v>45370.951388888891</v>
      </c>
      <c r="CR368" t="s">
        <v>229</v>
      </c>
      <c r="CS368" t="s">
        <v>42</v>
      </c>
      <c r="CU368" t="s">
        <v>225</v>
      </c>
    </row>
    <row r="369" spans="1:99">
      <c r="A369" t="s">
        <v>99</v>
      </c>
      <c r="B369" t="s">
        <v>98</v>
      </c>
      <c r="J369" t="s">
        <v>225</v>
      </c>
      <c r="K369" t="s">
        <v>225</v>
      </c>
      <c r="M369" s="73">
        <v>45370.951388888891</v>
      </c>
      <c r="N369">
        <v>42425679</v>
      </c>
      <c r="O369">
        <v>-237</v>
      </c>
      <c r="P369" t="s">
        <v>73</v>
      </c>
      <c r="Q369">
        <v>-237</v>
      </c>
      <c r="R369" t="s">
        <v>73</v>
      </c>
      <c r="U369" t="s">
        <v>226</v>
      </c>
      <c r="V369" t="s">
        <v>368</v>
      </c>
      <c r="W369" t="s">
        <v>228</v>
      </c>
      <c r="X369" t="s">
        <v>229</v>
      </c>
      <c r="Y369" t="s">
        <v>99</v>
      </c>
      <c r="AD369" t="s">
        <v>73</v>
      </c>
      <c r="AE369">
        <v>-237</v>
      </c>
      <c r="AF369">
        <v>42425679</v>
      </c>
      <c r="AG369" s="73">
        <v>45370.951388888891</v>
      </c>
      <c r="AH369" t="s">
        <v>226</v>
      </c>
      <c r="AI369" t="s">
        <v>368</v>
      </c>
      <c r="AJ369" t="s">
        <v>228</v>
      </c>
      <c r="AK369" t="s">
        <v>229</v>
      </c>
      <c r="AL369" t="s">
        <v>99</v>
      </c>
      <c r="AP369" t="s">
        <v>230</v>
      </c>
      <c r="AQ369" t="s">
        <v>231</v>
      </c>
      <c r="AT369" t="s">
        <v>232</v>
      </c>
      <c r="AU369">
        <v>-99</v>
      </c>
      <c r="AV369" t="s">
        <v>73</v>
      </c>
      <c r="AW369">
        <v>-237</v>
      </c>
      <c r="AX369">
        <v>42425679</v>
      </c>
      <c r="AY369" s="73">
        <v>45370.951388888891</v>
      </c>
      <c r="AZ369" t="s">
        <v>226</v>
      </c>
      <c r="BA369" t="s">
        <v>368</v>
      </c>
      <c r="BB369" t="s">
        <v>228</v>
      </c>
      <c r="BC369" t="s">
        <v>229</v>
      </c>
      <c r="BD369" t="s">
        <v>99</v>
      </c>
      <c r="BI369" t="s">
        <v>233</v>
      </c>
      <c r="BJ369" t="s">
        <v>0</v>
      </c>
      <c r="BK369">
        <v>42425668</v>
      </c>
      <c r="BN369" t="s">
        <v>73</v>
      </c>
      <c r="BR369">
        <v>-237</v>
      </c>
      <c r="BS369">
        <v>42425679</v>
      </c>
      <c r="BT369" s="73">
        <v>45370.951388888891</v>
      </c>
      <c r="BU369" t="s">
        <v>226</v>
      </c>
      <c r="BV369" t="s">
        <v>368</v>
      </c>
      <c r="BW369" t="s">
        <v>228</v>
      </c>
      <c r="CH369" t="s">
        <v>229</v>
      </c>
      <c r="CI369" t="s">
        <v>99</v>
      </c>
      <c r="CJ369" t="s">
        <v>226</v>
      </c>
      <c r="CK369" t="s">
        <v>368</v>
      </c>
      <c r="CL369" t="s">
        <v>228</v>
      </c>
      <c r="CM369" t="s">
        <v>234</v>
      </c>
      <c r="CN369" t="s">
        <v>73</v>
      </c>
      <c r="CO369">
        <v>-237</v>
      </c>
      <c r="CP369">
        <v>42425679</v>
      </c>
      <c r="CQ369" s="73">
        <v>45370.951388888891</v>
      </c>
      <c r="CR369" t="s">
        <v>229</v>
      </c>
      <c r="CS369" t="s">
        <v>99</v>
      </c>
      <c r="CU369" t="s">
        <v>225</v>
      </c>
    </row>
    <row r="370" spans="1:99">
      <c r="A370" t="s">
        <v>103</v>
      </c>
      <c r="B370" t="s">
        <v>98</v>
      </c>
      <c r="J370" t="s">
        <v>225</v>
      </c>
      <c r="K370" t="s">
        <v>225</v>
      </c>
      <c r="M370" s="73">
        <v>45370.951388888891</v>
      </c>
      <c r="N370">
        <v>42425678</v>
      </c>
      <c r="O370">
        <v>4740</v>
      </c>
      <c r="P370" t="s">
        <v>104</v>
      </c>
      <c r="Q370">
        <v>4740</v>
      </c>
      <c r="R370" t="s">
        <v>104</v>
      </c>
      <c r="S370">
        <v>237</v>
      </c>
      <c r="T370" t="s">
        <v>73</v>
      </c>
      <c r="U370" t="s">
        <v>226</v>
      </c>
      <c r="V370" t="s">
        <v>368</v>
      </c>
      <c r="W370" t="s">
        <v>235</v>
      </c>
      <c r="X370" t="s">
        <v>229</v>
      </c>
      <c r="Y370" t="s">
        <v>103</v>
      </c>
      <c r="AD370" t="s">
        <v>104</v>
      </c>
      <c r="AE370">
        <v>4740</v>
      </c>
      <c r="AF370">
        <v>42425678</v>
      </c>
      <c r="AG370" s="73">
        <v>45370.951388888891</v>
      </c>
      <c r="AH370" t="s">
        <v>226</v>
      </c>
      <c r="AI370" t="s">
        <v>368</v>
      </c>
      <c r="AJ370" t="s">
        <v>235</v>
      </c>
      <c r="AK370" t="s">
        <v>229</v>
      </c>
      <c r="AL370" t="s">
        <v>103</v>
      </c>
      <c r="AP370" t="s">
        <v>230</v>
      </c>
      <c r="AQ370" t="s">
        <v>231</v>
      </c>
      <c r="AT370" t="s">
        <v>232</v>
      </c>
      <c r="AU370">
        <v>-99</v>
      </c>
      <c r="AV370" t="s">
        <v>104</v>
      </c>
      <c r="AW370">
        <v>4740</v>
      </c>
      <c r="AX370">
        <v>42425678</v>
      </c>
      <c r="AY370" s="73">
        <v>45370.951388888891</v>
      </c>
      <c r="AZ370" t="s">
        <v>226</v>
      </c>
      <c r="BA370" t="s">
        <v>368</v>
      </c>
      <c r="BB370" t="s">
        <v>235</v>
      </c>
      <c r="BC370" t="s">
        <v>229</v>
      </c>
      <c r="BD370" t="s">
        <v>103</v>
      </c>
      <c r="BI370" t="s">
        <v>233</v>
      </c>
      <c r="BJ370" t="s">
        <v>0</v>
      </c>
      <c r="BK370">
        <v>42425668</v>
      </c>
      <c r="BN370" t="s">
        <v>104</v>
      </c>
      <c r="BO370">
        <v>42425674</v>
      </c>
      <c r="BR370">
        <v>4740</v>
      </c>
      <c r="BS370">
        <v>42425678</v>
      </c>
      <c r="BT370" s="73">
        <v>45370.951388888891</v>
      </c>
      <c r="BU370" t="s">
        <v>226</v>
      </c>
      <c r="BV370" t="s">
        <v>368</v>
      </c>
      <c r="BW370" t="s">
        <v>235</v>
      </c>
      <c r="CH370" t="s">
        <v>229</v>
      </c>
      <c r="CI370" t="s">
        <v>103</v>
      </c>
      <c r="CJ370" t="s">
        <v>226</v>
      </c>
      <c r="CK370" t="s">
        <v>368</v>
      </c>
      <c r="CL370" t="s">
        <v>235</v>
      </c>
      <c r="CM370" t="s">
        <v>236</v>
      </c>
      <c r="CN370" t="s">
        <v>104</v>
      </c>
      <c r="CO370">
        <v>4740</v>
      </c>
      <c r="CP370">
        <v>42425678</v>
      </c>
      <c r="CQ370" s="73">
        <v>45370.951388888891</v>
      </c>
      <c r="CR370" t="s">
        <v>229</v>
      </c>
      <c r="CS370" t="s">
        <v>103</v>
      </c>
      <c r="CU370" t="s">
        <v>225</v>
      </c>
    </row>
    <row r="371" spans="1:99">
      <c r="A371" t="s">
        <v>113</v>
      </c>
      <c r="B371" t="s">
        <v>90</v>
      </c>
      <c r="J371" t="s">
        <v>225</v>
      </c>
      <c r="K371" t="s">
        <v>225</v>
      </c>
      <c r="M371" s="73">
        <v>45370.923622685186</v>
      </c>
      <c r="N371">
        <v>42425564</v>
      </c>
      <c r="O371">
        <v>-235</v>
      </c>
      <c r="P371" t="s">
        <v>115</v>
      </c>
      <c r="Q371">
        <v>-235</v>
      </c>
      <c r="R371" t="s">
        <v>115</v>
      </c>
      <c r="U371" t="s">
        <v>226</v>
      </c>
      <c r="V371" t="s">
        <v>369</v>
      </c>
      <c r="W371" t="s">
        <v>228</v>
      </c>
      <c r="X371" t="s">
        <v>229</v>
      </c>
      <c r="Y371" t="s">
        <v>113</v>
      </c>
      <c r="AD371" t="s">
        <v>115</v>
      </c>
      <c r="AE371">
        <v>-235</v>
      </c>
      <c r="AF371">
        <v>42425564</v>
      </c>
      <c r="AG371" s="73">
        <v>45370.923622685186</v>
      </c>
      <c r="AH371" t="s">
        <v>226</v>
      </c>
      <c r="AI371" t="s">
        <v>369</v>
      </c>
      <c r="AJ371" t="s">
        <v>228</v>
      </c>
      <c r="AK371" t="s">
        <v>229</v>
      </c>
      <c r="AL371" t="s">
        <v>113</v>
      </c>
      <c r="AP371" t="s">
        <v>230</v>
      </c>
      <c r="AQ371" t="s">
        <v>231</v>
      </c>
      <c r="AT371" t="s">
        <v>232</v>
      </c>
      <c r="AU371">
        <v>-99</v>
      </c>
      <c r="AV371" t="s">
        <v>115</v>
      </c>
      <c r="AW371">
        <v>-235</v>
      </c>
      <c r="AX371">
        <v>42425564</v>
      </c>
      <c r="AY371" s="73">
        <v>45370.923622685186</v>
      </c>
      <c r="AZ371" t="s">
        <v>226</v>
      </c>
      <c r="BA371" t="s">
        <v>369</v>
      </c>
      <c r="BB371" t="s">
        <v>228</v>
      </c>
      <c r="BC371" t="s">
        <v>229</v>
      </c>
      <c r="BD371" t="s">
        <v>113</v>
      </c>
      <c r="BI371" t="s">
        <v>233</v>
      </c>
      <c r="BJ371" t="s">
        <v>0</v>
      </c>
      <c r="BK371">
        <v>42425536</v>
      </c>
      <c r="BN371" t="s">
        <v>115</v>
      </c>
      <c r="BR371">
        <v>-235</v>
      </c>
      <c r="BS371">
        <v>42425564</v>
      </c>
      <c r="BT371" s="73">
        <v>45370.923622685186</v>
      </c>
      <c r="BU371" t="s">
        <v>226</v>
      </c>
      <c r="BV371" t="s">
        <v>369</v>
      </c>
      <c r="BW371" t="s">
        <v>228</v>
      </c>
      <c r="CH371" t="s">
        <v>229</v>
      </c>
      <c r="CI371" t="s">
        <v>113</v>
      </c>
      <c r="CJ371" t="s">
        <v>226</v>
      </c>
      <c r="CK371" t="s">
        <v>369</v>
      </c>
      <c r="CL371" t="s">
        <v>228</v>
      </c>
      <c r="CM371" t="s">
        <v>234</v>
      </c>
      <c r="CN371" t="s">
        <v>115</v>
      </c>
      <c r="CO371">
        <v>-235</v>
      </c>
      <c r="CP371">
        <v>42425564</v>
      </c>
      <c r="CQ371" s="73">
        <v>45370.923622685186</v>
      </c>
      <c r="CR371" t="s">
        <v>229</v>
      </c>
      <c r="CS371" t="s">
        <v>113</v>
      </c>
      <c r="CU371" t="s">
        <v>225</v>
      </c>
    </row>
    <row r="372" spans="1:99">
      <c r="A372" t="s">
        <v>129</v>
      </c>
      <c r="B372" t="s">
        <v>90</v>
      </c>
      <c r="J372" t="s">
        <v>225</v>
      </c>
      <c r="K372" t="s">
        <v>225</v>
      </c>
      <c r="M372" s="73">
        <v>45370.923622685186</v>
      </c>
      <c r="N372">
        <v>42425563</v>
      </c>
      <c r="O372">
        <v>-4.9000000000000004</v>
      </c>
      <c r="P372" t="s">
        <v>73</v>
      </c>
      <c r="Q372">
        <v>-4.9000000000000004</v>
      </c>
      <c r="R372" t="s">
        <v>73</v>
      </c>
      <c r="U372" t="s">
        <v>226</v>
      </c>
      <c r="V372" t="s">
        <v>369</v>
      </c>
      <c r="W372" t="s">
        <v>228</v>
      </c>
      <c r="X372" t="s">
        <v>229</v>
      </c>
      <c r="Y372" t="s">
        <v>129</v>
      </c>
      <c r="AD372" t="s">
        <v>73</v>
      </c>
      <c r="AE372">
        <v>-4.9000000000000004</v>
      </c>
      <c r="AF372">
        <v>42425563</v>
      </c>
      <c r="AG372" s="73">
        <v>45370.923622685186</v>
      </c>
      <c r="AH372" t="s">
        <v>226</v>
      </c>
      <c r="AI372" t="s">
        <v>369</v>
      </c>
      <c r="AJ372" t="s">
        <v>228</v>
      </c>
      <c r="AK372" t="s">
        <v>229</v>
      </c>
      <c r="AL372" t="s">
        <v>129</v>
      </c>
      <c r="AP372" t="s">
        <v>230</v>
      </c>
      <c r="AQ372" t="s">
        <v>231</v>
      </c>
      <c r="AT372" t="s">
        <v>232</v>
      </c>
      <c r="AU372">
        <v>-99</v>
      </c>
      <c r="AV372" t="s">
        <v>73</v>
      </c>
      <c r="AW372">
        <v>-4.9000000000000004</v>
      </c>
      <c r="AX372">
        <v>42425563</v>
      </c>
      <c r="AY372" s="73">
        <v>45370.923622685186</v>
      </c>
      <c r="AZ372" t="s">
        <v>226</v>
      </c>
      <c r="BA372" t="s">
        <v>369</v>
      </c>
      <c r="BB372" t="s">
        <v>228</v>
      </c>
      <c r="BC372" t="s">
        <v>229</v>
      </c>
      <c r="BD372" t="s">
        <v>129</v>
      </c>
      <c r="BI372" t="s">
        <v>233</v>
      </c>
      <c r="BJ372" t="s">
        <v>0</v>
      </c>
      <c r="BK372">
        <v>42425536</v>
      </c>
      <c r="BN372" t="s">
        <v>73</v>
      </c>
      <c r="BR372">
        <v>-4.9000000000000004</v>
      </c>
      <c r="BS372">
        <v>42425563</v>
      </c>
      <c r="BT372" s="73">
        <v>45370.923622685186</v>
      </c>
      <c r="BU372" t="s">
        <v>226</v>
      </c>
      <c r="BV372" t="s">
        <v>369</v>
      </c>
      <c r="BW372" t="s">
        <v>228</v>
      </c>
      <c r="CH372" t="s">
        <v>229</v>
      </c>
      <c r="CI372" t="s">
        <v>129</v>
      </c>
      <c r="CJ372" t="s">
        <v>226</v>
      </c>
      <c r="CK372" t="s">
        <v>369</v>
      </c>
      <c r="CL372" t="s">
        <v>228</v>
      </c>
      <c r="CM372" t="s">
        <v>234</v>
      </c>
      <c r="CN372" t="s">
        <v>73</v>
      </c>
      <c r="CO372">
        <v>-4.9000000000000004</v>
      </c>
      <c r="CP372">
        <v>42425563</v>
      </c>
      <c r="CQ372" s="73">
        <v>45370.923622685186</v>
      </c>
      <c r="CR372" t="s">
        <v>229</v>
      </c>
      <c r="CS372" t="s">
        <v>129</v>
      </c>
      <c r="CU372" t="s">
        <v>225</v>
      </c>
    </row>
    <row r="373" spans="1:99">
      <c r="A373" t="s">
        <v>118</v>
      </c>
      <c r="B373" t="s">
        <v>90</v>
      </c>
      <c r="J373" t="s">
        <v>225</v>
      </c>
      <c r="K373" t="s">
        <v>225</v>
      </c>
      <c r="M373" s="73">
        <v>45370.923622685186</v>
      </c>
      <c r="N373">
        <v>42425562</v>
      </c>
      <c r="O373">
        <v>-30</v>
      </c>
      <c r="P373" t="s">
        <v>120</v>
      </c>
      <c r="Q373">
        <v>-30</v>
      </c>
      <c r="R373" t="s">
        <v>120</v>
      </c>
      <c r="U373" t="s">
        <v>226</v>
      </c>
      <c r="V373" t="s">
        <v>369</v>
      </c>
      <c r="W373" t="s">
        <v>228</v>
      </c>
      <c r="X373" t="s">
        <v>229</v>
      </c>
      <c r="Y373" t="s">
        <v>118</v>
      </c>
      <c r="AD373" t="s">
        <v>120</v>
      </c>
      <c r="AE373">
        <v>-30</v>
      </c>
      <c r="AF373">
        <v>42425562</v>
      </c>
      <c r="AG373" s="73">
        <v>45370.923622685186</v>
      </c>
      <c r="AH373" t="s">
        <v>226</v>
      </c>
      <c r="AI373" t="s">
        <v>369</v>
      </c>
      <c r="AJ373" t="s">
        <v>228</v>
      </c>
      <c r="AK373" t="s">
        <v>229</v>
      </c>
      <c r="AL373" t="s">
        <v>118</v>
      </c>
      <c r="AP373" t="s">
        <v>230</v>
      </c>
      <c r="AQ373" t="s">
        <v>231</v>
      </c>
      <c r="AT373" t="s">
        <v>232</v>
      </c>
      <c r="AU373">
        <v>-99</v>
      </c>
      <c r="AV373" t="s">
        <v>120</v>
      </c>
      <c r="AW373">
        <v>-30</v>
      </c>
      <c r="AX373">
        <v>42425562</v>
      </c>
      <c r="AY373" s="73">
        <v>45370.923622685186</v>
      </c>
      <c r="AZ373" t="s">
        <v>226</v>
      </c>
      <c r="BA373" t="s">
        <v>369</v>
      </c>
      <c r="BB373" t="s">
        <v>228</v>
      </c>
      <c r="BC373" t="s">
        <v>229</v>
      </c>
      <c r="BD373" t="s">
        <v>118</v>
      </c>
      <c r="BI373" t="s">
        <v>233</v>
      </c>
      <c r="BJ373" t="s">
        <v>0</v>
      </c>
      <c r="BK373">
        <v>42425536</v>
      </c>
      <c r="BN373" t="s">
        <v>120</v>
      </c>
      <c r="BR373">
        <v>-30</v>
      </c>
      <c r="BS373">
        <v>42425562</v>
      </c>
      <c r="BT373" s="73">
        <v>45370.923622685186</v>
      </c>
      <c r="BU373" t="s">
        <v>226</v>
      </c>
      <c r="BV373" t="s">
        <v>369</v>
      </c>
      <c r="BW373" t="s">
        <v>228</v>
      </c>
      <c r="CH373" t="s">
        <v>229</v>
      </c>
      <c r="CI373" t="s">
        <v>118</v>
      </c>
      <c r="CJ373" t="s">
        <v>226</v>
      </c>
      <c r="CK373" t="s">
        <v>369</v>
      </c>
      <c r="CL373" t="s">
        <v>228</v>
      </c>
      <c r="CM373" t="s">
        <v>234</v>
      </c>
      <c r="CN373" t="s">
        <v>120</v>
      </c>
      <c r="CO373">
        <v>-30</v>
      </c>
      <c r="CP373">
        <v>42425562</v>
      </c>
      <c r="CQ373" s="73">
        <v>45370.923622685186</v>
      </c>
      <c r="CR373" t="s">
        <v>229</v>
      </c>
      <c r="CS373" t="s">
        <v>118</v>
      </c>
      <c r="CU373" t="s">
        <v>225</v>
      </c>
    </row>
    <row r="374" spans="1:99">
      <c r="A374" t="s">
        <v>99</v>
      </c>
      <c r="B374" t="s">
        <v>98</v>
      </c>
      <c r="J374" t="s">
        <v>225</v>
      </c>
      <c r="K374" t="s">
        <v>225</v>
      </c>
      <c r="M374" s="73">
        <v>45370.923622685186</v>
      </c>
      <c r="N374">
        <v>42425511</v>
      </c>
      <c r="O374">
        <v>1289.82</v>
      </c>
      <c r="P374" t="s">
        <v>73</v>
      </c>
      <c r="Q374">
        <v>1289.82</v>
      </c>
      <c r="R374" t="s">
        <v>73</v>
      </c>
      <c r="U374" t="s">
        <v>226</v>
      </c>
      <c r="V374" t="s">
        <v>369</v>
      </c>
      <c r="W374" t="s">
        <v>235</v>
      </c>
      <c r="X374" t="s">
        <v>229</v>
      </c>
      <c r="Y374" t="s">
        <v>99</v>
      </c>
      <c r="AD374" t="s">
        <v>73</v>
      </c>
      <c r="AE374">
        <v>1289.82</v>
      </c>
      <c r="AF374">
        <v>42425511</v>
      </c>
      <c r="AG374" s="73">
        <v>45370.923622685186</v>
      </c>
      <c r="AH374" t="s">
        <v>226</v>
      </c>
      <c r="AI374" t="s">
        <v>369</v>
      </c>
      <c r="AJ374" t="s">
        <v>235</v>
      </c>
      <c r="AK374" t="s">
        <v>229</v>
      </c>
      <c r="AL374" t="s">
        <v>99</v>
      </c>
      <c r="AP374" t="s">
        <v>230</v>
      </c>
      <c r="AQ374" t="s">
        <v>231</v>
      </c>
      <c r="AT374" t="s">
        <v>232</v>
      </c>
      <c r="AU374">
        <v>-99</v>
      </c>
      <c r="AV374" t="s">
        <v>73</v>
      </c>
      <c r="AW374">
        <v>1289.82</v>
      </c>
      <c r="AX374">
        <v>42425511</v>
      </c>
      <c r="AY374" s="73">
        <v>45370.923622685186</v>
      </c>
      <c r="AZ374" t="s">
        <v>226</v>
      </c>
      <c r="BA374" t="s">
        <v>369</v>
      </c>
      <c r="BB374" t="s">
        <v>235</v>
      </c>
      <c r="BC374" t="s">
        <v>229</v>
      </c>
      <c r="BD374" t="s">
        <v>99</v>
      </c>
      <c r="BI374" t="s">
        <v>233</v>
      </c>
      <c r="BJ374" t="s">
        <v>0</v>
      </c>
      <c r="BK374">
        <v>42425507</v>
      </c>
      <c r="BN374" t="s">
        <v>73</v>
      </c>
      <c r="BO374">
        <v>42425509</v>
      </c>
      <c r="BR374">
        <v>1289.82</v>
      </c>
      <c r="BS374">
        <v>42425511</v>
      </c>
      <c r="BT374" s="73">
        <v>45370.923622685186</v>
      </c>
      <c r="BU374" t="s">
        <v>226</v>
      </c>
      <c r="BV374" t="s">
        <v>369</v>
      </c>
      <c r="BW374" t="s">
        <v>235</v>
      </c>
      <c r="CH374" t="s">
        <v>229</v>
      </c>
      <c r="CI374" t="s">
        <v>99</v>
      </c>
      <c r="CJ374" t="s">
        <v>226</v>
      </c>
      <c r="CK374" t="s">
        <v>369</v>
      </c>
      <c r="CL374" t="s">
        <v>235</v>
      </c>
      <c r="CM374" t="s">
        <v>236</v>
      </c>
      <c r="CN374" t="s">
        <v>73</v>
      </c>
      <c r="CO374">
        <v>1289.82</v>
      </c>
      <c r="CP374">
        <v>42425511</v>
      </c>
      <c r="CQ374" s="73">
        <v>45370.923622685186</v>
      </c>
      <c r="CR374" t="s">
        <v>229</v>
      </c>
      <c r="CS374" t="s">
        <v>99</v>
      </c>
      <c r="CU374" t="s">
        <v>225</v>
      </c>
    </row>
    <row r="375" spans="1:99">
      <c r="A375" t="s">
        <v>71</v>
      </c>
      <c r="B375" t="s">
        <v>77</v>
      </c>
      <c r="J375" t="s">
        <v>225</v>
      </c>
      <c r="K375" t="s">
        <v>225</v>
      </c>
      <c r="M375" s="73">
        <v>45370.923622685186</v>
      </c>
      <c r="N375">
        <v>42425504</v>
      </c>
      <c r="O375">
        <v>0.77</v>
      </c>
      <c r="P375" t="s">
        <v>73</v>
      </c>
      <c r="Q375">
        <v>0.77</v>
      </c>
      <c r="R375" t="s">
        <v>73</v>
      </c>
      <c r="U375" t="s">
        <v>226</v>
      </c>
      <c r="V375" t="s">
        <v>369</v>
      </c>
      <c r="W375" t="s">
        <v>237</v>
      </c>
      <c r="X375" t="s">
        <v>229</v>
      </c>
      <c r="Y375" t="s">
        <v>71</v>
      </c>
      <c r="AD375" t="s">
        <v>73</v>
      </c>
      <c r="AE375">
        <v>0.77</v>
      </c>
      <c r="AF375">
        <v>42425504</v>
      </c>
      <c r="AG375" s="73">
        <v>45370.923622685186</v>
      </c>
      <c r="AH375" t="s">
        <v>226</v>
      </c>
      <c r="AI375" t="s">
        <v>369</v>
      </c>
      <c r="AJ375" t="s">
        <v>237</v>
      </c>
      <c r="AK375" t="s">
        <v>229</v>
      </c>
      <c r="AL375" t="s">
        <v>71</v>
      </c>
      <c r="AP375" t="s">
        <v>230</v>
      </c>
      <c r="AQ375" t="s">
        <v>231</v>
      </c>
      <c r="AT375" t="s">
        <v>232</v>
      </c>
      <c r="AU375">
        <v>-99</v>
      </c>
      <c r="AV375" t="s">
        <v>73</v>
      </c>
      <c r="AW375">
        <v>0.77</v>
      </c>
      <c r="AX375">
        <v>42425504</v>
      </c>
      <c r="AY375" s="73">
        <v>45370.923622685186</v>
      </c>
      <c r="AZ375" t="s">
        <v>226</v>
      </c>
      <c r="BA375" t="s">
        <v>369</v>
      </c>
      <c r="BB375" t="s">
        <v>237</v>
      </c>
      <c r="BC375" t="s">
        <v>229</v>
      </c>
      <c r="BD375" t="s">
        <v>71</v>
      </c>
      <c r="BI375" t="s">
        <v>233</v>
      </c>
      <c r="BJ375" t="s">
        <v>0</v>
      </c>
      <c r="BK375">
        <v>42425500</v>
      </c>
      <c r="BN375" t="s">
        <v>73</v>
      </c>
      <c r="BO375">
        <v>42425502</v>
      </c>
      <c r="BR375">
        <v>0.77</v>
      </c>
      <c r="BS375">
        <v>42425504</v>
      </c>
      <c r="BT375" s="73">
        <v>45370.923622685186</v>
      </c>
      <c r="BU375" t="s">
        <v>226</v>
      </c>
      <c r="BV375" t="s">
        <v>369</v>
      </c>
      <c r="BW375" t="s">
        <v>237</v>
      </c>
      <c r="CH375" t="s">
        <v>229</v>
      </c>
      <c r="CI375" t="s">
        <v>71</v>
      </c>
      <c r="CJ375" t="s">
        <v>226</v>
      </c>
      <c r="CK375" t="s">
        <v>369</v>
      </c>
      <c r="CL375" t="s">
        <v>237</v>
      </c>
      <c r="CM375" t="s">
        <v>236</v>
      </c>
      <c r="CN375" t="s">
        <v>73</v>
      </c>
      <c r="CO375">
        <v>0.77</v>
      </c>
      <c r="CP375">
        <v>42425504</v>
      </c>
      <c r="CQ375" s="73">
        <v>45370.923622685186</v>
      </c>
      <c r="CR375" t="s">
        <v>229</v>
      </c>
      <c r="CS375" t="s">
        <v>71</v>
      </c>
      <c r="CU375" t="s">
        <v>225</v>
      </c>
    </row>
    <row r="376" spans="1:99">
      <c r="A376" t="s">
        <v>133</v>
      </c>
      <c r="B376" t="s">
        <v>90</v>
      </c>
      <c r="J376" t="s">
        <v>225</v>
      </c>
      <c r="K376" t="s">
        <v>225</v>
      </c>
      <c r="M376" s="73">
        <v>45370.923622685186</v>
      </c>
      <c r="N376">
        <v>42425497</v>
      </c>
      <c r="O376">
        <v>-546</v>
      </c>
      <c r="P376" t="s">
        <v>73</v>
      </c>
      <c r="Q376">
        <v>-546</v>
      </c>
      <c r="R376" t="s">
        <v>73</v>
      </c>
      <c r="U376" t="s">
        <v>226</v>
      </c>
      <c r="V376" t="s">
        <v>369</v>
      </c>
      <c r="W376" t="s">
        <v>228</v>
      </c>
      <c r="X376" t="s">
        <v>229</v>
      </c>
      <c r="Y376" t="s">
        <v>133</v>
      </c>
      <c r="AD376" t="s">
        <v>73</v>
      </c>
      <c r="AE376">
        <v>-546</v>
      </c>
      <c r="AF376">
        <v>42425497</v>
      </c>
      <c r="AG376" s="73">
        <v>45370.923622685186</v>
      </c>
      <c r="AH376" t="s">
        <v>226</v>
      </c>
      <c r="AI376" t="s">
        <v>369</v>
      </c>
      <c r="AJ376" t="s">
        <v>228</v>
      </c>
      <c r="AK376" t="s">
        <v>229</v>
      </c>
      <c r="AL376" t="s">
        <v>133</v>
      </c>
      <c r="AP376" t="s">
        <v>230</v>
      </c>
      <c r="AQ376" t="s">
        <v>231</v>
      </c>
      <c r="AT376" t="s">
        <v>232</v>
      </c>
      <c r="AU376">
        <v>-99</v>
      </c>
      <c r="AV376" t="s">
        <v>73</v>
      </c>
      <c r="AW376">
        <v>-546</v>
      </c>
      <c r="AX376">
        <v>42425497</v>
      </c>
      <c r="AY376" s="73">
        <v>45370.923622685186</v>
      </c>
      <c r="AZ376" t="s">
        <v>226</v>
      </c>
      <c r="BA376" t="s">
        <v>369</v>
      </c>
      <c r="BB376" t="s">
        <v>228</v>
      </c>
      <c r="BC376" t="s">
        <v>229</v>
      </c>
      <c r="BD376" t="s">
        <v>133</v>
      </c>
      <c r="BI376" t="s">
        <v>233</v>
      </c>
      <c r="BJ376" t="s">
        <v>0</v>
      </c>
      <c r="BK376">
        <v>42425493</v>
      </c>
      <c r="BN376" t="s">
        <v>73</v>
      </c>
      <c r="BR376">
        <v>-546</v>
      </c>
      <c r="BS376">
        <v>42425497</v>
      </c>
      <c r="BT376" s="73">
        <v>45370.923622685186</v>
      </c>
      <c r="BU376" t="s">
        <v>226</v>
      </c>
      <c r="BV376" t="s">
        <v>369</v>
      </c>
      <c r="BW376" t="s">
        <v>228</v>
      </c>
      <c r="CH376" t="s">
        <v>229</v>
      </c>
      <c r="CI376" t="s">
        <v>133</v>
      </c>
      <c r="CJ376" t="s">
        <v>226</v>
      </c>
      <c r="CK376" t="s">
        <v>369</v>
      </c>
      <c r="CL376" t="s">
        <v>228</v>
      </c>
      <c r="CM376" t="s">
        <v>234</v>
      </c>
      <c r="CN376" t="s">
        <v>73</v>
      </c>
      <c r="CO376">
        <v>-546</v>
      </c>
      <c r="CP376">
        <v>42425497</v>
      </c>
      <c r="CQ376" s="73">
        <v>45370.923622685186</v>
      </c>
      <c r="CR376" t="s">
        <v>229</v>
      </c>
      <c r="CS376" t="s">
        <v>133</v>
      </c>
      <c r="CU376" t="s">
        <v>225</v>
      </c>
    </row>
    <row r="377" spans="1:99">
      <c r="A377" t="s">
        <v>131</v>
      </c>
      <c r="B377" t="s">
        <v>90</v>
      </c>
      <c r="J377" t="s">
        <v>225</v>
      </c>
      <c r="K377" t="s">
        <v>225</v>
      </c>
      <c r="M377" s="73">
        <v>45370.923622685186</v>
      </c>
      <c r="N377">
        <v>42425490</v>
      </c>
      <c r="O377">
        <v>-118.9</v>
      </c>
      <c r="P377" t="s">
        <v>73</v>
      </c>
      <c r="Q377">
        <v>-118.9</v>
      </c>
      <c r="R377" t="s">
        <v>73</v>
      </c>
      <c r="U377" t="s">
        <v>226</v>
      </c>
      <c r="V377" t="s">
        <v>369</v>
      </c>
      <c r="W377" t="s">
        <v>228</v>
      </c>
      <c r="X377" t="s">
        <v>229</v>
      </c>
      <c r="Y377" t="s">
        <v>131</v>
      </c>
      <c r="AD377" t="s">
        <v>73</v>
      </c>
      <c r="AE377">
        <v>-118.9</v>
      </c>
      <c r="AF377">
        <v>42425490</v>
      </c>
      <c r="AG377" s="73">
        <v>45370.923622685186</v>
      </c>
      <c r="AH377" t="s">
        <v>226</v>
      </c>
      <c r="AI377" t="s">
        <v>369</v>
      </c>
      <c r="AJ377" t="s">
        <v>228</v>
      </c>
      <c r="AK377" t="s">
        <v>229</v>
      </c>
      <c r="AL377" t="s">
        <v>131</v>
      </c>
      <c r="AP377" t="s">
        <v>230</v>
      </c>
      <c r="AQ377" t="s">
        <v>231</v>
      </c>
      <c r="AT377" t="s">
        <v>232</v>
      </c>
      <c r="AU377">
        <v>-99</v>
      </c>
      <c r="AV377" t="s">
        <v>73</v>
      </c>
      <c r="AW377">
        <v>-118.9</v>
      </c>
      <c r="AX377">
        <v>42425490</v>
      </c>
      <c r="AY377" s="73">
        <v>45370.923622685186</v>
      </c>
      <c r="AZ377" t="s">
        <v>226</v>
      </c>
      <c r="BA377" t="s">
        <v>369</v>
      </c>
      <c r="BB377" t="s">
        <v>228</v>
      </c>
      <c r="BC377" t="s">
        <v>229</v>
      </c>
      <c r="BD377" t="s">
        <v>131</v>
      </c>
      <c r="BI377" t="s">
        <v>233</v>
      </c>
      <c r="BJ377" t="s">
        <v>0</v>
      </c>
      <c r="BK377">
        <v>42425486</v>
      </c>
      <c r="BN377" t="s">
        <v>73</v>
      </c>
      <c r="BR377">
        <v>-118.9</v>
      </c>
      <c r="BS377">
        <v>42425490</v>
      </c>
      <c r="BT377" s="73">
        <v>45370.923622685186</v>
      </c>
      <c r="BU377" t="s">
        <v>226</v>
      </c>
      <c r="BV377" t="s">
        <v>369</v>
      </c>
      <c r="BW377" t="s">
        <v>228</v>
      </c>
      <c r="CH377" t="s">
        <v>229</v>
      </c>
      <c r="CI377" t="s">
        <v>131</v>
      </c>
      <c r="CJ377" t="s">
        <v>226</v>
      </c>
      <c r="CK377" t="s">
        <v>369</v>
      </c>
      <c r="CL377" t="s">
        <v>228</v>
      </c>
      <c r="CM377" t="s">
        <v>234</v>
      </c>
      <c r="CN377" t="s">
        <v>73</v>
      </c>
      <c r="CO377">
        <v>-118.9</v>
      </c>
      <c r="CP377">
        <v>42425490</v>
      </c>
      <c r="CQ377" s="73">
        <v>45370.923622685186</v>
      </c>
      <c r="CR377" t="s">
        <v>229</v>
      </c>
      <c r="CS377" t="s">
        <v>131</v>
      </c>
      <c r="CU377" t="s">
        <v>225</v>
      </c>
    </row>
    <row r="378" spans="1:99">
      <c r="A378" t="s">
        <v>87</v>
      </c>
      <c r="B378" t="s">
        <v>90</v>
      </c>
      <c r="J378" t="s">
        <v>225</v>
      </c>
      <c r="K378" t="s">
        <v>225</v>
      </c>
      <c r="M378" s="73">
        <v>45370.923622685186</v>
      </c>
      <c r="N378">
        <v>42425483</v>
      </c>
      <c r="O378">
        <v>-66.5</v>
      </c>
      <c r="P378" t="s">
        <v>73</v>
      </c>
      <c r="Q378">
        <v>-66.5</v>
      </c>
      <c r="R378" t="s">
        <v>73</v>
      </c>
      <c r="U378" t="s">
        <v>226</v>
      </c>
      <c r="V378" t="s">
        <v>369</v>
      </c>
      <c r="W378" t="s">
        <v>228</v>
      </c>
      <c r="X378" t="s">
        <v>229</v>
      </c>
      <c r="Y378" t="s">
        <v>87</v>
      </c>
      <c r="AD378" t="s">
        <v>73</v>
      </c>
      <c r="AE378">
        <v>-66.5</v>
      </c>
      <c r="AF378">
        <v>42425483</v>
      </c>
      <c r="AG378" s="73">
        <v>45370.923622685186</v>
      </c>
      <c r="AH378" t="s">
        <v>226</v>
      </c>
      <c r="AI378" t="s">
        <v>369</v>
      </c>
      <c r="AJ378" t="s">
        <v>228</v>
      </c>
      <c r="AK378" t="s">
        <v>229</v>
      </c>
      <c r="AL378" t="s">
        <v>87</v>
      </c>
      <c r="AP378" t="s">
        <v>230</v>
      </c>
      <c r="AQ378" t="s">
        <v>231</v>
      </c>
      <c r="AT378" t="s">
        <v>232</v>
      </c>
      <c r="AU378">
        <v>-99</v>
      </c>
      <c r="AV378" t="s">
        <v>73</v>
      </c>
      <c r="AW378">
        <v>-66.5</v>
      </c>
      <c r="AX378">
        <v>42425483</v>
      </c>
      <c r="AY378" s="73">
        <v>45370.923622685186</v>
      </c>
      <c r="AZ378" t="s">
        <v>226</v>
      </c>
      <c r="BA378" t="s">
        <v>369</v>
      </c>
      <c r="BB378" t="s">
        <v>228</v>
      </c>
      <c r="BC378" t="s">
        <v>229</v>
      </c>
      <c r="BD378" t="s">
        <v>87</v>
      </c>
      <c r="BI378" t="s">
        <v>233</v>
      </c>
      <c r="BJ378" t="s">
        <v>0</v>
      </c>
      <c r="BK378">
        <v>42425479</v>
      </c>
      <c r="BN378" t="s">
        <v>73</v>
      </c>
      <c r="BR378">
        <v>-66.5</v>
      </c>
      <c r="BS378">
        <v>42425483</v>
      </c>
      <c r="BT378" s="73">
        <v>45370.923622685186</v>
      </c>
      <c r="BU378" t="s">
        <v>226</v>
      </c>
      <c r="BV378" t="s">
        <v>369</v>
      </c>
      <c r="BW378" t="s">
        <v>228</v>
      </c>
      <c r="CH378" t="s">
        <v>229</v>
      </c>
      <c r="CI378" t="s">
        <v>87</v>
      </c>
      <c r="CJ378" t="s">
        <v>226</v>
      </c>
      <c r="CK378" t="s">
        <v>369</v>
      </c>
      <c r="CL378" t="s">
        <v>228</v>
      </c>
      <c r="CM378" t="s">
        <v>234</v>
      </c>
      <c r="CN378" t="s">
        <v>73</v>
      </c>
      <c r="CO378">
        <v>-66.5</v>
      </c>
      <c r="CP378">
        <v>42425483</v>
      </c>
      <c r="CQ378" s="73">
        <v>45370.923622685186</v>
      </c>
      <c r="CR378" t="s">
        <v>229</v>
      </c>
      <c r="CS378" t="s">
        <v>87</v>
      </c>
      <c r="CU378" t="s">
        <v>225</v>
      </c>
    </row>
    <row r="379" spans="1:99">
      <c r="A379" t="s">
        <v>127</v>
      </c>
      <c r="B379" t="s">
        <v>90</v>
      </c>
      <c r="J379" t="s">
        <v>225</v>
      </c>
      <c r="K379" t="s">
        <v>225</v>
      </c>
      <c r="M379" s="73">
        <v>45370.923622685186</v>
      </c>
      <c r="N379">
        <v>42425476</v>
      </c>
      <c r="O379">
        <v>-600.20000000000005</v>
      </c>
      <c r="P379" t="s">
        <v>73</v>
      </c>
      <c r="Q379">
        <v>-600.20000000000005</v>
      </c>
      <c r="R379" t="s">
        <v>73</v>
      </c>
      <c r="U379" t="s">
        <v>226</v>
      </c>
      <c r="V379" t="s">
        <v>369</v>
      </c>
      <c r="W379" t="s">
        <v>228</v>
      </c>
      <c r="X379" t="s">
        <v>229</v>
      </c>
      <c r="Y379" t="s">
        <v>127</v>
      </c>
      <c r="AD379" t="s">
        <v>73</v>
      </c>
      <c r="AE379">
        <v>-600.20000000000005</v>
      </c>
      <c r="AF379">
        <v>42425476</v>
      </c>
      <c r="AG379" s="73">
        <v>45370.923622685186</v>
      </c>
      <c r="AH379" t="s">
        <v>226</v>
      </c>
      <c r="AI379" t="s">
        <v>369</v>
      </c>
      <c r="AJ379" t="s">
        <v>228</v>
      </c>
      <c r="AK379" t="s">
        <v>229</v>
      </c>
      <c r="AL379" t="s">
        <v>127</v>
      </c>
      <c r="AP379" t="s">
        <v>230</v>
      </c>
      <c r="AQ379" t="s">
        <v>231</v>
      </c>
      <c r="AT379" t="s">
        <v>232</v>
      </c>
      <c r="AU379">
        <v>-99</v>
      </c>
      <c r="AV379" t="s">
        <v>73</v>
      </c>
      <c r="AW379">
        <v>-600.20000000000005</v>
      </c>
      <c r="AX379">
        <v>42425476</v>
      </c>
      <c r="AY379" s="73">
        <v>45370.923622685186</v>
      </c>
      <c r="AZ379" t="s">
        <v>226</v>
      </c>
      <c r="BA379" t="s">
        <v>369</v>
      </c>
      <c r="BB379" t="s">
        <v>228</v>
      </c>
      <c r="BC379" t="s">
        <v>229</v>
      </c>
      <c r="BD379" t="s">
        <v>127</v>
      </c>
      <c r="BI379" t="s">
        <v>233</v>
      </c>
      <c r="BJ379" t="s">
        <v>0</v>
      </c>
      <c r="BK379">
        <v>42425472</v>
      </c>
      <c r="BN379" t="s">
        <v>73</v>
      </c>
      <c r="BR379">
        <v>-600.20000000000005</v>
      </c>
      <c r="BS379">
        <v>42425476</v>
      </c>
      <c r="BT379" s="73">
        <v>45370.923622685186</v>
      </c>
      <c r="BU379" t="s">
        <v>226</v>
      </c>
      <c r="BV379" t="s">
        <v>369</v>
      </c>
      <c r="BW379" t="s">
        <v>228</v>
      </c>
      <c r="CH379" t="s">
        <v>229</v>
      </c>
      <c r="CI379" t="s">
        <v>127</v>
      </c>
      <c r="CJ379" t="s">
        <v>226</v>
      </c>
      <c r="CK379" t="s">
        <v>369</v>
      </c>
      <c r="CL379" t="s">
        <v>228</v>
      </c>
      <c r="CM379" t="s">
        <v>234</v>
      </c>
      <c r="CN379" t="s">
        <v>73</v>
      </c>
      <c r="CO379">
        <v>-600.20000000000005</v>
      </c>
      <c r="CP379">
        <v>42425476</v>
      </c>
      <c r="CQ379" s="73">
        <v>45370.923622685186</v>
      </c>
      <c r="CR379" t="s">
        <v>229</v>
      </c>
      <c r="CS379" t="s">
        <v>127</v>
      </c>
      <c r="CU379" t="s">
        <v>225</v>
      </c>
    </row>
    <row r="380" spans="1:99">
      <c r="A380" t="s">
        <v>99</v>
      </c>
      <c r="B380" t="s">
        <v>98</v>
      </c>
      <c r="J380" t="s">
        <v>225</v>
      </c>
      <c r="K380" t="s">
        <v>225</v>
      </c>
      <c r="M380" s="73">
        <v>45370.923611111109</v>
      </c>
      <c r="N380">
        <v>42420839</v>
      </c>
      <c r="O380">
        <v>1263.22</v>
      </c>
      <c r="P380" t="s">
        <v>73</v>
      </c>
      <c r="Q380">
        <v>1263.22</v>
      </c>
      <c r="R380" t="s">
        <v>73</v>
      </c>
      <c r="U380" t="s">
        <v>226</v>
      </c>
      <c r="V380" t="s">
        <v>370</v>
      </c>
      <c r="W380" t="s">
        <v>235</v>
      </c>
      <c r="X380" t="s">
        <v>229</v>
      </c>
      <c r="Y380" t="s">
        <v>99</v>
      </c>
      <c r="AD380" t="s">
        <v>73</v>
      </c>
      <c r="AE380">
        <v>1263.22</v>
      </c>
      <c r="AF380">
        <v>42420839</v>
      </c>
      <c r="AG380" s="73">
        <v>45370.923611111109</v>
      </c>
      <c r="AH380" t="s">
        <v>226</v>
      </c>
      <c r="AI380" t="s">
        <v>370</v>
      </c>
      <c r="AJ380" t="s">
        <v>235</v>
      </c>
      <c r="AK380" t="s">
        <v>229</v>
      </c>
      <c r="AL380" t="s">
        <v>99</v>
      </c>
      <c r="AP380" t="s">
        <v>230</v>
      </c>
      <c r="AQ380" t="s">
        <v>231</v>
      </c>
      <c r="AT380" t="s">
        <v>232</v>
      </c>
      <c r="AU380">
        <v>-99</v>
      </c>
      <c r="AV380" t="s">
        <v>73</v>
      </c>
      <c r="AW380">
        <v>1263.22</v>
      </c>
      <c r="AX380">
        <v>42420839</v>
      </c>
      <c r="AY380" s="73">
        <v>45370.923611111109</v>
      </c>
      <c r="AZ380" t="s">
        <v>226</v>
      </c>
      <c r="BA380" t="s">
        <v>370</v>
      </c>
      <c r="BB380" t="s">
        <v>235</v>
      </c>
      <c r="BC380" t="s">
        <v>229</v>
      </c>
      <c r="BD380" t="s">
        <v>99</v>
      </c>
      <c r="BI380" t="s">
        <v>233</v>
      </c>
      <c r="BJ380" t="s">
        <v>0</v>
      </c>
      <c r="BK380">
        <v>42420835</v>
      </c>
      <c r="BN380" t="s">
        <v>73</v>
      </c>
      <c r="BO380">
        <v>42420837</v>
      </c>
      <c r="BR380">
        <v>1263.22</v>
      </c>
      <c r="BS380">
        <v>42420839</v>
      </c>
      <c r="BT380" s="73">
        <v>45370.923611111109</v>
      </c>
      <c r="BU380" t="s">
        <v>226</v>
      </c>
      <c r="BV380" t="s">
        <v>370</v>
      </c>
      <c r="BW380" t="s">
        <v>235</v>
      </c>
      <c r="CH380" t="s">
        <v>229</v>
      </c>
      <c r="CI380" t="s">
        <v>99</v>
      </c>
      <c r="CJ380" t="s">
        <v>226</v>
      </c>
      <c r="CK380" t="s">
        <v>370</v>
      </c>
      <c r="CL380" t="s">
        <v>235</v>
      </c>
      <c r="CM380" t="s">
        <v>236</v>
      </c>
      <c r="CN380" t="s">
        <v>73</v>
      </c>
      <c r="CO380">
        <v>1263.22</v>
      </c>
      <c r="CP380">
        <v>42420839</v>
      </c>
      <c r="CQ380" s="73">
        <v>45370.923611111109</v>
      </c>
      <c r="CR380" t="s">
        <v>229</v>
      </c>
      <c r="CS380" t="s">
        <v>99</v>
      </c>
      <c r="CU380" t="s">
        <v>225</v>
      </c>
    </row>
    <row r="381" spans="1:99">
      <c r="A381" t="s">
        <v>71</v>
      </c>
      <c r="B381" t="s">
        <v>77</v>
      </c>
      <c r="J381" t="s">
        <v>225</v>
      </c>
      <c r="K381" t="s">
        <v>225</v>
      </c>
      <c r="M381" s="73">
        <v>45370.923611111109</v>
      </c>
      <c r="N381">
        <v>42420832</v>
      </c>
      <c r="O381">
        <v>0.76</v>
      </c>
      <c r="P381" t="s">
        <v>73</v>
      </c>
      <c r="Q381">
        <v>0.76</v>
      </c>
      <c r="R381" t="s">
        <v>73</v>
      </c>
      <c r="U381" t="s">
        <v>226</v>
      </c>
      <c r="V381" t="s">
        <v>370</v>
      </c>
      <c r="W381" t="s">
        <v>237</v>
      </c>
      <c r="X381" t="s">
        <v>229</v>
      </c>
      <c r="Y381" t="s">
        <v>71</v>
      </c>
      <c r="AD381" t="s">
        <v>73</v>
      </c>
      <c r="AE381">
        <v>0.76</v>
      </c>
      <c r="AF381">
        <v>42420832</v>
      </c>
      <c r="AG381" s="73">
        <v>45370.923611111109</v>
      </c>
      <c r="AH381" t="s">
        <v>226</v>
      </c>
      <c r="AI381" t="s">
        <v>370</v>
      </c>
      <c r="AJ381" t="s">
        <v>237</v>
      </c>
      <c r="AK381" t="s">
        <v>229</v>
      </c>
      <c r="AL381" t="s">
        <v>71</v>
      </c>
      <c r="AP381" t="s">
        <v>230</v>
      </c>
      <c r="AQ381" t="s">
        <v>231</v>
      </c>
      <c r="AT381" t="s">
        <v>232</v>
      </c>
      <c r="AU381">
        <v>-99</v>
      </c>
      <c r="AV381" t="s">
        <v>73</v>
      </c>
      <c r="AW381">
        <v>0.76</v>
      </c>
      <c r="AX381">
        <v>42420832</v>
      </c>
      <c r="AY381" s="73">
        <v>45370.923611111109</v>
      </c>
      <c r="AZ381" t="s">
        <v>226</v>
      </c>
      <c r="BA381" t="s">
        <v>370</v>
      </c>
      <c r="BB381" t="s">
        <v>237</v>
      </c>
      <c r="BC381" t="s">
        <v>229</v>
      </c>
      <c r="BD381" t="s">
        <v>71</v>
      </c>
      <c r="BI381" t="s">
        <v>233</v>
      </c>
      <c r="BJ381" t="s">
        <v>0</v>
      </c>
      <c r="BK381">
        <v>42420828</v>
      </c>
      <c r="BN381" t="s">
        <v>73</v>
      </c>
      <c r="BO381">
        <v>42420830</v>
      </c>
      <c r="BR381">
        <v>0.76</v>
      </c>
      <c r="BS381">
        <v>42420832</v>
      </c>
      <c r="BT381" s="73">
        <v>45370.923611111109</v>
      </c>
      <c r="BU381" t="s">
        <v>226</v>
      </c>
      <c r="BV381" t="s">
        <v>370</v>
      </c>
      <c r="BW381" t="s">
        <v>237</v>
      </c>
      <c r="CH381" t="s">
        <v>229</v>
      </c>
      <c r="CI381" t="s">
        <v>71</v>
      </c>
      <c r="CJ381" t="s">
        <v>226</v>
      </c>
      <c r="CK381" t="s">
        <v>370</v>
      </c>
      <c r="CL381" t="s">
        <v>237</v>
      </c>
      <c r="CM381" t="s">
        <v>236</v>
      </c>
      <c r="CN381" t="s">
        <v>73</v>
      </c>
      <c r="CO381">
        <v>0.76</v>
      </c>
      <c r="CP381">
        <v>42420832</v>
      </c>
      <c r="CQ381" s="73">
        <v>45370.923611111109</v>
      </c>
      <c r="CR381" t="s">
        <v>229</v>
      </c>
      <c r="CS381" t="s">
        <v>71</v>
      </c>
      <c r="CU381" t="s">
        <v>225</v>
      </c>
    </row>
    <row r="382" spans="1:99">
      <c r="A382" t="s">
        <v>87</v>
      </c>
      <c r="B382" t="s">
        <v>90</v>
      </c>
      <c r="J382" t="s">
        <v>225</v>
      </c>
      <c r="K382" t="s">
        <v>225</v>
      </c>
      <c r="M382" s="73">
        <v>45370.923611111109</v>
      </c>
      <c r="N382">
        <v>42420825</v>
      </c>
      <c r="O382">
        <v>-65.099999999999994</v>
      </c>
      <c r="P382" t="s">
        <v>73</v>
      </c>
      <c r="Q382">
        <v>-65.099999999999994</v>
      </c>
      <c r="R382" t="s">
        <v>73</v>
      </c>
      <c r="U382" t="s">
        <v>226</v>
      </c>
      <c r="V382" t="s">
        <v>370</v>
      </c>
      <c r="W382" t="s">
        <v>228</v>
      </c>
      <c r="X382" t="s">
        <v>229</v>
      </c>
      <c r="Y382" t="s">
        <v>87</v>
      </c>
      <c r="AD382" t="s">
        <v>73</v>
      </c>
      <c r="AE382">
        <v>-65.099999999999994</v>
      </c>
      <c r="AF382">
        <v>42420825</v>
      </c>
      <c r="AG382" s="73">
        <v>45370.923611111109</v>
      </c>
      <c r="AH382" t="s">
        <v>226</v>
      </c>
      <c r="AI382" t="s">
        <v>370</v>
      </c>
      <c r="AJ382" t="s">
        <v>228</v>
      </c>
      <c r="AK382" t="s">
        <v>229</v>
      </c>
      <c r="AL382" t="s">
        <v>87</v>
      </c>
      <c r="AP382" t="s">
        <v>230</v>
      </c>
      <c r="AQ382" t="s">
        <v>231</v>
      </c>
      <c r="AT382" t="s">
        <v>232</v>
      </c>
      <c r="AU382">
        <v>-99</v>
      </c>
      <c r="AV382" t="s">
        <v>73</v>
      </c>
      <c r="AW382">
        <v>-65.099999999999994</v>
      </c>
      <c r="AX382">
        <v>42420825</v>
      </c>
      <c r="AY382" s="73">
        <v>45370.923611111109</v>
      </c>
      <c r="AZ382" t="s">
        <v>226</v>
      </c>
      <c r="BA382" t="s">
        <v>370</v>
      </c>
      <c r="BB382" t="s">
        <v>228</v>
      </c>
      <c r="BC382" t="s">
        <v>229</v>
      </c>
      <c r="BD382" t="s">
        <v>87</v>
      </c>
      <c r="BI382" t="s">
        <v>233</v>
      </c>
      <c r="BJ382" t="s">
        <v>0</v>
      </c>
      <c r="BK382">
        <v>42420821</v>
      </c>
      <c r="BN382" t="s">
        <v>73</v>
      </c>
      <c r="BR382">
        <v>-65.099999999999994</v>
      </c>
      <c r="BS382">
        <v>42420825</v>
      </c>
      <c r="BT382" s="73">
        <v>45370.923611111109</v>
      </c>
      <c r="BU382" t="s">
        <v>226</v>
      </c>
      <c r="BV382" t="s">
        <v>370</v>
      </c>
      <c r="BW382" t="s">
        <v>228</v>
      </c>
      <c r="CH382" t="s">
        <v>229</v>
      </c>
      <c r="CI382" t="s">
        <v>87</v>
      </c>
      <c r="CJ382" t="s">
        <v>226</v>
      </c>
      <c r="CK382" t="s">
        <v>370</v>
      </c>
      <c r="CL382" t="s">
        <v>228</v>
      </c>
      <c r="CM382" t="s">
        <v>234</v>
      </c>
      <c r="CN382" t="s">
        <v>73</v>
      </c>
      <c r="CO382">
        <v>-65.099999999999994</v>
      </c>
      <c r="CP382">
        <v>42420825</v>
      </c>
      <c r="CQ382" s="73">
        <v>45370.923611111109</v>
      </c>
      <c r="CR382" t="s">
        <v>229</v>
      </c>
      <c r="CS382" t="s">
        <v>87</v>
      </c>
      <c r="CU382" t="s">
        <v>225</v>
      </c>
    </row>
    <row r="383" spans="1:99">
      <c r="A383" t="s">
        <v>127</v>
      </c>
      <c r="B383" t="s">
        <v>90</v>
      </c>
      <c r="J383" t="s">
        <v>225</v>
      </c>
      <c r="K383" t="s">
        <v>225</v>
      </c>
      <c r="M383" s="73">
        <v>45370.923611111109</v>
      </c>
      <c r="N383">
        <v>42420818</v>
      </c>
      <c r="O383">
        <v>-587.6</v>
      </c>
      <c r="P383" t="s">
        <v>73</v>
      </c>
      <c r="Q383">
        <v>-587.6</v>
      </c>
      <c r="R383" t="s">
        <v>73</v>
      </c>
      <c r="U383" t="s">
        <v>226</v>
      </c>
      <c r="V383" t="s">
        <v>370</v>
      </c>
      <c r="W383" t="s">
        <v>228</v>
      </c>
      <c r="X383" t="s">
        <v>229</v>
      </c>
      <c r="Y383" t="s">
        <v>127</v>
      </c>
      <c r="AD383" t="s">
        <v>73</v>
      </c>
      <c r="AE383">
        <v>-587.6</v>
      </c>
      <c r="AF383">
        <v>42420818</v>
      </c>
      <c r="AG383" s="73">
        <v>45370.923611111109</v>
      </c>
      <c r="AH383" t="s">
        <v>226</v>
      </c>
      <c r="AI383" t="s">
        <v>370</v>
      </c>
      <c r="AJ383" t="s">
        <v>228</v>
      </c>
      <c r="AK383" t="s">
        <v>229</v>
      </c>
      <c r="AL383" t="s">
        <v>127</v>
      </c>
      <c r="AP383" t="s">
        <v>230</v>
      </c>
      <c r="AQ383" t="s">
        <v>231</v>
      </c>
      <c r="AT383" t="s">
        <v>232</v>
      </c>
      <c r="AU383">
        <v>-99</v>
      </c>
      <c r="AV383" t="s">
        <v>73</v>
      </c>
      <c r="AW383">
        <v>-587.6</v>
      </c>
      <c r="AX383">
        <v>42420818</v>
      </c>
      <c r="AY383" s="73">
        <v>45370.923611111109</v>
      </c>
      <c r="AZ383" t="s">
        <v>226</v>
      </c>
      <c r="BA383" t="s">
        <v>370</v>
      </c>
      <c r="BB383" t="s">
        <v>228</v>
      </c>
      <c r="BC383" t="s">
        <v>229</v>
      </c>
      <c r="BD383" t="s">
        <v>127</v>
      </c>
      <c r="BI383" t="s">
        <v>233</v>
      </c>
      <c r="BJ383" t="s">
        <v>0</v>
      </c>
      <c r="BK383">
        <v>42420814</v>
      </c>
      <c r="BN383" t="s">
        <v>73</v>
      </c>
      <c r="BR383">
        <v>-587.6</v>
      </c>
      <c r="BS383">
        <v>42420818</v>
      </c>
      <c r="BT383" s="73">
        <v>45370.923611111109</v>
      </c>
      <c r="BU383" t="s">
        <v>226</v>
      </c>
      <c r="BV383" t="s">
        <v>370</v>
      </c>
      <c r="BW383" t="s">
        <v>228</v>
      </c>
      <c r="CH383" t="s">
        <v>229</v>
      </c>
      <c r="CI383" t="s">
        <v>127</v>
      </c>
      <c r="CJ383" t="s">
        <v>226</v>
      </c>
      <c r="CK383" t="s">
        <v>370</v>
      </c>
      <c r="CL383" t="s">
        <v>228</v>
      </c>
      <c r="CM383" t="s">
        <v>234</v>
      </c>
      <c r="CN383" t="s">
        <v>73</v>
      </c>
      <c r="CO383">
        <v>-587.6</v>
      </c>
      <c r="CP383">
        <v>42420818</v>
      </c>
      <c r="CQ383" s="73">
        <v>45370.923611111109</v>
      </c>
      <c r="CR383" t="s">
        <v>229</v>
      </c>
      <c r="CS383" t="s">
        <v>127</v>
      </c>
      <c r="CU383" t="s">
        <v>225</v>
      </c>
    </row>
    <row r="384" spans="1:99">
      <c r="A384" t="s">
        <v>131</v>
      </c>
      <c r="B384" t="s">
        <v>90</v>
      </c>
      <c r="J384" t="s">
        <v>225</v>
      </c>
      <c r="K384" t="s">
        <v>225</v>
      </c>
      <c r="M384" s="73">
        <v>45370.923611111109</v>
      </c>
      <c r="N384">
        <v>42420811</v>
      </c>
      <c r="O384">
        <v>-116.4</v>
      </c>
      <c r="P384" t="s">
        <v>73</v>
      </c>
      <c r="Q384">
        <v>-116.4</v>
      </c>
      <c r="R384" t="s">
        <v>73</v>
      </c>
      <c r="U384" t="s">
        <v>226</v>
      </c>
      <c r="V384" t="s">
        <v>370</v>
      </c>
      <c r="W384" t="s">
        <v>228</v>
      </c>
      <c r="X384" t="s">
        <v>229</v>
      </c>
      <c r="Y384" t="s">
        <v>131</v>
      </c>
      <c r="AD384" t="s">
        <v>73</v>
      </c>
      <c r="AE384">
        <v>-116.4</v>
      </c>
      <c r="AF384">
        <v>42420811</v>
      </c>
      <c r="AG384" s="73">
        <v>45370.923611111109</v>
      </c>
      <c r="AH384" t="s">
        <v>226</v>
      </c>
      <c r="AI384" t="s">
        <v>370</v>
      </c>
      <c r="AJ384" t="s">
        <v>228</v>
      </c>
      <c r="AK384" t="s">
        <v>229</v>
      </c>
      <c r="AL384" t="s">
        <v>131</v>
      </c>
      <c r="AP384" t="s">
        <v>230</v>
      </c>
      <c r="AQ384" t="s">
        <v>231</v>
      </c>
      <c r="AT384" t="s">
        <v>232</v>
      </c>
      <c r="AU384">
        <v>-99</v>
      </c>
      <c r="AV384" t="s">
        <v>73</v>
      </c>
      <c r="AW384">
        <v>-116.4</v>
      </c>
      <c r="AX384">
        <v>42420811</v>
      </c>
      <c r="AY384" s="73">
        <v>45370.923611111109</v>
      </c>
      <c r="AZ384" t="s">
        <v>226</v>
      </c>
      <c r="BA384" t="s">
        <v>370</v>
      </c>
      <c r="BB384" t="s">
        <v>228</v>
      </c>
      <c r="BC384" t="s">
        <v>229</v>
      </c>
      <c r="BD384" t="s">
        <v>131</v>
      </c>
      <c r="BI384" t="s">
        <v>233</v>
      </c>
      <c r="BJ384" t="s">
        <v>0</v>
      </c>
      <c r="BK384">
        <v>42420807</v>
      </c>
      <c r="BN384" t="s">
        <v>73</v>
      </c>
      <c r="BR384">
        <v>-116.4</v>
      </c>
      <c r="BS384">
        <v>42420811</v>
      </c>
      <c r="BT384" s="73">
        <v>45370.923611111109</v>
      </c>
      <c r="BU384" t="s">
        <v>226</v>
      </c>
      <c r="BV384" t="s">
        <v>370</v>
      </c>
      <c r="BW384" t="s">
        <v>228</v>
      </c>
      <c r="CH384" t="s">
        <v>229</v>
      </c>
      <c r="CI384" t="s">
        <v>131</v>
      </c>
      <c r="CJ384" t="s">
        <v>226</v>
      </c>
      <c r="CK384" t="s">
        <v>370</v>
      </c>
      <c r="CL384" t="s">
        <v>228</v>
      </c>
      <c r="CM384" t="s">
        <v>234</v>
      </c>
      <c r="CN384" t="s">
        <v>73</v>
      </c>
      <c r="CO384">
        <v>-116.4</v>
      </c>
      <c r="CP384">
        <v>42420811</v>
      </c>
      <c r="CQ384" s="73">
        <v>45370.923611111109</v>
      </c>
      <c r="CR384" t="s">
        <v>229</v>
      </c>
      <c r="CS384" t="s">
        <v>131</v>
      </c>
      <c r="CU384" t="s">
        <v>225</v>
      </c>
    </row>
    <row r="385" spans="1:99">
      <c r="A385" t="s">
        <v>133</v>
      </c>
      <c r="B385" t="s">
        <v>90</v>
      </c>
      <c r="J385" t="s">
        <v>225</v>
      </c>
      <c r="K385" t="s">
        <v>225</v>
      </c>
      <c r="M385" s="73">
        <v>45370.923611111109</v>
      </c>
      <c r="N385">
        <v>42420804</v>
      </c>
      <c r="O385">
        <v>-534.4</v>
      </c>
      <c r="P385" t="s">
        <v>73</v>
      </c>
      <c r="Q385">
        <v>-534.4</v>
      </c>
      <c r="R385" t="s">
        <v>73</v>
      </c>
      <c r="U385" t="s">
        <v>226</v>
      </c>
      <c r="V385" t="s">
        <v>370</v>
      </c>
      <c r="W385" t="s">
        <v>228</v>
      </c>
      <c r="X385" t="s">
        <v>229</v>
      </c>
      <c r="Y385" t="s">
        <v>133</v>
      </c>
      <c r="AD385" t="s">
        <v>73</v>
      </c>
      <c r="AE385">
        <v>-534.4</v>
      </c>
      <c r="AF385">
        <v>42420804</v>
      </c>
      <c r="AG385" s="73">
        <v>45370.923611111109</v>
      </c>
      <c r="AH385" t="s">
        <v>226</v>
      </c>
      <c r="AI385" t="s">
        <v>370</v>
      </c>
      <c r="AJ385" t="s">
        <v>228</v>
      </c>
      <c r="AK385" t="s">
        <v>229</v>
      </c>
      <c r="AL385" t="s">
        <v>133</v>
      </c>
      <c r="AP385" t="s">
        <v>230</v>
      </c>
      <c r="AQ385" t="s">
        <v>231</v>
      </c>
      <c r="AT385" t="s">
        <v>232</v>
      </c>
      <c r="AU385">
        <v>-99</v>
      </c>
      <c r="AV385" t="s">
        <v>73</v>
      </c>
      <c r="AW385">
        <v>-534.4</v>
      </c>
      <c r="AX385">
        <v>42420804</v>
      </c>
      <c r="AY385" s="73">
        <v>45370.923611111109</v>
      </c>
      <c r="AZ385" t="s">
        <v>226</v>
      </c>
      <c r="BA385" t="s">
        <v>370</v>
      </c>
      <c r="BB385" t="s">
        <v>228</v>
      </c>
      <c r="BC385" t="s">
        <v>229</v>
      </c>
      <c r="BD385" t="s">
        <v>133</v>
      </c>
      <c r="BI385" t="s">
        <v>233</v>
      </c>
      <c r="BJ385" t="s">
        <v>0</v>
      </c>
      <c r="BK385">
        <v>42420800</v>
      </c>
      <c r="BN385" t="s">
        <v>73</v>
      </c>
      <c r="BR385">
        <v>-534.4</v>
      </c>
      <c r="BS385">
        <v>42420804</v>
      </c>
      <c r="BT385" s="73">
        <v>45370.923611111109</v>
      </c>
      <c r="BU385" t="s">
        <v>226</v>
      </c>
      <c r="BV385" t="s">
        <v>370</v>
      </c>
      <c r="BW385" t="s">
        <v>228</v>
      </c>
      <c r="CH385" t="s">
        <v>229</v>
      </c>
      <c r="CI385" t="s">
        <v>133</v>
      </c>
      <c r="CJ385" t="s">
        <v>226</v>
      </c>
      <c r="CK385" t="s">
        <v>370</v>
      </c>
      <c r="CL385" t="s">
        <v>228</v>
      </c>
      <c r="CM385" t="s">
        <v>234</v>
      </c>
      <c r="CN385" t="s">
        <v>73</v>
      </c>
      <c r="CO385">
        <v>-534.4</v>
      </c>
      <c r="CP385">
        <v>42420804</v>
      </c>
      <c r="CQ385" s="73">
        <v>45370.923611111109</v>
      </c>
      <c r="CR385" t="s">
        <v>229</v>
      </c>
      <c r="CS385" t="s">
        <v>133</v>
      </c>
      <c r="CU385" t="s">
        <v>225</v>
      </c>
    </row>
    <row r="386" spans="1:99">
      <c r="A386" t="s">
        <v>42</v>
      </c>
      <c r="B386" t="s">
        <v>92</v>
      </c>
      <c r="J386" t="s">
        <v>225</v>
      </c>
      <c r="K386" t="s">
        <v>225</v>
      </c>
      <c r="M386" s="73">
        <v>45370.914618055554</v>
      </c>
      <c r="N386">
        <v>42418613</v>
      </c>
      <c r="O386">
        <v>-4352</v>
      </c>
      <c r="P386" t="s">
        <v>45</v>
      </c>
      <c r="Q386">
        <v>-4352</v>
      </c>
      <c r="R386" t="s">
        <v>45</v>
      </c>
      <c r="U386" t="s">
        <v>226</v>
      </c>
      <c r="V386" t="s">
        <v>371</v>
      </c>
      <c r="W386" t="s">
        <v>228</v>
      </c>
      <c r="X386" t="s">
        <v>229</v>
      </c>
      <c r="Y386" t="s">
        <v>42</v>
      </c>
      <c r="AD386" t="s">
        <v>45</v>
      </c>
      <c r="AE386">
        <v>-4352</v>
      </c>
      <c r="AF386">
        <v>42418613</v>
      </c>
      <c r="AG386" s="73">
        <v>45370.914618055554</v>
      </c>
      <c r="AH386" t="s">
        <v>226</v>
      </c>
      <c r="AI386" t="s">
        <v>371</v>
      </c>
      <c r="AJ386" t="s">
        <v>228</v>
      </c>
      <c r="AK386" t="s">
        <v>229</v>
      </c>
      <c r="AL386" t="s">
        <v>42</v>
      </c>
      <c r="AP386" t="s">
        <v>230</v>
      </c>
      <c r="AQ386" t="s">
        <v>231</v>
      </c>
      <c r="AT386" t="s">
        <v>232</v>
      </c>
      <c r="AU386">
        <v>-99</v>
      </c>
      <c r="AV386" t="s">
        <v>45</v>
      </c>
      <c r="AW386">
        <v>-4352</v>
      </c>
      <c r="AX386">
        <v>42418613</v>
      </c>
      <c r="AY386" s="73">
        <v>45370.914618055554</v>
      </c>
      <c r="AZ386" t="s">
        <v>226</v>
      </c>
      <c r="BA386" t="s">
        <v>371</v>
      </c>
      <c r="BB386" t="s">
        <v>228</v>
      </c>
      <c r="BC386" t="s">
        <v>229</v>
      </c>
      <c r="BD386" t="s">
        <v>42</v>
      </c>
      <c r="BI386" t="s">
        <v>233</v>
      </c>
      <c r="BJ386" t="s">
        <v>0</v>
      </c>
      <c r="BK386">
        <v>42418597</v>
      </c>
      <c r="BN386" t="s">
        <v>45</v>
      </c>
      <c r="BR386">
        <v>-4352</v>
      </c>
      <c r="BS386">
        <v>42418613</v>
      </c>
      <c r="BT386" s="73">
        <v>45370.914618055554</v>
      </c>
      <c r="BU386" t="s">
        <v>226</v>
      </c>
      <c r="BV386" t="s">
        <v>371</v>
      </c>
      <c r="BW386" t="s">
        <v>228</v>
      </c>
      <c r="CH386" t="s">
        <v>229</v>
      </c>
      <c r="CI386" t="s">
        <v>42</v>
      </c>
      <c r="CJ386" t="s">
        <v>226</v>
      </c>
      <c r="CK386" t="s">
        <v>371</v>
      </c>
      <c r="CL386" t="s">
        <v>228</v>
      </c>
      <c r="CM386" t="s">
        <v>234</v>
      </c>
      <c r="CN386" t="s">
        <v>45</v>
      </c>
      <c r="CO386">
        <v>-4352</v>
      </c>
      <c r="CP386">
        <v>42418613</v>
      </c>
      <c r="CQ386" s="73">
        <v>45370.914618055554</v>
      </c>
      <c r="CR386" t="s">
        <v>229</v>
      </c>
      <c r="CS386" t="s">
        <v>42</v>
      </c>
      <c r="CU386" t="s">
        <v>225</v>
      </c>
    </row>
    <row r="387" spans="1:99">
      <c r="A387" t="s">
        <v>99</v>
      </c>
      <c r="B387" t="s">
        <v>98</v>
      </c>
      <c r="J387" t="s">
        <v>225</v>
      </c>
      <c r="K387" t="s">
        <v>225</v>
      </c>
      <c r="M387" s="73">
        <v>45370.914618055554</v>
      </c>
      <c r="N387">
        <v>42418612</v>
      </c>
      <c r="O387">
        <v>-217.5</v>
      </c>
      <c r="P387" t="s">
        <v>73</v>
      </c>
      <c r="Q387">
        <v>-217.5</v>
      </c>
      <c r="R387" t="s">
        <v>73</v>
      </c>
      <c r="U387" t="s">
        <v>226</v>
      </c>
      <c r="V387" t="s">
        <v>371</v>
      </c>
      <c r="W387" t="s">
        <v>228</v>
      </c>
      <c r="X387" t="s">
        <v>229</v>
      </c>
      <c r="Y387" t="s">
        <v>99</v>
      </c>
      <c r="AD387" t="s">
        <v>73</v>
      </c>
      <c r="AE387">
        <v>-217.5</v>
      </c>
      <c r="AF387">
        <v>42418612</v>
      </c>
      <c r="AG387" s="73">
        <v>45370.914618055554</v>
      </c>
      <c r="AH387" t="s">
        <v>226</v>
      </c>
      <c r="AI387" t="s">
        <v>371</v>
      </c>
      <c r="AJ387" t="s">
        <v>228</v>
      </c>
      <c r="AK387" t="s">
        <v>229</v>
      </c>
      <c r="AL387" t="s">
        <v>99</v>
      </c>
      <c r="AP387" t="s">
        <v>230</v>
      </c>
      <c r="AQ387" t="s">
        <v>231</v>
      </c>
      <c r="AT387" t="s">
        <v>232</v>
      </c>
      <c r="AU387">
        <v>-99</v>
      </c>
      <c r="AV387" t="s">
        <v>73</v>
      </c>
      <c r="AW387">
        <v>-217.5</v>
      </c>
      <c r="AX387">
        <v>42418612</v>
      </c>
      <c r="AY387" s="73">
        <v>45370.914618055554</v>
      </c>
      <c r="AZ387" t="s">
        <v>226</v>
      </c>
      <c r="BA387" t="s">
        <v>371</v>
      </c>
      <c r="BB387" t="s">
        <v>228</v>
      </c>
      <c r="BC387" t="s">
        <v>229</v>
      </c>
      <c r="BD387" t="s">
        <v>99</v>
      </c>
      <c r="BI387" t="s">
        <v>233</v>
      </c>
      <c r="BJ387" t="s">
        <v>0</v>
      </c>
      <c r="BK387">
        <v>42418597</v>
      </c>
      <c r="BN387" t="s">
        <v>73</v>
      </c>
      <c r="BR387">
        <v>-217.5</v>
      </c>
      <c r="BS387">
        <v>42418612</v>
      </c>
      <c r="BT387" s="73">
        <v>45370.914618055554</v>
      </c>
      <c r="BU387" t="s">
        <v>226</v>
      </c>
      <c r="BV387" t="s">
        <v>371</v>
      </c>
      <c r="BW387" t="s">
        <v>228</v>
      </c>
      <c r="CH387" t="s">
        <v>229</v>
      </c>
      <c r="CI387" t="s">
        <v>99</v>
      </c>
      <c r="CJ387" t="s">
        <v>226</v>
      </c>
      <c r="CK387" t="s">
        <v>371</v>
      </c>
      <c r="CL387" t="s">
        <v>228</v>
      </c>
      <c r="CM387" t="s">
        <v>234</v>
      </c>
      <c r="CN387" t="s">
        <v>73</v>
      </c>
      <c r="CO387">
        <v>-217.5</v>
      </c>
      <c r="CP387">
        <v>42418612</v>
      </c>
      <c r="CQ387" s="73">
        <v>45370.914618055554</v>
      </c>
      <c r="CR387" t="s">
        <v>229</v>
      </c>
      <c r="CS387" t="s">
        <v>99</v>
      </c>
      <c r="CU387" t="s">
        <v>225</v>
      </c>
    </row>
    <row r="388" spans="1:99">
      <c r="A388" t="s">
        <v>103</v>
      </c>
      <c r="B388" t="s">
        <v>98</v>
      </c>
      <c r="J388" t="s">
        <v>225</v>
      </c>
      <c r="K388" t="s">
        <v>225</v>
      </c>
      <c r="M388" s="73">
        <v>45370.914618055554</v>
      </c>
      <c r="N388">
        <v>42418611</v>
      </c>
      <c r="O388">
        <v>4350</v>
      </c>
      <c r="P388" t="s">
        <v>104</v>
      </c>
      <c r="Q388">
        <v>4350</v>
      </c>
      <c r="R388" t="s">
        <v>104</v>
      </c>
      <c r="S388">
        <v>217.5</v>
      </c>
      <c r="T388" t="s">
        <v>73</v>
      </c>
      <c r="U388" t="s">
        <v>226</v>
      </c>
      <c r="V388" t="s">
        <v>371</v>
      </c>
      <c r="W388" t="s">
        <v>235</v>
      </c>
      <c r="X388" t="s">
        <v>229</v>
      </c>
      <c r="Y388" t="s">
        <v>103</v>
      </c>
      <c r="AD388" t="s">
        <v>104</v>
      </c>
      <c r="AE388">
        <v>4350</v>
      </c>
      <c r="AF388">
        <v>42418611</v>
      </c>
      <c r="AG388" s="73">
        <v>45370.914618055554</v>
      </c>
      <c r="AH388" t="s">
        <v>226</v>
      </c>
      <c r="AI388" t="s">
        <v>371</v>
      </c>
      <c r="AJ388" t="s">
        <v>235</v>
      </c>
      <c r="AK388" t="s">
        <v>229</v>
      </c>
      <c r="AL388" t="s">
        <v>103</v>
      </c>
      <c r="AP388" t="s">
        <v>230</v>
      </c>
      <c r="AQ388" t="s">
        <v>231</v>
      </c>
      <c r="AT388" t="s">
        <v>232</v>
      </c>
      <c r="AU388">
        <v>-99</v>
      </c>
      <c r="AV388" t="s">
        <v>104</v>
      </c>
      <c r="AW388">
        <v>4350</v>
      </c>
      <c r="AX388">
        <v>42418611</v>
      </c>
      <c r="AY388" s="73">
        <v>45370.914618055554</v>
      </c>
      <c r="AZ388" t="s">
        <v>226</v>
      </c>
      <c r="BA388" t="s">
        <v>371</v>
      </c>
      <c r="BB388" t="s">
        <v>235</v>
      </c>
      <c r="BC388" t="s">
        <v>229</v>
      </c>
      <c r="BD388" t="s">
        <v>103</v>
      </c>
      <c r="BI388" t="s">
        <v>233</v>
      </c>
      <c r="BJ388" t="s">
        <v>0</v>
      </c>
      <c r="BK388">
        <v>42418597</v>
      </c>
      <c r="BN388" t="s">
        <v>104</v>
      </c>
      <c r="BO388">
        <v>42418603</v>
      </c>
      <c r="BR388">
        <v>4350</v>
      </c>
      <c r="BS388">
        <v>42418611</v>
      </c>
      <c r="BT388" s="73">
        <v>45370.914618055554</v>
      </c>
      <c r="BU388" t="s">
        <v>226</v>
      </c>
      <c r="BV388" t="s">
        <v>371</v>
      </c>
      <c r="BW388" t="s">
        <v>235</v>
      </c>
      <c r="CH388" t="s">
        <v>229</v>
      </c>
      <c r="CI388" t="s">
        <v>103</v>
      </c>
      <c r="CJ388" t="s">
        <v>226</v>
      </c>
      <c r="CK388" t="s">
        <v>371</v>
      </c>
      <c r="CL388" t="s">
        <v>235</v>
      </c>
      <c r="CM388" t="s">
        <v>236</v>
      </c>
      <c r="CN388" t="s">
        <v>104</v>
      </c>
      <c r="CO388">
        <v>4350</v>
      </c>
      <c r="CP388">
        <v>42418611</v>
      </c>
      <c r="CQ388" s="73">
        <v>45370.914618055554</v>
      </c>
      <c r="CR388" t="s">
        <v>229</v>
      </c>
      <c r="CS388" t="s">
        <v>103</v>
      </c>
      <c r="CU388" t="s">
        <v>225</v>
      </c>
    </row>
    <row r="389" spans="1:99">
      <c r="A389" t="s">
        <v>111</v>
      </c>
      <c r="B389" t="s">
        <v>77</v>
      </c>
      <c r="J389" t="s">
        <v>225</v>
      </c>
      <c r="K389" t="s">
        <v>225</v>
      </c>
      <c r="M389" s="73">
        <v>45370.914618055554</v>
      </c>
      <c r="N389">
        <v>42418610</v>
      </c>
      <c r="O389">
        <v>2</v>
      </c>
      <c r="P389" t="s">
        <v>45</v>
      </c>
      <c r="Q389">
        <v>2</v>
      </c>
      <c r="R389" t="s">
        <v>45</v>
      </c>
      <c r="U389" t="s">
        <v>226</v>
      </c>
      <c r="V389" t="s">
        <v>371</v>
      </c>
      <c r="W389" t="s">
        <v>237</v>
      </c>
      <c r="X389" t="s">
        <v>229</v>
      </c>
      <c r="Y389" t="s">
        <v>111</v>
      </c>
      <c r="AD389" t="s">
        <v>45</v>
      </c>
      <c r="AE389">
        <v>2</v>
      </c>
      <c r="AF389">
        <v>42418610</v>
      </c>
      <c r="AG389" s="73">
        <v>45370.914618055554</v>
      </c>
      <c r="AH389" t="s">
        <v>226</v>
      </c>
      <c r="AI389" t="s">
        <v>371</v>
      </c>
      <c r="AJ389" t="s">
        <v>237</v>
      </c>
      <c r="AK389" t="s">
        <v>229</v>
      </c>
      <c r="AL389" t="s">
        <v>111</v>
      </c>
      <c r="AP389" t="s">
        <v>230</v>
      </c>
      <c r="AQ389" t="s">
        <v>231</v>
      </c>
      <c r="AT389" t="s">
        <v>232</v>
      </c>
      <c r="AU389">
        <v>-99</v>
      </c>
      <c r="AV389" t="s">
        <v>45</v>
      </c>
      <c r="AW389">
        <v>2</v>
      </c>
      <c r="AX389">
        <v>42418610</v>
      </c>
      <c r="AY389" s="73">
        <v>45370.914618055554</v>
      </c>
      <c r="AZ389" t="s">
        <v>226</v>
      </c>
      <c r="BA389" t="s">
        <v>371</v>
      </c>
      <c r="BB389" t="s">
        <v>237</v>
      </c>
      <c r="BC389" t="s">
        <v>229</v>
      </c>
      <c r="BD389" t="s">
        <v>111</v>
      </c>
      <c r="BI389" t="s">
        <v>233</v>
      </c>
      <c r="BJ389" t="s">
        <v>0</v>
      </c>
      <c r="BK389">
        <v>42418597</v>
      </c>
      <c r="BN389" t="s">
        <v>45</v>
      </c>
      <c r="BO389">
        <v>42418605</v>
      </c>
      <c r="BR389">
        <v>2</v>
      </c>
      <c r="BS389">
        <v>42418610</v>
      </c>
      <c r="BT389" s="73">
        <v>45370.914618055554</v>
      </c>
      <c r="BU389" t="s">
        <v>226</v>
      </c>
      <c r="BV389" t="s">
        <v>371</v>
      </c>
      <c r="BW389" t="s">
        <v>237</v>
      </c>
      <c r="CH389" t="s">
        <v>229</v>
      </c>
      <c r="CI389" t="s">
        <v>111</v>
      </c>
      <c r="CJ389" t="s">
        <v>226</v>
      </c>
      <c r="CK389" t="s">
        <v>371</v>
      </c>
      <c r="CL389" t="s">
        <v>237</v>
      </c>
      <c r="CM389" t="s">
        <v>236</v>
      </c>
      <c r="CN389" t="s">
        <v>45</v>
      </c>
      <c r="CO389">
        <v>2</v>
      </c>
      <c r="CP389">
        <v>42418610</v>
      </c>
      <c r="CQ389" s="73">
        <v>45370.914618055554</v>
      </c>
      <c r="CR389" t="s">
        <v>229</v>
      </c>
      <c r="CS389" t="s">
        <v>111</v>
      </c>
      <c r="CU389" t="s">
        <v>225</v>
      </c>
    </row>
    <row r="390" spans="1:99">
      <c r="A390" t="s">
        <v>42</v>
      </c>
      <c r="B390" t="s">
        <v>92</v>
      </c>
      <c r="J390" t="s">
        <v>225</v>
      </c>
      <c r="K390" t="s">
        <v>225</v>
      </c>
      <c r="M390" s="73">
        <v>45370.912326388891</v>
      </c>
      <c r="N390">
        <v>42418576</v>
      </c>
      <c r="O390">
        <v>-4252</v>
      </c>
      <c r="P390" t="s">
        <v>45</v>
      </c>
      <c r="Q390">
        <v>-4252</v>
      </c>
      <c r="R390" t="s">
        <v>45</v>
      </c>
      <c r="U390" t="s">
        <v>226</v>
      </c>
      <c r="V390" t="s">
        <v>372</v>
      </c>
      <c r="W390" t="s">
        <v>228</v>
      </c>
      <c r="X390" t="s">
        <v>229</v>
      </c>
      <c r="Y390" t="s">
        <v>42</v>
      </c>
      <c r="AD390" t="s">
        <v>45</v>
      </c>
      <c r="AE390">
        <v>-4252</v>
      </c>
      <c r="AF390">
        <v>42418576</v>
      </c>
      <c r="AG390" s="73">
        <v>45370.912326388891</v>
      </c>
      <c r="AH390" t="s">
        <v>226</v>
      </c>
      <c r="AI390" t="s">
        <v>372</v>
      </c>
      <c r="AJ390" t="s">
        <v>228</v>
      </c>
      <c r="AK390" t="s">
        <v>229</v>
      </c>
      <c r="AL390" t="s">
        <v>42</v>
      </c>
      <c r="AP390" t="s">
        <v>230</v>
      </c>
      <c r="AQ390" t="s">
        <v>231</v>
      </c>
      <c r="AT390" t="s">
        <v>232</v>
      </c>
      <c r="AU390">
        <v>-99</v>
      </c>
      <c r="AV390" t="s">
        <v>45</v>
      </c>
      <c r="AW390">
        <v>-4252</v>
      </c>
      <c r="AX390">
        <v>42418576</v>
      </c>
      <c r="AY390" s="73">
        <v>45370.912326388891</v>
      </c>
      <c r="AZ390" t="s">
        <v>226</v>
      </c>
      <c r="BA390" t="s">
        <v>372</v>
      </c>
      <c r="BB390" t="s">
        <v>228</v>
      </c>
      <c r="BC390" t="s">
        <v>229</v>
      </c>
      <c r="BD390" t="s">
        <v>42</v>
      </c>
      <c r="BI390" t="s">
        <v>233</v>
      </c>
      <c r="BJ390" t="s">
        <v>0</v>
      </c>
      <c r="BK390">
        <v>42418557</v>
      </c>
      <c r="BN390" t="s">
        <v>45</v>
      </c>
      <c r="BR390">
        <v>-4252</v>
      </c>
      <c r="BS390">
        <v>42418576</v>
      </c>
      <c r="BT390" s="73">
        <v>45370.912326388891</v>
      </c>
      <c r="BU390" t="s">
        <v>226</v>
      </c>
      <c r="BV390" t="s">
        <v>372</v>
      </c>
      <c r="BW390" t="s">
        <v>228</v>
      </c>
      <c r="CH390" t="s">
        <v>229</v>
      </c>
      <c r="CI390" t="s">
        <v>42</v>
      </c>
      <c r="CJ390" t="s">
        <v>226</v>
      </c>
      <c r="CK390" t="s">
        <v>372</v>
      </c>
      <c r="CL390" t="s">
        <v>228</v>
      </c>
      <c r="CM390" t="s">
        <v>234</v>
      </c>
      <c r="CN390" t="s">
        <v>45</v>
      </c>
      <c r="CO390">
        <v>-4252</v>
      </c>
      <c r="CP390">
        <v>42418576</v>
      </c>
      <c r="CQ390" s="73">
        <v>45370.912326388891</v>
      </c>
      <c r="CR390" t="s">
        <v>229</v>
      </c>
      <c r="CS390" t="s">
        <v>42</v>
      </c>
      <c r="CU390" t="s">
        <v>225</v>
      </c>
    </row>
    <row r="391" spans="1:99">
      <c r="A391" t="s">
        <v>99</v>
      </c>
      <c r="B391" t="s">
        <v>98</v>
      </c>
      <c r="J391" t="s">
        <v>225</v>
      </c>
      <c r="K391" t="s">
        <v>225</v>
      </c>
      <c r="M391" s="73">
        <v>45370.912326388891</v>
      </c>
      <c r="N391">
        <v>42418575</v>
      </c>
      <c r="O391">
        <v>-212.5</v>
      </c>
      <c r="P391" t="s">
        <v>73</v>
      </c>
      <c r="Q391">
        <v>-212.5</v>
      </c>
      <c r="R391" t="s">
        <v>73</v>
      </c>
      <c r="U391" t="s">
        <v>226</v>
      </c>
      <c r="V391" t="s">
        <v>372</v>
      </c>
      <c r="W391" t="s">
        <v>228</v>
      </c>
      <c r="X391" t="s">
        <v>229</v>
      </c>
      <c r="Y391" t="s">
        <v>99</v>
      </c>
      <c r="AD391" t="s">
        <v>73</v>
      </c>
      <c r="AE391">
        <v>-212.5</v>
      </c>
      <c r="AF391">
        <v>42418575</v>
      </c>
      <c r="AG391" s="73">
        <v>45370.912326388891</v>
      </c>
      <c r="AH391" t="s">
        <v>226</v>
      </c>
      <c r="AI391" t="s">
        <v>372</v>
      </c>
      <c r="AJ391" t="s">
        <v>228</v>
      </c>
      <c r="AK391" t="s">
        <v>229</v>
      </c>
      <c r="AL391" t="s">
        <v>99</v>
      </c>
      <c r="AP391" t="s">
        <v>230</v>
      </c>
      <c r="AQ391" t="s">
        <v>231</v>
      </c>
      <c r="AT391" t="s">
        <v>232</v>
      </c>
      <c r="AU391">
        <v>-99</v>
      </c>
      <c r="AV391" t="s">
        <v>73</v>
      </c>
      <c r="AW391">
        <v>-212.5</v>
      </c>
      <c r="AX391">
        <v>42418575</v>
      </c>
      <c r="AY391" s="73">
        <v>45370.912326388891</v>
      </c>
      <c r="AZ391" t="s">
        <v>226</v>
      </c>
      <c r="BA391" t="s">
        <v>372</v>
      </c>
      <c r="BB391" t="s">
        <v>228</v>
      </c>
      <c r="BC391" t="s">
        <v>229</v>
      </c>
      <c r="BD391" t="s">
        <v>99</v>
      </c>
      <c r="BI391" t="s">
        <v>233</v>
      </c>
      <c r="BJ391" t="s">
        <v>0</v>
      </c>
      <c r="BK391">
        <v>42418557</v>
      </c>
      <c r="BN391" t="s">
        <v>73</v>
      </c>
      <c r="BR391">
        <v>-212.5</v>
      </c>
      <c r="BS391">
        <v>42418575</v>
      </c>
      <c r="BT391" s="73">
        <v>45370.912326388891</v>
      </c>
      <c r="BU391" t="s">
        <v>226</v>
      </c>
      <c r="BV391" t="s">
        <v>372</v>
      </c>
      <c r="BW391" t="s">
        <v>228</v>
      </c>
      <c r="CH391" t="s">
        <v>229</v>
      </c>
      <c r="CI391" t="s">
        <v>99</v>
      </c>
      <c r="CJ391" t="s">
        <v>226</v>
      </c>
      <c r="CK391" t="s">
        <v>372</v>
      </c>
      <c r="CL391" t="s">
        <v>228</v>
      </c>
      <c r="CM391" t="s">
        <v>234</v>
      </c>
      <c r="CN391" t="s">
        <v>73</v>
      </c>
      <c r="CO391">
        <v>-212.5</v>
      </c>
      <c r="CP391">
        <v>42418575</v>
      </c>
      <c r="CQ391" s="73">
        <v>45370.912326388891</v>
      </c>
      <c r="CR391" t="s">
        <v>229</v>
      </c>
      <c r="CS391" t="s">
        <v>99</v>
      </c>
      <c r="CU391" t="s">
        <v>225</v>
      </c>
    </row>
    <row r="392" spans="1:99">
      <c r="A392" t="s">
        <v>103</v>
      </c>
      <c r="B392" t="s">
        <v>98</v>
      </c>
      <c r="J392" t="s">
        <v>225</v>
      </c>
      <c r="K392" t="s">
        <v>225</v>
      </c>
      <c r="M392" s="73">
        <v>45370.912326388891</v>
      </c>
      <c r="N392">
        <v>42418574</v>
      </c>
      <c r="O392">
        <v>4250</v>
      </c>
      <c r="P392" t="s">
        <v>104</v>
      </c>
      <c r="Q392">
        <v>4250</v>
      </c>
      <c r="R392" t="s">
        <v>104</v>
      </c>
      <c r="S392">
        <v>212.5</v>
      </c>
      <c r="T392" t="s">
        <v>73</v>
      </c>
      <c r="U392" t="s">
        <v>226</v>
      </c>
      <c r="V392" t="s">
        <v>372</v>
      </c>
      <c r="W392" t="s">
        <v>235</v>
      </c>
      <c r="X392" t="s">
        <v>229</v>
      </c>
      <c r="Y392" t="s">
        <v>103</v>
      </c>
      <c r="AD392" t="s">
        <v>104</v>
      </c>
      <c r="AE392">
        <v>4250</v>
      </c>
      <c r="AF392">
        <v>42418574</v>
      </c>
      <c r="AG392" s="73">
        <v>45370.912326388891</v>
      </c>
      <c r="AH392" t="s">
        <v>226</v>
      </c>
      <c r="AI392" t="s">
        <v>372</v>
      </c>
      <c r="AJ392" t="s">
        <v>235</v>
      </c>
      <c r="AK392" t="s">
        <v>229</v>
      </c>
      <c r="AL392" t="s">
        <v>103</v>
      </c>
      <c r="AP392" t="s">
        <v>230</v>
      </c>
      <c r="AQ392" t="s">
        <v>231</v>
      </c>
      <c r="AT392" t="s">
        <v>232</v>
      </c>
      <c r="AU392">
        <v>-99</v>
      </c>
      <c r="AV392" t="s">
        <v>104</v>
      </c>
      <c r="AW392">
        <v>4250</v>
      </c>
      <c r="AX392">
        <v>42418574</v>
      </c>
      <c r="AY392" s="73">
        <v>45370.912326388891</v>
      </c>
      <c r="AZ392" t="s">
        <v>226</v>
      </c>
      <c r="BA392" t="s">
        <v>372</v>
      </c>
      <c r="BB392" t="s">
        <v>235</v>
      </c>
      <c r="BC392" t="s">
        <v>229</v>
      </c>
      <c r="BD392" t="s">
        <v>103</v>
      </c>
      <c r="BI392" t="s">
        <v>233</v>
      </c>
      <c r="BJ392" t="s">
        <v>0</v>
      </c>
      <c r="BK392">
        <v>42418557</v>
      </c>
      <c r="BN392" t="s">
        <v>104</v>
      </c>
      <c r="BO392">
        <v>42418563</v>
      </c>
      <c r="BR392">
        <v>4250</v>
      </c>
      <c r="BS392">
        <v>42418574</v>
      </c>
      <c r="BT392" s="73">
        <v>45370.912326388891</v>
      </c>
      <c r="BU392" t="s">
        <v>226</v>
      </c>
      <c r="BV392" t="s">
        <v>372</v>
      </c>
      <c r="BW392" t="s">
        <v>235</v>
      </c>
      <c r="CH392" t="s">
        <v>229</v>
      </c>
      <c r="CI392" t="s">
        <v>103</v>
      </c>
      <c r="CJ392" t="s">
        <v>226</v>
      </c>
      <c r="CK392" t="s">
        <v>372</v>
      </c>
      <c r="CL392" t="s">
        <v>235</v>
      </c>
      <c r="CM392" t="s">
        <v>236</v>
      </c>
      <c r="CN392" t="s">
        <v>104</v>
      </c>
      <c r="CO392">
        <v>4250</v>
      </c>
      <c r="CP392">
        <v>42418574</v>
      </c>
      <c r="CQ392" s="73">
        <v>45370.912326388891</v>
      </c>
      <c r="CR392" t="s">
        <v>229</v>
      </c>
      <c r="CS392" t="s">
        <v>103</v>
      </c>
      <c r="CU392" t="s">
        <v>225</v>
      </c>
    </row>
    <row r="393" spans="1:99">
      <c r="A393" t="s">
        <v>111</v>
      </c>
      <c r="B393" t="s">
        <v>77</v>
      </c>
      <c r="J393" t="s">
        <v>225</v>
      </c>
      <c r="K393" t="s">
        <v>225</v>
      </c>
      <c r="M393" s="73">
        <v>45370.912326388891</v>
      </c>
      <c r="N393">
        <v>42418573</v>
      </c>
      <c r="O393">
        <v>2</v>
      </c>
      <c r="P393" t="s">
        <v>45</v>
      </c>
      <c r="Q393">
        <v>2</v>
      </c>
      <c r="R393" t="s">
        <v>45</v>
      </c>
      <c r="U393" t="s">
        <v>226</v>
      </c>
      <c r="V393" t="s">
        <v>372</v>
      </c>
      <c r="W393" t="s">
        <v>237</v>
      </c>
      <c r="X393" t="s">
        <v>229</v>
      </c>
      <c r="Y393" t="s">
        <v>111</v>
      </c>
      <c r="AD393" t="s">
        <v>45</v>
      </c>
      <c r="AE393">
        <v>2</v>
      </c>
      <c r="AF393">
        <v>42418573</v>
      </c>
      <c r="AG393" s="73">
        <v>45370.912326388891</v>
      </c>
      <c r="AH393" t="s">
        <v>226</v>
      </c>
      <c r="AI393" t="s">
        <v>372</v>
      </c>
      <c r="AJ393" t="s">
        <v>237</v>
      </c>
      <c r="AK393" t="s">
        <v>229</v>
      </c>
      <c r="AL393" t="s">
        <v>111</v>
      </c>
      <c r="AP393" t="s">
        <v>230</v>
      </c>
      <c r="AQ393" t="s">
        <v>231</v>
      </c>
      <c r="AT393" t="s">
        <v>232</v>
      </c>
      <c r="AU393">
        <v>-99</v>
      </c>
      <c r="AV393" t="s">
        <v>45</v>
      </c>
      <c r="AW393">
        <v>2</v>
      </c>
      <c r="AX393">
        <v>42418573</v>
      </c>
      <c r="AY393" s="73">
        <v>45370.912326388891</v>
      </c>
      <c r="AZ393" t="s">
        <v>226</v>
      </c>
      <c r="BA393" t="s">
        <v>372</v>
      </c>
      <c r="BB393" t="s">
        <v>237</v>
      </c>
      <c r="BC393" t="s">
        <v>229</v>
      </c>
      <c r="BD393" t="s">
        <v>111</v>
      </c>
      <c r="BI393" t="s">
        <v>233</v>
      </c>
      <c r="BJ393" t="s">
        <v>0</v>
      </c>
      <c r="BK393">
        <v>42418557</v>
      </c>
      <c r="BN393" t="s">
        <v>45</v>
      </c>
      <c r="BO393">
        <v>42418568</v>
      </c>
      <c r="BR393">
        <v>2</v>
      </c>
      <c r="BS393">
        <v>42418573</v>
      </c>
      <c r="BT393" s="73">
        <v>45370.912326388891</v>
      </c>
      <c r="BU393" t="s">
        <v>226</v>
      </c>
      <c r="BV393" t="s">
        <v>372</v>
      </c>
      <c r="BW393" t="s">
        <v>237</v>
      </c>
      <c r="CH393" t="s">
        <v>229</v>
      </c>
      <c r="CI393" t="s">
        <v>111</v>
      </c>
      <c r="CJ393" t="s">
        <v>226</v>
      </c>
      <c r="CK393" t="s">
        <v>372</v>
      </c>
      <c r="CL393" t="s">
        <v>237</v>
      </c>
      <c r="CM393" t="s">
        <v>236</v>
      </c>
      <c r="CN393" t="s">
        <v>45</v>
      </c>
      <c r="CO393">
        <v>2</v>
      </c>
      <c r="CP393">
        <v>42418573</v>
      </c>
      <c r="CQ393" s="73">
        <v>45370.912326388891</v>
      </c>
      <c r="CR393" t="s">
        <v>229</v>
      </c>
      <c r="CS393" t="s">
        <v>111</v>
      </c>
      <c r="CU393" t="s">
        <v>225</v>
      </c>
    </row>
    <row r="394" spans="1:99">
      <c r="A394" t="s">
        <v>48</v>
      </c>
      <c r="B394" t="s">
        <v>92</v>
      </c>
      <c r="J394" t="s">
        <v>225</v>
      </c>
      <c r="K394" t="s">
        <v>225</v>
      </c>
      <c r="M394" s="73">
        <v>45370.903553240743</v>
      </c>
      <c r="N394">
        <v>42418477</v>
      </c>
      <c r="O394">
        <v>-600</v>
      </c>
      <c r="P394" t="s">
        <v>45</v>
      </c>
      <c r="Q394">
        <v>-600</v>
      </c>
      <c r="R394" t="s">
        <v>45</v>
      </c>
      <c r="U394" t="s">
        <v>226</v>
      </c>
      <c r="V394" t="s">
        <v>373</v>
      </c>
      <c r="W394" t="s">
        <v>228</v>
      </c>
      <c r="X394" t="s">
        <v>229</v>
      </c>
      <c r="Y394" t="s">
        <v>48</v>
      </c>
      <c r="AD394" t="s">
        <v>45</v>
      </c>
      <c r="AE394">
        <v>-600</v>
      </c>
      <c r="AF394">
        <v>42418477</v>
      </c>
      <c r="AG394" s="73">
        <v>45370.903553240743</v>
      </c>
      <c r="AH394" t="s">
        <v>226</v>
      </c>
      <c r="AI394" t="s">
        <v>373</v>
      </c>
      <c r="AJ394" t="s">
        <v>228</v>
      </c>
      <c r="AK394" t="s">
        <v>229</v>
      </c>
      <c r="AL394" t="s">
        <v>48</v>
      </c>
      <c r="AP394" t="s">
        <v>230</v>
      </c>
      <c r="AQ394" t="s">
        <v>231</v>
      </c>
      <c r="AT394" t="s">
        <v>232</v>
      </c>
      <c r="AU394">
        <v>-99</v>
      </c>
      <c r="AV394" t="s">
        <v>45</v>
      </c>
      <c r="AW394">
        <v>-600</v>
      </c>
      <c r="AX394">
        <v>42418477</v>
      </c>
      <c r="AY394" s="73">
        <v>45370.903553240743</v>
      </c>
      <c r="AZ394" t="s">
        <v>226</v>
      </c>
      <c r="BA394" t="s">
        <v>373</v>
      </c>
      <c r="BB394" t="s">
        <v>228</v>
      </c>
      <c r="BC394" t="s">
        <v>229</v>
      </c>
      <c r="BD394" t="s">
        <v>48</v>
      </c>
      <c r="BI394" t="s">
        <v>233</v>
      </c>
      <c r="BJ394" t="s">
        <v>0</v>
      </c>
      <c r="BK394">
        <v>42418464</v>
      </c>
      <c r="BN394" t="s">
        <v>45</v>
      </c>
      <c r="BR394">
        <v>-600</v>
      </c>
      <c r="BS394">
        <v>42418477</v>
      </c>
      <c r="BT394" s="73">
        <v>45370.903553240743</v>
      </c>
      <c r="BU394" t="s">
        <v>226</v>
      </c>
      <c r="BV394" t="s">
        <v>373</v>
      </c>
      <c r="BW394" t="s">
        <v>228</v>
      </c>
      <c r="CH394" t="s">
        <v>229</v>
      </c>
      <c r="CI394" t="s">
        <v>48</v>
      </c>
      <c r="CJ394" t="s">
        <v>226</v>
      </c>
      <c r="CK394" t="s">
        <v>373</v>
      </c>
      <c r="CL394" t="s">
        <v>228</v>
      </c>
      <c r="CM394" t="s">
        <v>234</v>
      </c>
      <c r="CN394" t="s">
        <v>45</v>
      </c>
      <c r="CO394">
        <v>-600</v>
      </c>
      <c r="CP394">
        <v>42418477</v>
      </c>
      <c r="CQ394" s="73">
        <v>45370.903553240743</v>
      </c>
      <c r="CR394" t="s">
        <v>229</v>
      </c>
      <c r="CS394" t="s">
        <v>48</v>
      </c>
      <c r="CU394" t="s">
        <v>225</v>
      </c>
    </row>
    <row r="395" spans="1:99">
      <c r="A395" t="s">
        <v>93</v>
      </c>
      <c r="B395" t="s">
        <v>98</v>
      </c>
      <c r="J395" t="s">
        <v>225</v>
      </c>
      <c r="K395" t="s">
        <v>225</v>
      </c>
      <c r="M395" s="73">
        <v>45370.903553240743</v>
      </c>
      <c r="N395">
        <v>42418476</v>
      </c>
      <c r="O395">
        <v>-30</v>
      </c>
      <c r="P395" t="s">
        <v>73</v>
      </c>
      <c r="Q395">
        <v>-30</v>
      </c>
      <c r="R395" t="s">
        <v>73</v>
      </c>
      <c r="U395" t="s">
        <v>226</v>
      </c>
      <c r="V395" t="s">
        <v>373</v>
      </c>
      <c r="W395" t="s">
        <v>228</v>
      </c>
      <c r="X395" t="s">
        <v>229</v>
      </c>
      <c r="Y395" t="s">
        <v>93</v>
      </c>
      <c r="AD395" t="s">
        <v>73</v>
      </c>
      <c r="AE395">
        <v>-30</v>
      </c>
      <c r="AF395">
        <v>42418476</v>
      </c>
      <c r="AG395" s="73">
        <v>45370.903553240743</v>
      </c>
      <c r="AH395" t="s">
        <v>226</v>
      </c>
      <c r="AI395" t="s">
        <v>373</v>
      </c>
      <c r="AJ395" t="s">
        <v>228</v>
      </c>
      <c r="AK395" t="s">
        <v>229</v>
      </c>
      <c r="AL395" t="s">
        <v>93</v>
      </c>
      <c r="AP395" t="s">
        <v>230</v>
      </c>
      <c r="AQ395" t="s">
        <v>231</v>
      </c>
      <c r="AT395" t="s">
        <v>232</v>
      </c>
      <c r="AU395">
        <v>-99</v>
      </c>
      <c r="AV395" t="s">
        <v>73</v>
      </c>
      <c r="AW395">
        <v>-30</v>
      </c>
      <c r="AX395">
        <v>42418476</v>
      </c>
      <c r="AY395" s="73">
        <v>45370.903553240743</v>
      </c>
      <c r="AZ395" t="s">
        <v>226</v>
      </c>
      <c r="BA395" t="s">
        <v>373</v>
      </c>
      <c r="BB395" t="s">
        <v>228</v>
      </c>
      <c r="BC395" t="s">
        <v>229</v>
      </c>
      <c r="BD395" t="s">
        <v>93</v>
      </c>
      <c r="BI395" t="s">
        <v>233</v>
      </c>
      <c r="BJ395" t="s">
        <v>0</v>
      </c>
      <c r="BK395">
        <v>42418464</v>
      </c>
      <c r="BN395" t="s">
        <v>73</v>
      </c>
      <c r="BR395">
        <v>-30</v>
      </c>
      <c r="BS395">
        <v>42418476</v>
      </c>
      <c r="BT395" s="73">
        <v>45370.903553240743</v>
      </c>
      <c r="BU395" t="s">
        <v>226</v>
      </c>
      <c r="BV395" t="s">
        <v>373</v>
      </c>
      <c r="BW395" t="s">
        <v>228</v>
      </c>
      <c r="CH395" t="s">
        <v>229</v>
      </c>
      <c r="CI395" t="s">
        <v>93</v>
      </c>
      <c r="CJ395" t="s">
        <v>226</v>
      </c>
      <c r="CK395" t="s">
        <v>373</v>
      </c>
      <c r="CL395" t="s">
        <v>228</v>
      </c>
      <c r="CM395" t="s">
        <v>234</v>
      </c>
      <c r="CN395" t="s">
        <v>73</v>
      </c>
      <c r="CO395">
        <v>-30</v>
      </c>
      <c r="CP395">
        <v>42418476</v>
      </c>
      <c r="CQ395" s="73">
        <v>45370.903553240743</v>
      </c>
      <c r="CR395" t="s">
        <v>229</v>
      </c>
      <c r="CS395" t="s">
        <v>93</v>
      </c>
      <c r="CU395" t="s">
        <v>225</v>
      </c>
    </row>
    <row r="396" spans="1:99">
      <c r="A396" t="s">
        <v>109</v>
      </c>
      <c r="B396" t="s">
        <v>98</v>
      </c>
      <c r="J396" t="s">
        <v>225</v>
      </c>
      <c r="K396" t="s">
        <v>225</v>
      </c>
      <c r="M396" s="73">
        <v>45370.903553240743</v>
      </c>
      <c r="N396">
        <v>42418475</v>
      </c>
      <c r="O396">
        <v>600</v>
      </c>
      <c r="P396" t="s">
        <v>104</v>
      </c>
      <c r="Q396">
        <v>600</v>
      </c>
      <c r="R396" t="s">
        <v>104</v>
      </c>
      <c r="S396">
        <v>30</v>
      </c>
      <c r="T396" t="s">
        <v>73</v>
      </c>
      <c r="U396" t="s">
        <v>226</v>
      </c>
      <c r="V396" t="s">
        <v>373</v>
      </c>
      <c r="W396" t="s">
        <v>235</v>
      </c>
      <c r="X396" t="s">
        <v>229</v>
      </c>
      <c r="Y396" t="s">
        <v>109</v>
      </c>
      <c r="AD396" t="s">
        <v>104</v>
      </c>
      <c r="AE396">
        <v>600</v>
      </c>
      <c r="AF396">
        <v>42418475</v>
      </c>
      <c r="AG396" s="73">
        <v>45370.903553240743</v>
      </c>
      <c r="AH396" t="s">
        <v>226</v>
      </c>
      <c r="AI396" t="s">
        <v>373</v>
      </c>
      <c r="AJ396" t="s">
        <v>235</v>
      </c>
      <c r="AK396" t="s">
        <v>229</v>
      </c>
      <c r="AL396" t="s">
        <v>109</v>
      </c>
      <c r="AP396" t="s">
        <v>230</v>
      </c>
      <c r="AQ396" t="s">
        <v>231</v>
      </c>
      <c r="AT396" t="s">
        <v>232</v>
      </c>
      <c r="AU396">
        <v>-99</v>
      </c>
      <c r="AV396" t="s">
        <v>104</v>
      </c>
      <c r="AW396">
        <v>600</v>
      </c>
      <c r="AX396">
        <v>42418475</v>
      </c>
      <c r="AY396" s="73">
        <v>45370.903553240743</v>
      </c>
      <c r="AZ396" t="s">
        <v>226</v>
      </c>
      <c r="BA396" t="s">
        <v>373</v>
      </c>
      <c r="BB396" t="s">
        <v>235</v>
      </c>
      <c r="BC396" t="s">
        <v>229</v>
      </c>
      <c r="BD396" t="s">
        <v>109</v>
      </c>
      <c r="BI396" t="s">
        <v>233</v>
      </c>
      <c r="BJ396" t="s">
        <v>0</v>
      </c>
      <c r="BK396">
        <v>42418464</v>
      </c>
      <c r="BN396" t="s">
        <v>104</v>
      </c>
      <c r="BO396">
        <v>42418471</v>
      </c>
      <c r="BR396">
        <v>600</v>
      </c>
      <c r="BS396">
        <v>42418475</v>
      </c>
      <c r="BT396" s="73">
        <v>45370.903553240743</v>
      </c>
      <c r="BU396" t="s">
        <v>226</v>
      </c>
      <c r="BV396" t="s">
        <v>373</v>
      </c>
      <c r="BW396" t="s">
        <v>235</v>
      </c>
      <c r="CH396" t="s">
        <v>229</v>
      </c>
      <c r="CI396" t="s">
        <v>109</v>
      </c>
      <c r="CJ396" t="s">
        <v>226</v>
      </c>
      <c r="CK396" t="s">
        <v>373</v>
      </c>
      <c r="CL396" t="s">
        <v>235</v>
      </c>
      <c r="CM396" t="s">
        <v>236</v>
      </c>
      <c r="CN396" t="s">
        <v>104</v>
      </c>
      <c r="CO396">
        <v>600</v>
      </c>
      <c r="CP396">
        <v>42418475</v>
      </c>
      <c r="CQ396" s="73">
        <v>45370.903553240743</v>
      </c>
      <c r="CR396" t="s">
        <v>229</v>
      </c>
      <c r="CS396" t="s">
        <v>109</v>
      </c>
      <c r="CU396" t="s">
        <v>225</v>
      </c>
    </row>
    <row r="397" spans="1:99">
      <c r="A397" t="s">
        <v>46</v>
      </c>
      <c r="B397" t="s">
        <v>92</v>
      </c>
      <c r="J397" t="s">
        <v>225</v>
      </c>
      <c r="K397" t="s">
        <v>225</v>
      </c>
      <c r="M397" s="73">
        <v>45370.902106481481</v>
      </c>
      <c r="N397">
        <v>42418426</v>
      </c>
      <c r="O397">
        <v>-100</v>
      </c>
      <c r="P397" t="s">
        <v>45</v>
      </c>
      <c r="Q397">
        <v>-100</v>
      </c>
      <c r="R397" t="s">
        <v>45</v>
      </c>
      <c r="U397" t="s">
        <v>226</v>
      </c>
      <c r="V397" t="s">
        <v>374</v>
      </c>
      <c r="W397" t="s">
        <v>228</v>
      </c>
      <c r="X397" t="s">
        <v>229</v>
      </c>
      <c r="Y397" t="s">
        <v>46</v>
      </c>
      <c r="AD397" t="s">
        <v>45</v>
      </c>
      <c r="AE397">
        <v>-100</v>
      </c>
      <c r="AF397">
        <v>42418426</v>
      </c>
      <c r="AG397" s="73">
        <v>45370.902106481481</v>
      </c>
      <c r="AH397" t="s">
        <v>226</v>
      </c>
      <c r="AI397" t="s">
        <v>374</v>
      </c>
      <c r="AJ397" t="s">
        <v>228</v>
      </c>
      <c r="AK397" t="s">
        <v>229</v>
      </c>
      <c r="AL397" t="s">
        <v>46</v>
      </c>
      <c r="AP397" t="s">
        <v>230</v>
      </c>
      <c r="AQ397" t="s">
        <v>231</v>
      </c>
      <c r="AT397" t="s">
        <v>232</v>
      </c>
      <c r="AU397">
        <v>-99</v>
      </c>
      <c r="AV397" t="s">
        <v>45</v>
      </c>
      <c r="AW397">
        <v>-100</v>
      </c>
      <c r="AX397">
        <v>42418426</v>
      </c>
      <c r="AY397" s="73">
        <v>45370.902106481481</v>
      </c>
      <c r="AZ397" t="s">
        <v>226</v>
      </c>
      <c r="BA397" t="s">
        <v>374</v>
      </c>
      <c r="BB397" t="s">
        <v>228</v>
      </c>
      <c r="BC397" t="s">
        <v>229</v>
      </c>
      <c r="BD397" t="s">
        <v>46</v>
      </c>
      <c r="BI397" t="s">
        <v>233</v>
      </c>
      <c r="BJ397" t="s">
        <v>0</v>
      </c>
      <c r="BK397">
        <v>42418414</v>
      </c>
      <c r="BN397" t="s">
        <v>45</v>
      </c>
      <c r="BR397">
        <v>-100</v>
      </c>
      <c r="BS397">
        <v>42418426</v>
      </c>
      <c r="BT397" s="73">
        <v>45370.902106481481</v>
      </c>
      <c r="BU397" t="s">
        <v>226</v>
      </c>
      <c r="BV397" t="s">
        <v>374</v>
      </c>
      <c r="BW397" t="s">
        <v>228</v>
      </c>
      <c r="CH397" t="s">
        <v>229</v>
      </c>
      <c r="CI397" t="s">
        <v>46</v>
      </c>
      <c r="CJ397" t="s">
        <v>226</v>
      </c>
      <c r="CK397" t="s">
        <v>374</v>
      </c>
      <c r="CL397" t="s">
        <v>228</v>
      </c>
      <c r="CM397" t="s">
        <v>234</v>
      </c>
      <c r="CN397" t="s">
        <v>45</v>
      </c>
      <c r="CO397">
        <v>-100</v>
      </c>
      <c r="CP397">
        <v>42418426</v>
      </c>
      <c r="CQ397" s="73">
        <v>45370.902106481481</v>
      </c>
      <c r="CR397" t="s">
        <v>229</v>
      </c>
      <c r="CS397" t="s">
        <v>46</v>
      </c>
      <c r="CU397" t="s">
        <v>225</v>
      </c>
    </row>
    <row r="398" spans="1:99">
      <c r="A398" t="s">
        <v>93</v>
      </c>
      <c r="B398" t="s">
        <v>98</v>
      </c>
      <c r="J398" t="s">
        <v>225</v>
      </c>
      <c r="K398" t="s">
        <v>225</v>
      </c>
      <c r="M398" s="73">
        <v>45370.902106481481</v>
      </c>
      <c r="N398">
        <v>42418425</v>
      </c>
      <c r="O398">
        <v>-5</v>
      </c>
      <c r="P398" t="s">
        <v>73</v>
      </c>
      <c r="Q398">
        <v>-5</v>
      </c>
      <c r="R398" t="s">
        <v>73</v>
      </c>
      <c r="U398" t="s">
        <v>226</v>
      </c>
      <c r="V398" t="s">
        <v>374</v>
      </c>
      <c r="W398" t="s">
        <v>228</v>
      </c>
      <c r="X398" t="s">
        <v>229</v>
      </c>
      <c r="Y398" t="s">
        <v>93</v>
      </c>
      <c r="AD398" t="s">
        <v>73</v>
      </c>
      <c r="AE398">
        <v>-5</v>
      </c>
      <c r="AF398">
        <v>42418425</v>
      </c>
      <c r="AG398" s="73">
        <v>45370.902106481481</v>
      </c>
      <c r="AH398" t="s">
        <v>226</v>
      </c>
      <c r="AI398" t="s">
        <v>374</v>
      </c>
      <c r="AJ398" t="s">
        <v>228</v>
      </c>
      <c r="AK398" t="s">
        <v>229</v>
      </c>
      <c r="AL398" t="s">
        <v>93</v>
      </c>
      <c r="AP398" t="s">
        <v>230</v>
      </c>
      <c r="AQ398" t="s">
        <v>231</v>
      </c>
      <c r="AT398" t="s">
        <v>232</v>
      </c>
      <c r="AU398">
        <v>-99</v>
      </c>
      <c r="AV398" t="s">
        <v>73</v>
      </c>
      <c r="AW398">
        <v>-5</v>
      </c>
      <c r="AX398">
        <v>42418425</v>
      </c>
      <c r="AY398" s="73">
        <v>45370.902106481481</v>
      </c>
      <c r="AZ398" t="s">
        <v>226</v>
      </c>
      <c r="BA398" t="s">
        <v>374</v>
      </c>
      <c r="BB398" t="s">
        <v>228</v>
      </c>
      <c r="BC398" t="s">
        <v>229</v>
      </c>
      <c r="BD398" t="s">
        <v>93</v>
      </c>
      <c r="BI398" t="s">
        <v>233</v>
      </c>
      <c r="BJ398" t="s">
        <v>0</v>
      </c>
      <c r="BK398">
        <v>42418414</v>
      </c>
      <c r="BN398" t="s">
        <v>73</v>
      </c>
      <c r="BR398">
        <v>-5</v>
      </c>
      <c r="BS398">
        <v>42418425</v>
      </c>
      <c r="BT398" s="73">
        <v>45370.902106481481</v>
      </c>
      <c r="BU398" t="s">
        <v>226</v>
      </c>
      <c r="BV398" t="s">
        <v>374</v>
      </c>
      <c r="BW398" t="s">
        <v>228</v>
      </c>
      <c r="CH398" t="s">
        <v>229</v>
      </c>
      <c r="CI398" t="s">
        <v>93</v>
      </c>
      <c r="CJ398" t="s">
        <v>226</v>
      </c>
      <c r="CK398" t="s">
        <v>374</v>
      </c>
      <c r="CL398" t="s">
        <v>228</v>
      </c>
      <c r="CM398" t="s">
        <v>234</v>
      </c>
      <c r="CN398" t="s">
        <v>73</v>
      </c>
      <c r="CO398">
        <v>-5</v>
      </c>
      <c r="CP398">
        <v>42418425</v>
      </c>
      <c r="CQ398" s="73">
        <v>45370.902106481481</v>
      </c>
      <c r="CR398" t="s">
        <v>229</v>
      </c>
      <c r="CS398" t="s">
        <v>93</v>
      </c>
      <c r="CU398" t="s">
        <v>225</v>
      </c>
    </row>
    <row r="399" spans="1:99">
      <c r="A399" t="s">
        <v>108</v>
      </c>
      <c r="B399" t="s">
        <v>98</v>
      </c>
      <c r="J399" t="s">
        <v>225</v>
      </c>
      <c r="K399" t="s">
        <v>225</v>
      </c>
      <c r="M399" s="73">
        <v>45370.902106481481</v>
      </c>
      <c r="N399">
        <v>42418424</v>
      </c>
      <c r="O399">
        <v>100</v>
      </c>
      <c r="P399" t="s">
        <v>104</v>
      </c>
      <c r="Q399">
        <v>100</v>
      </c>
      <c r="R399" t="s">
        <v>104</v>
      </c>
      <c r="S399">
        <v>5</v>
      </c>
      <c r="T399" t="s">
        <v>73</v>
      </c>
      <c r="U399" t="s">
        <v>226</v>
      </c>
      <c r="V399" t="s">
        <v>374</v>
      </c>
      <c r="W399" t="s">
        <v>235</v>
      </c>
      <c r="X399" t="s">
        <v>229</v>
      </c>
      <c r="Y399" t="s">
        <v>108</v>
      </c>
      <c r="AD399" t="s">
        <v>104</v>
      </c>
      <c r="AE399">
        <v>100</v>
      </c>
      <c r="AF399">
        <v>42418424</v>
      </c>
      <c r="AG399" s="73">
        <v>45370.902106481481</v>
      </c>
      <c r="AH399" t="s">
        <v>226</v>
      </c>
      <c r="AI399" t="s">
        <v>374</v>
      </c>
      <c r="AJ399" t="s">
        <v>235</v>
      </c>
      <c r="AK399" t="s">
        <v>229</v>
      </c>
      <c r="AL399" t="s">
        <v>108</v>
      </c>
      <c r="AP399" t="s">
        <v>230</v>
      </c>
      <c r="AQ399" t="s">
        <v>231</v>
      </c>
      <c r="AT399" t="s">
        <v>232</v>
      </c>
      <c r="AU399">
        <v>-99</v>
      </c>
      <c r="AV399" t="s">
        <v>104</v>
      </c>
      <c r="AW399">
        <v>100</v>
      </c>
      <c r="AX399">
        <v>42418424</v>
      </c>
      <c r="AY399" s="73">
        <v>45370.902106481481</v>
      </c>
      <c r="AZ399" t="s">
        <v>226</v>
      </c>
      <c r="BA399" t="s">
        <v>374</v>
      </c>
      <c r="BB399" t="s">
        <v>235</v>
      </c>
      <c r="BC399" t="s">
        <v>229</v>
      </c>
      <c r="BD399" t="s">
        <v>108</v>
      </c>
      <c r="BI399" t="s">
        <v>233</v>
      </c>
      <c r="BJ399" t="s">
        <v>0</v>
      </c>
      <c r="BK399">
        <v>42418414</v>
      </c>
      <c r="BN399" t="s">
        <v>104</v>
      </c>
      <c r="BO399">
        <v>42418420</v>
      </c>
      <c r="BR399">
        <v>100</v>
      </c>
      <c r="BS399">
        <v>42418424</v>
      </c>
      <c r="BT399" s="73">
        <v>45370.902106481481</v>
      </c>
      <c r="BU399" t="s">
        <v>226</v>
      </c>
      <c r="BV399" t="s">
        <v>374</v>
      </c>
      <c r="BW399" t="s">
        <v>235</v>
      </c>
      <c r="CH399" t="s">
        <v>229</v>
      </c>
      <c r="CI399" t="s">
        <v>108</v>
      </c>
      <c r="CJ399" t="s">
        <v>226</v>
      </c>
      <c r="CK399" t="s">
        <v>374</v>
      </c>
      <c r="CL399" t="s">
        <v>235</v>
      </c>
      <c r="CM399" t="s">
        <v>236</v>
      </c>
      <c r="CN399" t="s">
        <v>104</v>
      </c>
      <c r="CO399">
        <v>100</v>
      </c>
      <c r="CP399">
        <v>42418424</v>
      </c>
      <c r="CQ399" s="73">
        <v>45370.902106481481</v>
      </c>
      <c r="CR399" t="s">
        <v>229</v>
      </c>
      <c r="CS399" t="s">
        <v>108</v>
      </c>
      <c r="CU399" t="s">
        <v>225</v>
      </c>
    </row>
    <row r="400" spans="1:99">
      <c r="A400" t="s">
        <v>52</v>
      </c>
      <c r="B400" t="s">
        <v>92</v>
      </c>
      <c r="J400" t="s">
        <v>225</v>
      </c>
      <c r="K400" t="s">
        <v>225</v>
      </c>
      <c r="M400" s="73">
        <v>45370.894837962966</v>
      </c>
      <c r="N400">
        <v>42418163</v>
      </c>
      <c r="O400">
        <v>-2101</v>
      </c>
      <c r="P400" t="s">
        <v>45</v>
      </c>
      <c r="Q400">
        <v>-2101</v>
      </c>
      <c r="R400" t="s">
        <v>45</v>
      </c>
      <c r="U400" t="s">
        <v>226</v>
      </c>
      <c r="V400" t="s">
        <v>375</v>
      </c>
      <c r="W400" t="s">
        <v>228</v>
      </c>
      <c r="X400" t="s">
        <v>229</v>
      </c>
      <c r="Y400" t="s">
        <v>52</v>
      </c>
      <c r="AD400" t="s">
        <v>45</v>
      </c>
      <c r="AE400">
        <v>-2101</v>
      </c>
      <c r="AF400">
        <v>42418163</v>
      </c>
      <c r="AG400" s="73">
        <v>45370.894837962966</v>
      </c>
      <c r="AH400" t="s">
        <v>226</v>
      </c>
      <c r="AI400" t="s">
        <v>375</v>
      </c>
      <c r="AJ400" t="s">
        <v>228</v>
      </c>
      <c r="AK400" t="s">
        <v>229</v>
      </c>
      <c r="AL400" t="s">
        <v>52</v>
      </c>
      <c r="AP400" t="s">
        <v>230</v>
      </c>
      <c r="AQ400" t="s">
        <v>231</v>
      </c>
      <c r="AT400" t="s">
        <v>232</v>
      </c>
      <c r="AU400">
        <v>-99</v>
      </c>
      <c r="AV400" t="s">
        <v>45</v>
      </c>
      <c r="AW400">
        <v>-2101</v>
      </c>
      <c r="AX400">
        <v>42418163</v>
      </c>
      <c r="AY400" s="73">
        <v>45370.894837962966</v>
      </c>
      <c r="AZ400" t="s">
        <v>226</v>
      </c>
      <c r="BA400" t="s">
        <v>375</v>
      </c>
      <c r="BB400" t="s">
        <v>228</v>
      </c>
      <c r="BC400" t="s">
        <v>229</v>
      </c>
      <c r="BD400" t="s">
        <v>52</v>
      </c>
      <c r="BI400" t="s">
        <v>233</v>
      </c>
      <c r="BJ400" t="s">
        <v>0</v>
      </c>
      <c r="BK400">
        <v>42418116</v>
      </c>
      <c r="BN400" t="s">
        <v>45</v>
      </c>
      <c r="BR400">
        <v>-2101</v>
      </c>
      <c r="BS400">
        <v>42418163</v>
      </c>
      <c r="BT400" s="73">
        <v>45370.894837962966</v>
      </c>
      <c r="BU400" t="s">
        <v>226</v>
      </c>
      <c r="BV400" t="s">
        <v>375</v>
      </c>
      <c r="BW400" t="s">
        <v>228</v>
      </c>
      <c r="CH400" t="s">
        <v>229</v>
      </c>
      <c r="CI400" t="s">
        <v>52</v>
      </c>
      <c r="CJ400" t="s">
        <v>226</v>
      </c>
      <c r="CK400" t="s">
        <v>375</v>
      </c>
      <c r="CL400" t="s">
        <v>228</v>
      </c>
      <c r="CM400" t="s">
        <v>234</v>
      </c>
      <c r="CN400" t="s">
        <v>45</v>
      </c>
      <c r="CO400">
        <v>-2101</v>
      </c>
      <c r="CP400">
        <v>42418163</v>
      </c>
      <c r="CQ400" s="73">
        <v>45370.894837962966</v>
      </c>
      <c r="CR400" t="s">
        <v>229</v>
      </c>
      <c r="CS400" t="s">
        <v>52</v>
      </c>
      <c r="CU400" t="s">
        <v>225</v>
      </c>
    </row>
    <row r="401" spans="1:99">
      <c r="A401" t="s">
        <v>101</v>
      </c>
      <c r="B401" t="s">
        <v>98</v>
      </c>
      <c r="J401" t="s">
        <v>225</v>
      </c>
      <c r="K401" t="s">
        <v>225</v>
      </c>
      <c r="M401" s="73">
        <v>45370.894837962966</v>
      </c>
      <c r="N401">
        <v>42418162</v>
      </c>
      <c r="O401">
        <v>-105</v>
      </c>
      <c r="P401" t="s">
        <v>73</v>
      </c>
      <c r="Q401">
        <v>-105</v>
      </c>
      <c r="R401" t="s">
        <v>73</v>
      </c>
      <c r="U401" t="s">
        <v>226</v>
      </c>
      <c r="V401" t="s">
        <v>375</v>
      </c>
      <c r="W401" t="s">
        <v>228</v>
      </c>
      <c r="X401" t="s">
        <v>229</v>
      </c>
      <c r="Y401" t="s">
        <v>101</v>
      </c>
      <c r="AD401" t="s">
        <v>73</v>
      </c>
      <c r="AE401">
        <v>-105</v>
      </c>
      <c r="AF401">
        <v>42418162</v>
      </c>
      <c r="AG401" s="73">
        <v>45370.894837962966</v>
      </c>
      <c r="AH401" t="s">
        <v>226</v>
      </c>
      <c r="AI401" t="s">
        <v>375</v>
      </c>
      <c r="AJ401" t="s">
        <v>228</v>
      </c>
      <c r="AK401" t="s">
        <v>229</v>
      </c>
      <c r="AL401" t="s">
        <v>101</v>
      </c>
      <c r="AP401" t="s">
        <v>230</v>
      </c>
      <c r="AQ401" t="s">
        <v>231</v>
      </c>
      <c r="AT401" t="s">
        <v>232</v>
      </c>
      <c r="AU401">
        <v>-99</v>
      </c>
      <c r="AV401" t="s">
        <v>73</v>
      </c>
      <c r="AW401">
        <v>-105</v>
      </c>
      <c r="AX401">
        <v>42418162</v>
      </c>
      <c r="AY401" s="73">
        <v>45370.894837962966</v>
      </c>
      <c r="AZ401" t="s">
        <v>226</v>
      </c>
      <c r="BA401" t="s">
        <v>375</v>
      </c>
      <c r="BB401" t="s">
        <v>228</v>
      </c>
      <c r="BC401" t="s">
        <v>229</v>
      </c>
      <c r="BD401" t="s">
        <v>101</v>
      </c>
      <c r="BI401" t="s">
        <v>233</v>
      </c>
      <c r="BJ401" t="s">
        <v>0</v>
      </c>
      <c r="BK401">
        <v>42418116</v>
      </c>
      <c r="BN401" t="s">
        <v>73</v>
      </c>
      <c r="BR401">
        <v>-105</v>
      </c>
      <c r="BS401">
        <v>42418162</v>
      </c>
      <c r="BT401" s="73">
        <v>45370.894837962966</v>
      </c>
      <c r="BU401" t="s">
        <v>226</v>
      </c>
      <c r="BV401" t="s">
        <v>375</v>
      </c>
      <c r="BW401" t="s">
        <v>228</v>
      </c>
      <c r="CH401" t="s">
        <v>229</v>
      </c>
      <c r="CI401" t="s">
        <v>101</v>
      </c>
      <c r="CJ401" t="s">
        <v>226</v>
      </c>
      <c r="CK401" t="s">
        <v>375</v>
      </c>
      <c r="CL401" t="s">
        <v>228</v>
      </c>
      <c r="CM401" t="s">
        <v>234</v>
      </c>
      <c r="CN401" t="s">
        <v>73</v>
      </c>
      <c r="CO401">
        <v>-105</v>
      </c>
      <c r="CP401">
        <v>42418162</v>
      </c>
      <c r="CQ401" s="73">
        <v>45370.894837962966</v>
      </c>
      <c r="CR401" t="s">
        <v>229</v>
      </c>
      <c r="CS401" t="s">
        <v>101</v>
      </c>
      <c r="CU401" t="s">
        <v>225</v>
      </c>
    </row>
    <row r="402" spans="1:99">
      <c r="A402" t="s">
        <v>107</v>
      </c>
      <c r="B402" t="s">
        <v>98</v>
      </c>
      <c r="J402" t="s">
        <v>225</v>
      </c>
      <c r="K402" t="s">
        <v>225</v>
      </c>
      <c r="M402" s="73">
        <v>45370.894837962966</v>
      </c>
      <c r="N402">
        <v>42418161</v>
      </c>
      <c r="O402">
        <v>2100</v>
      </c>
      <c r="P402" t="s">
        <v>104</v>
      </c>
      <c r="Q402">
        <v>2100</v>
      </c>
      <c r="R402" t="s">
        <v>104</v>
      </c>
      <c r="S402">
        <v>105</v>
      </c>
      <c r="T402" t="s">
        <v>73</v>
      </c>
      <c r="U402" t="s">
        <v>226</v>
      </c>
      <c r="V402" t="s">
        <v>375</v>
      </c>
      <c r="W402" t="s">
        <v>235</v>
      </c>
      <c r="X402" t="s">
        <v>229</v>
      </c>
      <c r="Y402" t="s">
        <v>107</v>
      </c>
      <c r="AD402" t="s">
        <v>104</v>
      </c>
      <c r="AE402">
        <v>2100</v>
      </c>
      <c r="AF402">
        <v>42418161</v>
      </c>
      <c r="AG402" s="73">
        <v>45370.894837962966</v>
      </c>
      <c r="AH402" t="s">
        <v>226</v>
      </c>
      <c r="AI402" t="s">
        <v>375</v>
      </c>
      <c r="AJ402" t="s">
        <v>235</v>
      </c>
      <c r="AK402" t="s">
        <v>229</v>
      </c>
      <c r="AL402" t="s">
        <v>107</v>
      </c>
      <c r="AP402" t="s">
        <v>230</v>
      </c>
      <c r="AQ402" t="s">
        <v>231</v>
      </c>
      <c r="AT402" t="s">
        <v>232</v>
      </c>
      <c r="AU402">
        <v>-99</v>
      </c>
      <c r="AV402" t="s">
        <v>104</v>
      </c>
      <c r="AW402">
        <v>2100</v>
      </c>
      <c r="AX402">
        <v>42418161</v>
      </c>
      <c r="AY402" s="73">
        <v>45370.894837962966</v>
      </c>
      <c r="AZ402" t="s">
        <v>226</v>
      </c>
      <c r="BA402" t="s">
        <v>375</v>
      </c>
      <c r="BB402" t="s">
        <v>235</v>
      </c>
      <c r="BC402" t="s">
        <v>229</v>
      </c>
      <c r="BD402" t="s">
        <v>107</v>
      </c>
      <c r="BI402" t="s">
        <v>233</v>
      </c>
      <c r="BJ402" t="s">
        <v>0</v>
      </c>
      <c r="BK402">
        <v>42418116</v>
      </c>
      <c r="BN402" t="s">
        <v>104</v>
      </c>
      <c r="BO402">
        <v>42418147</v>
      </c>
      <c r="BR402">
        <v>2100</v>
      </c>
      <c r="BS402">
        <v>42418161</v>
      </c>
      <c r="BT402" s="73">
        <v>45370.894837962966</v>
      </c>
      <c r="BU402" t="s">
        <v>226</v>
      </c>
      <c r="BV402" t="s">
        <v>375</v>
      </c>
      <c r="BW402" t="s">
        <v>235</v>
      </c>
      <c r="CH402" t="s">
        <v>229</v>
      </c>
      <c r="CI402" t="s">
        <v>107</v>
      </c>
      <c r="CJ402" t="s">
        <v>226</v>
      </c>
      <c r="CK402" t="s">
        <v>375</v>
      </c>
      <c r="CL402" t="s">
        <v>235</v>
      </c>
      <c r="CM402" t="s">
        <v>236</v>
      </c>
      <c r="CN402" t="s">
        <v>104</v>
      </c>
      <c r="CO402">
        <v>2100</v>
      </c>
      <c r="CP402">
        <v>42418161</v>
      </c>
      <c r="CQ402" s="73">
        <v>45370.894837962966</v>
      </c>
      <c r="CR402" t="s">
        <v>229</v>
      </c>
      <c r="CS402" t="s">
        <v>107</v>
      </c>
      <c r="CU402" t="s">
        <v>225</v>
      </c>
    </row>
    <row r="403" spans="1:99">
      <c r="A403" t="s">
        <v>111</v>
      </c>
      <c r="B403" t="s">
        <v>77</v>
      </c>
      <c r="J403" t="s">
        <v>225</v>
      </c>
      <c r="K403" t="s">
        <v>225</v>
      </c>
      <c r="M403" s="73">
        <v>45370.894837962966</v>
      </c>
      <c r="N403">
        <v>42418160</v>
      </c>
      <c r="O403">
        <v>1</v>
      </c>
      <c r="P403" t="s">
        <v>45</v>
      </c>
      <c r="Q403">
        <v>1</v>
      </c>
      <c r="R403" t="s">
        <v>45</v>
      </c>
      <c r="U403" t="s">
        <v>226</v>
      </c>
      <c r="V403" t="s">
        <v>375</v>
      </c>
      <c r="W403" t="s">
        <v>237</v>
      </c>
      <c r="X403" t="s">
        <v>229</v>
      </c>
      <c r="Y403" t="s">
        <v>111</v>
      </c>
      <c r="AD403" t="s">
        <v>45</v>
      </c>
      <c r="AE403">
        <v>1</v>
      </c>
      <c r="AF403">
        <v>42418160</v>
      </c>
      <c r="AG403" s="73">
        <v>45370.894837962966</v>
      </c>
      <c r="AH403" t="s">
        <v>226</v>
      </c>
      <c r="AI403" t="s">
        <v>375</v>
      </c>
      <c r="AJ403" t="s">
        <v>237</v>
      </c>
      <c r="AK403" t="s">
        <v>229</v>
      </c>
      <c r="AL403" t="s">
        <v>111</v>
      </c>
      <c r="AP403" t="s">
        <v>230</v>
      </c>
      <c r="AQ403" t="s">
        <v>231</v>
      </c>
      <c r="AT403" t="s">
        <v>232</v>
      </c>
      <c r="AU403">
        <v>-99</v>
      </c>
      <c r="AV403" t="s">
        <v>45</v>
      </c>
      <c r="AW403">
        <v>1</v>
      </c>
      <c r="AX403">
        <v>42418160</v>
      </c>
      <c r="AY403" s="73">
        <v>45370.894837962966</v>
      </c>
      <c r="AZ403" t="s">
        <v>226</v>
      </c>
      <c r="BA403" t="s">
        <v>375</v>
      </c>
      <c r="BB403" t="s">
        <v>237</v>
      </c>
      <c r="BC403" t="s">
        <v>229</v>
      </c>
      <c r="BD403" t="s">
        <v>111</v>
      </c>
      <c r="BI403" t="s">
        <v>233</v>
      </c>
      <c r="BJ403" t="s">
        <v>0</v>
      </c>
      <c r="BK403">
        <v>42418116</v>
      </c>
      <c r="BN403" t="s">
        <v>45</v>
      </c>
      <c r="BO403">
        <v>42418149</v>
      </c>
      <c r="BR403">
        <v>1</v>
      </c>
      <c r="BS403">
        <v>42418160</v>
      </c>
      <c r="BT403" s="73">
        <v>45370.894837962966</v>
      </c>
      <c r="BU403" t="s">
        <v>226</v>
      </c>
      <c r="BV403" t="s">
        <v>375</v>
      </c>
      <c r="BW403" t="s">
        <v>237</v>
      </c>
      <c r="CH403" t="s">
        <v>229</v>
      </c>
      <c r="CI403" t="s">
        <v>111</v>
      </c>
      <c r="CJ403" t="s">
        <v>226</v>
      </c>
      <c r="CK403" t="s">
        <v>375</v>
      </c>
      <c r="CL403" t="s">
        <v>237</v>
      </c>
      <c r="CM403" t="s">
        <v>236</v>
      </c>
      <c r="CN403" t="s">
        <v>45</v>
      </c>
      <c r="CO403">
        <v>1</v>
      </c>
      <c r="CP403">
        <v>42418160</v>
      </c>
      <c r="CQ403" s="73">
        <v>45370.894837962966</v>
      </c>
      <c r="CR403" t="s">
        <v>229</v>
      </c>
      <c r="CS403" t="s">
        <v>111</v>
      </c>
      <c r="CU403" t="s">
        <v>225</v>
      </c>
    </row>
    <row r="404" spans="1:99">
      <c r="A404" t="s">
        <v>113</v>
      </c>
      <c r="B404" t="s">
        <v>90</v>
      </c>
      <c r="J404" t="s">
        <v>225</v>
      </c>
      <c r="K404" t="s">
        <v>225</v>
      </c>
      <c r="M404" s="73">
        <v>45370.590289351851</v>
      </c>
      <c r="N404">
        <v>42420892</v>
      </c>
      <c r="O404">
        <v>-270</v>
      </c>
      <c r="P404" t="s">
        <v>115</v>
      </c>
      <c r="Q404">
        <v>-270</v>
      </c>
      <c r="R404" t="s">
        <v>115</v>
      </c>
      <c r="U404" t="s">
        <v>226</v>
      </c>
      <c r="V404" t="s">
        <v>370</v>
      </c>
      <c r="W404" t="s">
        <v>228</v>
      </c>
      <c r="X404" t="s">
        <v>229</v>
      </c>
      <c r="Y404" t="s">
        <v>113</v>
      </c>
      <c r="AD404" t="s">
        <v>115</v>
      </c>
      <c r="AE404">
        <v>-270</v>
      </c>
      <c r="AF404">
        <v>42420892</v>
      </c>
      <c r="AG404" s="73">
        <v>45370.590289351851</v>
      </c>
      <c r="AH404" t="s">
        <v>226</v>
      </c>
      <c r="AI404" t="s">
        <v>370</v>
      </c>
      <c r="AJ404" t="s">
        <v>228</v>
      </c>
      <c r="AK404" t="s">
        <v>229</v>
      </c>
      <c r="AL404" t="s">
        <v>113</v>
      </c>
      <c r="AP404" t="s">
        <v>230</v>
      </c>
      <c r="AQ404" t="s">
        <v>231</v>
      </c>
      <c r="AT404" t="s">
        <v>232</v>
      </c>
      <c r="AU404">
        <v>-99</v>
      </c>
      <c r="AV404" t="s">
        <v>115</v>
      </c>
      <c r="AW404">
        <v>-270</v>
      </c>
      <c r="AX404">
        <v>42420892</v>
      </c>
      <c r="AY404" s="73">
        <v>45370.590289351851</v>
      </c>
      <c r="AZ404" t="s">
        <v>226</v>
      </c>
      <c r="BA404" t="s">
        <v>370</v>
      </c>
      <c r="BB404" t="s">
        <v>228</v>
      </c>
      <c r="BC404" t="s">
        <v>229</v>
      </c>
      <c r="BD404" t="s">
        <v>113</v>
      </c>
      <c r="BI404" t="s">
        <v>233</v>
      </c>
      <c r="BJ404" t="s">
        <v>0</v>
      </c>
      <c r="BK404">
        <v>42420865</v>
      </c>
      <c r="BN404" t="s">
        <v>115</v>
      </c>
      <c r="BR404">
        <v>-270</v>
      </c>
      <c r="BS404">
        <v>42420892</v>
      </c>
      <c r="BT404" s="73">
        <v>45370.590289351851</v>
      </c>
      <c r="BU404" t="s">
        <v>226</v>
      </c>
      <c r="BV404" t="s">
        <v>370</v>
      </c>
      <c r="BW404" t="s">
        <v>228</v>
      </c>
      <c r="CH404" t="s">
        <v>229</v>
      </c>
      <c r="CI404" t="s">
        <v>113</v>
      </c>
      <c r="CJ404" t="s">
        <v>226</v>
      </c>
      <c r="CK404" t="s">
        <v>370</v>
      </c>
      <c r="CL404" t="s">
        <v>228</v>
      </c>
      <c r="CM404" t="s">
        <v>234</v>
      </c>
      <c r="CN404" t="s">
        <v>115</v>
      </c>
      <c r="CO404">
        <v>-270</v>
      </c>
      <c r="CP404">
        <v>42420892</v>
      </c>
      <c r="CQ404" s="73">
        <v>45370.590289351851</v>
      </c>
      <c r="CR404" t="s">
        <v>229</v>
      </c>
      <c r="CS404" t="s">
        <v>113</v>
      </c>
      <c r="CU404" t="s">
        <v>225</v>
      </c>
    </row>
    <row r="405" spans="1:99">
      <c r="A405" t="s">
        <v>129</v>
      </c>
      <c r="B405" t="s">
        <v>90</v>
      </c>
      <c r="J405" t="s">
        <v>225</v>
      </c>
      <c r="K405" t="s">
        <v>225</v>
      </c>
      <c r="M405" s="73">
        <v>45370.590289351851</v>
      </c>
      <c r="N405">
        <v>42420891</v>
      </c>
      <c r="O405">
        <v>-5.0999999999999996</v>
      </c>
      <c r="P405" t="s">
        <v>73</v>
      </c>
      <c r="Q405">
        <v>-5.0999999999999996</v>
      </c>
      <c r="R405" t="s">
        <v>73</v>
      </c>
      <c r="U405" t="s">
        <v>226</v>
      </c>
      <c r="V405" t="s">
        <v>370</v>
      </c>
      <c r="W405" t="s">
        <v>228</v>
      </c>
      <c r="X405" t="s">
        <v>229</v>
      </c>
      <c r="Y405" t="s">
        <v>129</v>
      </c>
      <c r="AD405" t="s">
        <v>73</v>
      </c>
      <c r="AE405">
        <v>-5.0999999999999996</v>
      </c>
      <c r="AF405">
        <v>42420891</v>
      </c>
      <c r="AG405" s="73">
        <v>45370.590289351851</v>
      </c>
      <c r="AH405" t="s">
        <v>226</v>
      </c>
      <c r="AI405" t="s">
        <v>370</v>
      </c>
      <c r="AJ405" t="s">
        <v>228</v>
      </c>
      <c r="AK405" t="s">
        <v>229</v>
      </c>
      <c r="AL405" t="s">
        <v>129</v>
      </c>
      <c r="AP405" t="s">
        <v>230</v>
      </c>
      <c r="AQ405" t="s">
        <v>231</v>
      </c>
      <c r="AT405" t="s">
        <v>232</v>
      </c>
      <c r="AU405">
        <v>-99</v>
      </c>
      <c r="AV405" t="s">
        <v>73</v>
      </c>
      <c r="AW405">
        <v>-5.0999999999999996</v>
      </c>
      <c r="AX405">
        <v>42420891</v>
      </c>
      <c r="AY405" s="73">
        <v>45370.590289351851</v>
      </c>
      <c r="AZ405" t="s">
        <v>226</v>
      </c>
      <c r="BA405" t="s">
        <v>370</v>
      </c>
      <c r="BB405" t="s">
        <v>228</v>
      </c>
      <c r="BC405" t="s">
        <v>229</v>
      </c>
      <c r="BD405" t="s">
        <v>129</v>
      </c>
      <c r="BI405" t="s">
        <v>233</v>
      </c>
      <c r="BJ405" t="s">
        <v>0</v>
      </c>
      <c r="BK405">
        <v>42420865</v>
      </c>
      <c r="BN405" t="s">
        <v>73</v>
      </c>
      <c r="BR405">
        <v>-5.0999999999999996</v>
      </c>
      <c r="BS405">
        <v>42420891</v>
      </c>
      <c r="BT405" s="73">
        <v>45370.590289351851</v>
      </c>
      <c r="BU405" t="s">
        <v>226</v>
      </c>
      <c r="BV405" t="s">
        <v>370</v>
      </c>
      <c r="BW405" t="s">
        <v>228</v>
      </c>
      <c r="CH405" t="s">
        <v>229</v>
      </c>
      <c r="CI405" t="s">
        <v>129</v>
      </c>
      <c r="CJ405" t="s">
        <v>226</v>
      </c>
      <c r="CK405" t="s">
        <v>370</v>
      </c>
      <c r="CL405" t="s">
        <v>228</v>
      </c>
      <c r="CM405" t="s">
        <v>234</v>
      </c>
      <c r="CN405" t="s">
        <v>73</v>
      </c>
      <c r="CO405">
        <v>-5.0999999999999996</v>
      </c>
      <c r="CP405">
        <v>42420891</v>
      </c>
      <c r="CQ405" s="73">
        <v>45370.590289351851</v>
      </c>
      <c r="CR405" t="s">
        <v>229</v>
      </c>
      <c r="CS405" t="s">
        <v>129</v>
      </c>
      <c r="CU405" t="s">
        <v>225</v>
      </c>
    </row>
    <row r="406" spans="1:99">
      <c r="A406" t="s">
        <v>99</v>
      </c>
      <c r="B406" t="s">
        <v>98</v>
      </c>
      <c r="J406" t="s">
        <v>225</v>
      </c>
      <c r="K406" t="s">
        <v>225</v>
      </c>
      <c r="M406" s="73">
        <v>45370.590277777781</v>
      </c>
      <c r="N406">
        <v>42412938</v>
      </c>
      <c r="O406">
        <v>1427.68</v>
      </c>
      <c r="P406" t="s">
        <v>73</v>
      </c>
      <c r="Q406">
        <v>1427.68</v>
      </c>
      <c r="R406" t="s">
        <v>73</v>
      </c>
      <c r="U406" t="s">
        <v>226</v>
      </c>
      <c r="V406" t="s">
        <v>376</v>
      </c>
      <c r="W406" t="s">
        <v>235</v>
      </c>
      <c r="X406" t="s">
        <v>229</v>
      </c>
      <c r="Y406" t="s">
        <v>99</v>
      </c>
      <c r="AD406" t="s">
        <v>73</v>
      </c>
      <c r="AE406">
        <v>1427.68</v>
      </c>
      <c r="AF406">
        <v>42412938</v>
      </c>
      <c r="AG406" s="73">
        <v>45370.590277777781</v>
      </c>
      <c r="AH406" t="s">
        <v>226</v>
      </c>
      <c r="AI406" t="s">
        <v>376</v>
      </c>
      <c r="AJ406" t="s">
        <v>235</v>
      </c>
      <c r="AK406" t="s">
        <v>229</v>
      </c>
      <c r="AL406" t="s">
        <v>99</v>
      </c>
      <c r="AP406" t="s">
        <v>230</v>
      </c>
      <c r="AQ406" t="s">
        <v>231</v>
      </c>
      <c r="AT406" t="s">
        <v>232</v>
      </c>
      <c r="AU406">
        <v>-99</v>
      </c>
      <c r="AV406" t="s">
        <v>73</v>
      </c>
      <c r="AW406">
        <v>1427.68</v>
      </c>
      <c r="AX406">
        <v>42412938</v>
      </c>
      <c r="AY406" s="73">
        <v>45370.590277777781</v>
      </c>
      <c r="AZ406" t="s">
        <v>226</v>
      </c>
      <c r="BA406" t="s">
        <v>376</v>
      </c>
      <c r="BB406" t="s">
        <v>235</v>
      </c>
      <c r="BC406" t="s">
        <v>229</v>
      </c>
      <c r="BD406" t="s">
        <v>99</v>
      </c>
      <c r="BI406" t="s">
        <v>233</v>
      </c>
      <c r="BJ406" t="s">
        <v>0</v>
      </c>
      <c r="BK406">
        <v>42412934</v>
      </c>
      <c r="BN406" t="s">
        <v>73</v>
      </c>
      <c r="BO406">
        <v>42412936</v>
      </c>
      <c r="BR406">
        <v>1427.68</v>
      </c>
      <c r="BS406">
        <v>42412938</v>
      </c>
      <c r="BT406" s="73">
        <v>45370.590277777781</v>
      </c>
      <c r="BU406" t="s">
        <v>226</v>
      </c>
      <c r="BV406" t="s">
        <v>376</v>
      </c>
      <c r="BW406" t="s">
        <v>235</v>
      </c>
      <c r="CH406" t="s">
        <v>229</v>
      </c>
      <c r="CI406" t="s">
        <v>99</v>
      </c>
      <c r="CJ406" t="s">
        <v>226</v>
      </c>
      <c r="CK406" t="s">
        <v>376</v>
      </c>
      <c r="CL406" t="s">
        <v>235</v>
      </c>
      <c r="CM406" t="s">
        <v>236</v>
      </c>
      <c r="CN406" t="s">
        <v>73</v>
      </c>
      <c r="CO406">
        <v>1427.68</v>
      </c>
      <c r="CP406">
        <v>42412938</v>
      </c>
      <c r="CQ406" s="73">
        <v>45370.590277777781</v>
      </c>
      <c r="CR406" t="s">
        <v>229</v>
      </c>
      <c r="CS406" t="s">
        <v>99</v>
      </c>
      <c r="CU406" t="s">
        <v>225</v>
      </c>
    </row>
    <row r="407" spans="1:99">
      <c r="A407" t="s">
        <v>71</v>
      </c>
      <c r="B407" t="s">
        <v>77</v>
      </c>
      <c r="J407" t="s">
        <v>225</v>
      </c>
      <c r="K407" t="s">
        <v>225</v>
      </c>
      <c r="M407" s="73">
        <v>45370.590277777781</v>
      </c>
      <c r="N407">
        <v>42412931</v>
      </c>
      <c r="O407">
        <v>0.86</v>
      </c>
      <c r="P407" t="s">
        <v>73</v>
      </c>
      <c r="Q407">
        <v>0.86</v>
      </c>
      <c r="R407" t="s">
        <v>73</v>
      </c>
      <c r="U407" t="s">
        <v>226</v>
      </c>
      <c r="V407" t="s">
        <v>376</v>
      </c>
      <c r="W407" t="s">
        <v>237</v>
      </c>
      <c r="X407" t="s">
        <v>229</v>
      </c>
      <c r="Y407" t="s">
        <v>71</v>
      </c>
      <c r="AD407" t="s">
        <v>73</v>
      </c>
      <c r="AE407">
        <v>0.86</v>
      </c>
      <c r="AF407">
        <v>42412931</v>
      </c>
      <c r="AG407" s="73">
        <v>45370.590277777781</v>
      </c>
      <c r="AH407" t="s">
        <v>226</v>
      </c>
      <c r="AI407" t="s">
        <v>376</v>
      </c>
      <c r="AJ407" t="s">
        <v>237</v>
      </c>
      <c r="AK407" t="s">
        <v>229</v>
      </c>
      <c r="AL407" t="s">
        <v>71</v>
      </c>
      <c r="AP407" t="s">
        <v>230</v>
      </c>
      <c r="AQ407" t="s">
        <v>231</v>
      </c>
      <c r="AT407" t="s">
        <v>232</v>
      </c>
      <c r="AU407">
        <v>-99</v>
      </c>
      <c r="AV407" t="s">
        <v>73</v>
      </c>
      <c r="AW407">
        <v>0.86</v>
      </c>
      <c r="AX407">
        <v>42412931</v>
      </c>
      <c r="AY407" s="73">
        <v>45370.590277777781</v>
      </c>
      <c r="AZ407" t="s">
        <v>226</v>
      </c>
      <c r="BA407" t="s">
        <v>376</v>
      </c>
      <c r="BB407" t="s">
        <v>237</v>
      </c>
      <c r="BC407" t="s">
        <v>229</v>
      </c>
      <c r="BD407" t="s">
        <v>71</v>
      </c>
      <c r="BI407" t="s">
        <v>233</v>
      </c>
      <c r="BJ407" t="s">
        <v>0</v>
      </c>
      <c r="BK407">
        <v>42412927</v>
      </c>
      <c r="BN407" t="s">
        <v>73</v>
      </c>
      <c r="BO407">
        <v>42412929</v>
      </c>
      <c r="BR407">
        <v>0.86</v>
      </c>
      <c r="BS407">
        <v>42412931</v>
      </c>
      <c r="BT407" s="73">
        <v>45370.590277777781</v>
      </c>
      <c r="BU407" t="s">
        <v>226</v>
      </c>
      <c r="BV407" t="s">
        <v>376</v>
      </c>
      <c r="BW407" t="s">
        <v>237</v>
      </c>
      <c r="CH407" t="s">
        <v>229</v>
      </c>
      <c r="CI407" t="s">
        <v>71</v>
      </c>
      <c r="CJ407" t="s">
        <v>226</v>
      </c>
      <c r="CK407" t="s">
        <v>376</v>
      </c>
      <c r="CL407" t="s">
        <v>237</v>
      </c>
      <c r="CM407" t="s">
        <v>236</v>
      </c>
      <c r="CN407" t="s">
        <v>73</v>
      </c>
      <c r="CO407">
        <v>0.86</v>
      </c>
      <c r="CP407">
        <v>42412931</v>
      </c>
      <c r="CQ407" s="73">
        <v>45370.590277777781</v>
      </c>
      <c r="CR407" t="s">
        <v>229</v>
      </c>
      <c r="CS407" t="s">
        <v>71</v>
      </c>
      <c r="CU407" t="s">
        <v>225</v>
      </c>
    </row>
    <row r="408" spans="1:99">
      <c r="A408" t="s">
        <v>133</v>
      </c>
      <c r="B408" t="s">
        <v>90</v>
      </c>
      <c r="J408" t="s">
        <v>225</v>
      </c>
      <c r="K408" t="s">
        <v>225</v>
      </c>
      <c r="M408" s="73">
        <v>45370.590277777781</v>
      </c>
      <c r="N408">
        <v>42412924</v>
      </c>
      <c r="O408">
        <v>-604</v>
      </c>
      <c r="P408" t="s">
        <v>73</v>
      </c>
      <c r="Q408">
        <v>-604</v>
      </c>
      <c r="R408" t="s">
        <v>73</v>
      </c>
      <c r="U408" t="s">
        <v>226</v>
      </c>
      <c r="V408" t="s">
        <v>376</v>
      </c>
      <c r="W408" t="s">
        <v>228</v>
      </c>
      <c r="X408" t="s">
        <v>229</v>
      </c>
      <c r="Y408" t="s">
        <v>133</v>
      </c>
      <c r="AD408" t="s">
        <v>73</v>
      </c>
      <c r="AE408">
        <v>-604</v>
      </c>
      <c r="AF408">
        <v>42412924</v>
      </c>
      <c r="AG408" s="73">
        <v>45370.590277777781</v>
      </c>
      <c r="AH408" t="s">
        <v>226</v>
      </c>
      <c r="AI408" t="s">
        <v>376</v>
      </c>
      <c r="AJ408" t="s">
        <v>228</v>
      </c>
      <c r="AK408" t="s">
        <v>229</v>
      </c>
      <c r="AL408" t="s">
        <v>133</v>
      </c>
      <c r="AP408" t="s">
        <v>230</v>
      </c>
      <c r="AQ408" t="s">
        <v>231</v>
      </c>
      <c r="AT408" t="s">
        <v>232</v>
      </c>
      <c r="AU408">
        <v>-99</v>
      </c>
      <c r="AV408" t="s">
        <v>73</v>
      </c>
      <c r="AW408">
        <v>-604</v>
      </c>
      <c r="AX408">
        <v>42412924</v>
      </c>
      <c r="AY408" s="73">
        <v>45370.590277777781</v>
      </c>
      <c r="AZ408" t="s">
        <v>226</v>
      </c>
      <c r="BA408" t="s">
        <v>376</v>
      </c>
      <c r="BB408" t="s">
        <v>228</v>
      </c>
      <c r="BC408" t="s">
        <v>229</v>
      </c>
      <c r="BD408" t="s">
        <v>133</v>
      </c>
      <c r="BI408" t="s">
        <v>233</v>
      </c>
      <c r="BJ408" t="s">
        <v>0</v>
      </c>
      <c r="BK408">
        <v>42412920</v>
      </c>
      <c r="BN408" t="s">
        <v>73</v>
      </c>
      <c r="BR408">
        <v>-604</v>
      </c>
      <c r="BS408">
        <v>42412924</v>
      </c>
      <c r="BT408" s="73">
        <v>45370.590277777781</v>
      </c>
      <c r="BU408" t="s">
        <v>226</v>
      </c>
      <c r="BV408" t="s">
        <v>376</v>
      </c>
      <c r="BW408" t="s">
        <v>228</v>
      </c>
      <c r="CH408" t="s">
        <v>229</v>
      </c>
      <c r="CI408" t="s">
        <v>133</v>
      </c>
      <c r="CJ408" t="s">
        <v>226</v>
      </c>
      <c r="CK408" t="s">
        <v>376</v>
      </c>
      <c r="CL408" t="s">
        <v>228</v>
      </c>
      <c r="CM408" t="s">
        <v>234</v>
      </c>
      <c r="CN408" t="s">
        <v>73</v>
      </c>
      <c r="CO408">
        <v>-604</v>
      </c>
      <c r="CP408">
        <v>42412924</v>
      </c>
      <c r="CQ408" s="73">
        <v>45370.590277777781</v>
      </c>
      <c r="CR408" t="s">
        <v>229</v>
      </c>
      <c r="CS408" t="s">
        <v>133</v>
      </c>
      <c r="CU408" t="s">
        <v>225</v>
      </c>
    </row>
    <row r="409" spans="1:99">
      <c r="A409" t="s">
        <v>127</v>
      </c>
      <c r="B409" t="s">
        <v>90</v>
      </c>
      <c r="J409" t="s">
        <v>225</v>
      </c>
      <c r="K409" t="s">
        <v>225</v>
      </c>
      <c r="M409" s="73">
        <v>45370.590277777781</v>
      </c>
      <c r="N409">
        <v>42412917</v>
      </c>
      <c r="O409">
        <v>-664</v>
      </c>
      <c r="P409" t="s">
        <v>73</v>
      </c>
      <c r="Q409">
        <v>-664</v>
      </c>
      <c r="R409" t="s">
        <v>73</v>
      </c>
      <c r="U409" t="s">
        <v>226</v>
      </c>
      <c r="V409" t="s">
        <v>376</v>
      </c>
      <c r="W409" t="s">
        <v>228</v>
      </c>
      <c r="X409" t="s">
        <v>229</v>
      </c>
      <c r="Y409" t="s">
        <v>127</v>
      </c>
      <c r="AD409" t="s">
        <v>73</v>
      </c>
      <c r="AE409">
        <v>-664</v>
      </c>
      <c r="AF409">
        <v>42412917</v>
      </c>
      <c r="AG409" s="73">
        <v>45370.590277777781</v>
      </c>
      <c r="AH409" t="s">
        <v>226</v>
      </c>
      <c r="AI409" t="s">
        <v>376</v>
      </c>
      <c r="AJ409" t="s">
        <v>228</v>
      </c>
      <c r="AK409" t="s">
        <v>229</v>
      </c>
      <c r="AL409" t="s">
        <v>127</v>
      </c>
      <c r="AP409" t="s">
        <v>230</v>
      </c>
      <c r="AQ409" t="s">
        <v>231</v>
      </c>
      <c r="AT409" t="s">
        <v>232</v>
      </c>
      <c r="AU409">
        <v>-99</v>
      </c>
      <c r="AV409" t="s">
        <v>73</v>
      </c>
      <c r="AW409">
        <v>-664</v>
      </c>
      <c r="AX409">
        <v>42412917</v>
      </c>
      <c r="AY409" s="73">
        <v>45370.590277777781</v>
      </c>
      <c r="AZ409" t="s">
        <v>226</v>
      </c>
      <c r="BA409" t="s">
        <v>376</v>
      </c>
      <c r="BB409" t="s">
        <v>228</v>
      </c>
      <c r="BC409" t="s">
        <v>229</v>
      </c>
      <c r="BD409" t="s">
        <v>127</v>
      </c>
      <c r="BI409" t="s">
        <v>233</v>
      </c>
      <c r="BJ409" t="s">
        <v>0</v>
      </c>
      <c r="BK409">
        <v>42412913</v>
      </c>
      <c r="BN409" t="s">
        <v>73</v>
      </c>
      <c r="BR409">
        <v>-664</v>
      </c>
      <c r="BS409">
        <v>42412917</v>
      </c>
      <c r="BT409" s="73">
        <v>45370.590277777781</v>
      </c>
      <c r="BU409" t="s">
        <v>226</v>
      </c>
      <c r="BV409" t="s">
        <v>376</v>
      </c>
      <c r="BW409" t="s">
        <v>228</v>
      </c>
      <c r="CH409" t="s">
        <v>229</v>
      </c>
      <c r="CI409" t="s">
        <v>127</v>
      </c>
      <c r="CJ409" t="s">
        <v>226</v>
      </c>
      <c r="CK409" t="s">
        <v>376</v>
      </c>
      <c r="CL409" t="s">
        <v>228</v>
      </c>
      <c r="CM409" t="s">
        <v>234</v>
      </c>
      <c r="CN409" t="s">
        <v>73</v>
      </c>
      <c r="CO409">
        <v>-664</v>
      </c>
      <c r="CP409">
        <v>42412917</v>
      </c>
      <c r="CQ409" s="73">
        <v>45370.590277777781</v>
      </c>
      <c r="CR409" t="s">
        <v>229</v>
      </c>
      <c r="CS409" t="s">
        <v>127</v>
      </c>
      <c r="CU409" t="s">
        <v>225</v>
      </c>
    </row>
    <row r="410" spans="1:99">
      <c r="A410" t="s">
        <v>87</v>
      </c>
      <c r="B410" t="s">
        <v>90</v>
      </c>
      <c r="J410" t="s">
        <v>225</v>
      </c>
      <c r="K410" t="s">
        <v>225</v>
      </c>
      <c r="M410" s="73">
        <v>45370.590277777781</v>
      </c>
      <c r="N410">
        <v>42412910</v>
      </c>
      <c r="O410">
        <v>-73.599999999999994</v>
      </c>
      <c r="P410" t="s">
        <v>73</v>
      </c>
      <c r="Q410">
        <v>-73.599999999999994</v>
      </c>
      <c r="R410" t="s">
        <v>73</v>
      </c>
      <c r="U410" t="s">
        <v>226</v>
      </c>
      <c r="V410" t="s">
        <v>376</v>
      </c>
      <c r="W410" t="s">
        <v>228</v>
      </c>
      <c r="X410" t="s">
        <v>229</v>
      </c>
      <c r="Y410" t="s">
        <v>87</v>
      </c>
      <c r="AD410" t="s">
        <v>73</v>
      </c>
      <c r="AE410">
        <v>-73.599999999999994</v>
      </c>
      <c r="AF410">
        <v>42412910</v>
      </c>
      <c r="AG410" s="73">
        <v>45370.590277777781</v>
      </c>
      <c r="AH410" t="s">
        <v>226</v>
      </c>
      <c r="AI410" t="s">
        <v>376</v>
      </c>
      <c r="AJ410" t="s">
        <v>228</v>
      </c>
      <c r="AK410" t="s">
        <v>229</v>
      </c>
      <c r="AL410" t="s">
        <v>87</v>
      </c>
      <c r="AP410" t="s">
        <v>230</v>
      </c>
      <c r="AQ410" t="s">
        <v>231</v>
      </c>
      <c r="AT410" t="s">
        <v>232</v>
      </c>
      <c r="AU410">
        <v>-99</v>
      </c>
      <c r="AV410" t="s">
        <v>73</v>
      </c>
      <c r="AW410">
        <v>-73.599999999999994</v>
      </c>
      <c r="AX410">
        <v>42412910</v>
      </c>
      <c r="AY410" s="73">
        <v>45370.590277777781</v>
      </c>
      <c r="AZ410" t="s">
        <v>226</v>
      </c>
      <c r="BA410" t="s">
        <v>376</v>
      </c>
      <c r="BB410" t="s">
        <v>228</v>
      </c>
      <c r="BC410" t="s">
        <v>229</v>
      </c>
      <c r="BD410" t="s">
        <v>87</v>
      </c>
      <c r="BI410" t="s">
        <v>233</v>
      </c>
      <c r="BJ410" t="s">
        <v>0</v>
      </c>
      <c r="BK410">
        <v>42412906</v>
      </c>
      <c r="BN410" t="s">
        <v>73</v>
      </c>
      <c r="BR410">
        <v>-73.599999999999994</v>
      </c>
      <c r="BS410">
        <v>42412910</v>
      </c>
      <c r="BT410" s="73">
        <v>45370.590277777781</v>
      </c>
      <c r="BU410" t="s">
        <v>226</v>
      </c>
      <c r="BV410" t="s">
        <v>376</v>
      </c>
      <c r="BW410" t="s">
        <v>228</v>
      </c>
      <c r="CH410" t="s">
        <v>229</v>
      </c>
      <c r="CI410" t="s">
        <v>87</v>
      </c>
      <c r="CJ410" t="s">
        <v>226</v>
      </c>
      <c r="CK410" t="s">
        <v>376</v>
      </c>
      <c r="CL410" t="s">
        <v>228</v>
      </c>
      <c r="CM410" t="s">
        <v>234</v>
      </c>
      <c r="CN410" t="s">
        <v>73</v>
      </c>
      <c r="CO410">
        <v>-73.599999999999994</v>
      </c>
      <c r="CP410">
        <v>42412910</v>
      </c>
      <c r="CQ410" s="73">
        <v>45370.590277777781</v>
      </c>
      <c r="CR410" t="s">
        <v>229</v>
      </c>
      <c r="CS410" t="s">
        <v>87</v>
      </c>
      <c r="CU410" t="s">
        <v>225</v>
      </c>
    </row>
    <row r="411" spans="1:99">
      <c r="A411" t="s">
        <v>131</v>
      </c>
      <c r="B411" t="s">
        <v>90</v>
      </c>
      <c r="J411" t="s">
        <v>225</v>
      </c>
      <c r="K411" t="s">
        <v>225</v>
      </c>
      <c r="M411" s="73">
        <v>45370.590277777781</v>
      </c>
      <c r="N411">
        <v>42412903</v>
      </c>
      <c r="O411">
        <v>-131.5</v>
      </c>
      <c r="P411" t="s">
        <v>73</v>
      </c>
      <c r="Q411">
        <v>-131.5</v>
      </c>
      <c r="R411" t="s">
        <v>73</v>
      </c>
      <c r="U411" t="s">
        <v>226</v>
      </c>
      <c r="V411" t="s">
        <v>376</v>
      </c>
      <c r="W411" t="s">
        <v>228</v>
      </c>
      <c r="X411" t="s">
        <v>229</v>
      </c>
      <c r="Y411" t="s">
        <v>131</v>
      </c>
      <c r="AD411" t="s">
        <v>73</v>
      </c>
      <c r="AE411">
        <v>-131.5</v>
      </c>
      <c r="AF411">
        <v>42412903</v>
      </c>
      <c r="AG411" s="73">
        <v>45370.590277777781</v>
      </c>
      <c r="AH411" t="s">
        <v>226</v>
      </c>
      <c r="AI411" t="s">
        <v>376</v>
      </c>
      <c r="AJ411" t="s">
        <v>228</v>
      </c>
      <c r="AK411" t="s">
        <v>229</v>
      </c>
      <c r="AL411" t="s">
        <v>131</v>
      </c>
      <c r="AP411" t="s">
        <v>230</v>
      </c>
      <c r="AQ411" t="s">
        <v>231</v>
      </c>
      <c r="AT411" t="s">
        <v>232</v>
      </c>
      <c r="AU411">
        <v>-99</v>
      </c>
      <c r="AV411" t="s">
        <v>73</v>
      </c>
      <c r="AW411">
        <v>-131.5</v>
      </c>
      <c r="AX411">
        <v>42412903</v>
      </c>
      <c r="AY411" s="73">
        <v>45370.590277777781</v>
      </c>
      <c r="AZ411" t="s">
        <v>226</v>
      </c>
      <c r="BA411" t="s">
        <v>376</v>
      </c>
      <c r="BB411" t="s">
        <v>228</v>
      </c>
      <c r="BC411" t="s">
        <v>229</v>
      </c>
      <c r="BD411" t="s">
        <v>131</v>
      </c>
      <c r="BI411" t="s">
        <v>233</v>
      </c>
      <c r="BJ411" t="s">
        <v>0</v>
      </c>
      <c r="BK411">
        <v>42412899</v>
      </c>
      <c r="BN411" t="s">
        <v>73</v>
      </c>
      <c r="BR411">
        <v>-131.5</v>
      </c>
      <c r="BS411">
        <v>42412903</v>
      </c>
      <c r="BT411" s="73">
        <v>45370.590277777781</v>
      </c>
      <c r="BU411" t="s">
        <v>226</v>
      </c>
      <c r="BV411" t="s">
        <v>376</v>
      </c>
      <c r="BW411" t="s">
        <v>228</v>
      </c>
      <c r="CH411" t="s">
        <v>229</v>
      </c>
      <c r="CI411" t="s">
        <v>131</v>
      </c>
      <c r="CJ411" t="s">
        <v>226</v>
      </c>
      <c r="CK411" t="s">
        <v>376</v>
      </c>
      <c r="CL411" t="s">
        <v>228</v>
      </c>
      <c r="CM411" t="s">
        <v>234</v>
      </c>
      <c r="CN411" t="s">
        <v>73</v>
      </c>
      <c r="CO411">
        <v>-131.5</v>
      </c>
      <c r="CP411">
        <v>42412903</v>
      </c>
      <c r="CQ411" s="73">
        <v>45370.590277777781</v>
      </c>
      <c r="CR411" t="s">
        <v>229</v>
      </c>
      <c r="CS411" t="s">
        <v>131</v>
      </c>
      <c r="CU411" t="s">
        <v>225</v>
      </c>
    </row>
    <row r="412" spans="1:99">
      <c r="A412" t="s">
        <v>42</v>
      </c>
      <c r="B412" t="s">
        <v>92</v>
      </c>
      <c r="J412" t="s">
        <v>225</v>
      </c>
      <c r="K412" t="s">
        <v>225</v>
      </c>
      <c r="M412" s="73">
        <v>45370.290972222225</v>
      </c>
      <c r="N412">
        <v>42408900</v>
      </c>
      <c r="O412">
        <v>-5726</v>
      </c>
      <c r="P412" t="s">
        <v>45</v>
      </c>
      <c r="Q412">
        <v>-5726</v>
      </c>
      <c r="R412" t="s">
        <v>45</v>
      </c>
      <c r="U412" t="s">
        <v>226</v>
      </c>
      <c r="V412" t="s">
        <v>377</v>
      </c>
      <c r="W412" t="s">
        <v>228</v>
      </c>
      <c r="X412" t="s">
        <v>229</v>
      </c>
      <c r="Y412" t="s">
        <v>42</v>
      </c>
      <c r="AD412" t="s">
        <v>45</v>
      </c>
      <c r="AE412">
        <v>-5726</v>
      </c>
      <c r="AF412">
        <v>42408900</v>
      </c>
      <c r="AG412" s="73">
        <v>45370.290972222225</v>
      </c>
      <c r="AH412" t="s">
        <v>226</v>
      </c>
      <c r="AI412" t="s">
        <v>377</v>
      </c>
      <c r="AJ412" t="s">
        <v>228</v>
      </c>
      <c r="AK412" t="s">
        <v>229</v>
      </c>
      <c r="AL412" t="s">
        <v>42</v>
      </c>
      <c r="AP412" t="s">
        <v>230</v>
      </c>
      <c r="AQ412" t="s">
        <v>231</v>
      </c>
      <c r="AT412" t="s">
        <v>232</v>
      </c>
      <c r="AU412">
        <v>-99</v>
      </c>
      <c r="AV412" t="s">
        <v>45</v>
      </c>
      <c r="AW412">
        <v>-5726</v>
      </c>
      <c r="AX412">
        <v>42408900</v>
      </c>
      <c r="AY412" s="73">
        <v>45370.290972222225</v>
      </c>
      <c r="AZ412" t="s">
        <v>226</v>
      </c>
      <c r="BA412" t="s">
        <v>377</v>
      </c>
      <c r="BB412" t="s">
        <v>228</v>
      </c>
      <c r="BC412" t="s">
        <v>229</v>
      </c>
      <c r="BD412" t="s">
        <v>42</v>
      </c>
      <c r="BI412" t="s">
        <v>233</v>
      </c>
      <c r="BJ412" t="s">
        <v>0</v>
      </c>
      <c r="BK412">
        <v>42408862</v>
      </c>
      <c r="BN412" t="s">
        <v>45</v>
      </c>
      <c r="BR412">
        <v>-5726</v>
      </c>
      <c r="BS412">
        <v>42408900</v>
      </c>
      <c r="BT412" s="73">
        <v>45370.290972222225</v>
      </c>
      <c r="BU412" t="s">
        <v>226</v>
      </c>
      <c r="BV412" t="s">
        <v>377</v>
      </c>
      <c r="BW412" t="s">
        <v>228</v>
      </c>
      <c r="CH412" t="s">
        <v>229</v>
      </c>
      <c r="CI412" t="s">
        <v>42</v>
      </c>
      <c r="CJ412" t="s">
        <v>226</v>
      </c>
      <c r="CK412" t="s">
        <v>377</v>
      </c>
      <c r="CL412" t="s">
        <v>228</v>
      </c>
      <c r="CM412" t="s">
        <v>234</v>
      </c>
      <c r="CN412" t="s">
        <v>45</v>
      </c>
      <c r="CO412">
        <v>-5726</v>
      </c>
      <c r="CP412">
        <v>42408900</v>
      </c>
      <c r="CQ412" s="73">
        <v>45370.290972222225</v>
      </c>
      <c r="CR412" t="s">
        <v>229</v>
      </c>
      <c r="CS412" t="s">
        <v>42</v>
      </c>
      <c r="CU412" t="s">
        <v>225</v>
      </c>
    </row>
    <row r="413" spans="1:99">
      <c r="A413" t="s">
        <v>99</v>
      </c>
      <c r="B413" t="s">
        <v>98</v>
      </c>
      <c r="J413" t="s">
        <v>225</v>
      </c>
      <c r="K413" t="s">
        <v>225</v>
      </c>
      <c r="M413" s="73">
        <v>45370.290972222225</v>
      </c>
      <c r="N413">
        <v>42408899</v>
      </c>
      <c r="O413">
        <v>-286</v>
      </c>
      <c r="P413" t="s">
        <v>73</v>
      </c>
      <c r="Q413">
        <v>-286</v>
      </c>
      <c r="R413" t="s">
        <v>73</v>
      </c>
      <c r="U413" t="s">
        <v>226</v>
      </c>
      <c r="V413" t="s">
        <v>377</v>
      </c>
      <c r="W413" t="s">
        <v>228</v>
      </c>
      <c r="X413" t="s">
        <v>229</v>
      </c>
      <c r="Y413" t="s">
        <v>99</v>
      </c>
      <c r="AD413" t="s">
        <v>73</v>
      </c>
      <c r="AE413">
        <v>-286</v>
      </c>
      <c r="AF413">
        <v>42408899</v>
      </c>
      <c r="AG413" s="73">
        <v>45370.290972222225</v>
      </c>
      <c r="AH413" t="s">
        <v>226</v>
      </c>
      <c r="AI413" t="s">
        <v>377</v>
      </c>
      <c r="AJ413" t="s">
        <v>228</v>
      </c>
      <c r="AK413" t="s">
        <v>229</v>
      </c>
      <c r="AL413" t="s">
        <v>99</v>
      </c>
      <c r="AP413" t="s">
        <v>230</v>
      </c>
      <c r="AQ413" t="s">
        <v>231</v>
      </c>
      <c r="AT413" t="s">
        <v>232</v>
      </c>
      <c r="AU413">
        <v>-99</v>
      </c>
      <c r="AV413" t="s">
        <v>73</v>
      </c>
      <c r="AW413">
        <v>-286</v>
      </c>
      <c r="AX413">
        <v>42408899</v>
      </c>
      <c r="AY413" s="73">
        <v>45370.290972222225</v>
      </c>
      <c r="AZ413" t="s">
        <v>226</v>
      </c>
      <c r="BA413" t="s">
        <v>377</v>
      </c>
      <c r="BB413" t="s">
        <v>228</v>
      </c>
      <c r="BC413" t="s">
        <v>229</v>
      </c>
      <c r="BD413" t="s">
        <v>99</v>
      </c>
      <c r="BI413" t="s">
        <v>233</v>
      </c>
      <c r="BJ413" t="s">
        <v>0</v>
      </c>
      <c r="BK413">
        <v>42408862</v>
      </c>
      <c r="BN413" t="s">
        <v>73</v>
      </c>
      <c r="BR413">
        <v>-286</v>
      </c>
      <c r="BS413">
        <v>42408899</v>
      </c>
      <c r="BT413" s="73">
        <v>45370.290972222225</v>
      </c>
      <c r="BU413" t="s">
        <v>226</v>
      </c>
      <c r="BV413" t="s">
        <v>377</v>
      </c>
      <c r="BW413" t="s">
        <v>228</v>
      </c>
      <c r="CH413" t="s">
        <v>229</v>
      </c>
      <c r="CI413" t="s">
        <v>99</v>
      </c>
      <c r="CJ413" t="s">
        <v>226</v>
      </c>
      <c r="CK413" t="s">
        <v>377</v>
      </c>
      <c r="CL413" t="s">
        <v>228</v>
      </c>
      <c r="CM413" t="s">
        <v>234</v>
      </c>
      <c r="CN413" t="s">
        <v>73</v>
      </c>
      <c r="CO413">
        <v>-286</v>
      </c>
      <c r="CP413">
        <v>42408899</v>
      </c>
      <c r="CQ413" s="73">
        <v>45370.290972222225</v>
      </c>
      <c r="CR413" t="s">
        <v>229</v>
      </c>
      <c r="CS413" t="s">
        <v>99</v>
      </c>
      <c r="CU413" t="s">
        <v>225</v>
      </c>
    </row>
    <row r="414" spans="1:99">
      <c r="A414" t="s">
        <v>103</v>
      </c>
      <c r="B414" t="s">
        <v>98</v>
      </c>
      <c r="J414" t="s">
        <v>225</v>
      </c>
      <c r="K414" t="s">
        <v>225</v>
      </c>
      <c r="M414" s="73">
        <v>45370.290972222225</v>
      </c>
      <c r="N414">
        <v>42408898</v>
      </c>
      <c r="O414">
        <v>5720</v>
      </c>
      <c r="P414" t="s">
        <v>104</v>
      </c>
      <c r="Q414">
        <v>5720</v>
      </c>
      <c r="R414" t="s">
        <v>104</v>
      </c>
      <c r="S414">
        <v>286</v>
      </c>
      <c r="T414" t="s">
        <v>73</v>
      </c>
      <c r="U414" t="s">
        <v>226</v>
      </c>
      <c r="V414" t="s">
        <v>377</v>
      </c>
      <c r="W414" t="s">
        <v>235</v>
      </c>
      <c r="X414" t="s">
        <v>229</v>
      </c>
      <c r="Y414" t="s">
        <v>103</v>
      </c>
      <c r="AD414" t="s">
        <v>104</v>
      </c>
      <c r="AE414">
        <v>5720</v>
      </c>
      <c r="AF414">
        <v>42408898</v>
      </c>
      <c r="AG414" s="73">
        <v>45370.290972222225</v>
      </c>
      <c r="AH414" t="s">
        <v>226</v>
      </c>
      <c r="AI414" t="s">
        <v>377</v>
      </c>
      <c r="AJ414" t="s">
        <v>235</v>
      </c>
      <c r="AK414" t="s">
        <v>229</v>
      </c>
      <c r="AL414" t="s">
        <v>103</v>
      </c>
      <c r="AP414" t="s">
        <v>230</v>
      </c>
      <c r="AQ414" t="s">
        <v>231</v>
      </c>
      <c r="AT414" t="s">
        <v>232</v>
      </c>
      <c r="AU414">
        <v>-99</v>
      </c>
      <c r="AV414" t="s">
        <v>104</v>
      </c>
      <c r="AW414">
        <v>5720</v>
      </c>
      <c r="AX414">
        <v>42408898</v>
      </c>
      <c r="AY414" s="73">
        <v>45370.290972222225</v>
      </c>
      <c r="AZ414" t="s">
        <v>226</v>
      </c>
      <c r="BA414" t="s">
        <v>377</v>
      </c>
      <c r="BB414" t="s">
        <v>235</v>
      </c>
      <c r="BC414" t="s">
        <v>229</v>
      </c>
      <c r="BD414" t="s">
        <v>103</v>
      </c>
      <c r="BI414" t="s">
        <v>233</v>
      </c>
      <c r="BJ414" t="s">
        <v>0</v>
      </c>
      <c r="BK414">
        <v>42408862</v>
      </c>
      <c r="BN414" t="s">
        <v>104</v>
      </c>
      <c r="BO414">
        <v>42408890</v>
      </c>
      <c r="BR414">
        <v>5720</v>
      </c>
      <c r="BS414">
        <v>42408898</v>
      </c>
      <c r="BT414" s="73">
        <v>45370.290972222225</v>
      </c>
      <c r="BU414" t="s">
        <v>226</v>
      </c>
      <c r="BV414" t="s">
        <v>377</v>
      </c>
      <c r="BW414" t="s">
        <v>235</v>
      </c>
      <c r="CH414" t="s">
        <v>229</v>
      </c>
      <c r="CI414" t="s">
        <v>103</v>
      </c>
      <c r="CJ414" t="s">
        <v>226</v>
      </c>
      <c r="CK414" t="s">
        <v>377</v>
      </c>
      <c r="CL414" t="s">
        <v>235</v>
      </c>
      <c r="CM414" t="s">
        <v>236</v>
      </c>
      <c r="CN414" t="s">
        <v>104</v>
      </c>
      <c r="CO414">
        <v>5720</v>
      </c>
      <c r="CP414">
        <v>42408898</v>
      </c>
      <c r="CQ414" s="73">
        <v>45370.290972222225</v>
      </c>
      <c r="CR414" t="s">
        <v>229</v>
      </c>
      <c r="CS414" t="s">
        <v>103</v>
      </c>
      <c r="CU414" t="s">
        <v>225</v>
      </c>
    </row>
    <row r="415" spans="1:99">
      <c r="A415" t="s">
        <v>111</v>
      </c>
      <c r="B415" t="s">
        <v>77</v>
      </c>
      <c r="J415" t="s">
        <v>225</v>
      </c>
      <c r="K415" t="s">
        <v>225</v>
      </c>
      <c r="M415" s="73">
        <v>45370.290972222225</v>
      </c>
      <c r="N415">
        <v>42408897</v>
      </c>
      <c r="O415">
        <v>6</v>
      </c>
      <c r="P415" t="s">
        <v>45</v>
      </c>
      <c r="Q415">
        <v>6</v>
      </c>
      <c r="R415" t="s">
        <v>45</v>
      </c>
      <c r="U415" t="s">
        <v>226</v>
      </c>
      <c r="V415" t="s">
        <v>377</v>
      </c>
      <c r="W415" t="s">
        <v>237</v>
      </c>
      <c r="X415" t="s">
        <v>229</v>
      </c>
      <c r="Y415" t="s">
        <v>111</v>
      </c>
      <c r="AD415" t="s">
        <v>45</v>
      </c>
      <c r="AE415">
        <v>6</v>
      </c>
      <c r="AF415">
        <v>42408897</v>
      </c>
      <c r="AG415" s="73">
        <v>45370.290972222225</v>
      </c>
      <c r="AH415" t="s">
        <v>226</v>
      </c>
      <c r="AI415" t="s">
        <v>377</v>
      </c>
      <c r="AJ415" t="s">
        <v>237</v>
      </c>
      <c r="AK415" t="s">
        <v>229</v>
      </c>
      <c r="AL415" t="s">
        <v>111</v>
      </c>
      <c r="AP415" t="s">
        <v>230</v>
      </c>
      <c r="AQ415" t="s">
        <v>231</v>
      </c>
      <c r="AT415" t="s">
        <v>232</v>
      </c>
      <c r="AU415">
        <v>-99</v>
      </c>
      <c r="AV415" t="s">
        <v>45</v>
      </c>
      <c r="AW415">
        <v>6</v>
      </c>
      <c r="AX415">
        <v>42408897</v>
      </c>
      <c r="AY415" s="73">
        <v>45370.290972222225</v>
      </c>
      <c r="AZ415" t="s">
        <v>226</v>
      </c>
      <c r="BA415" t="s">
        <v>377</v>
      </c>
      <c r="BB415" t="s">
        <v>237</v>
      </c>
      <c r="BC415" t="s">
        <v>229</v>
      </c>
      <c r="BD415" t="s">
        <v>111</v>
      </c>
      <c r="BI415" t="s">
        <v>233</v>
      </c>
      <c r="BJ415" t="s">
        <v>0</v>
      </c>
      <c r="BK415">
        <v>42408862</v>
      </c>
      <c r="BN415" t="s">
        <v>45</v>
      </c>
      <c r="BO415">
        <v>42408892</v>
      </c>
      <c r="BR415">
        <v>6</v>
      </c>
      <c r="BS415">
        <v>42408897</v>
      </c>
      <c r="BT415" s="73">
        <v>45370.290972222225</v>
      </c>
      <c r="BU415" t="s">
        <v>226</v>
      </c>
      <c r="BV415" t="s">
        <v>377</v>
      </c>
      <c r="BW415" t="s">
        <v>237</v>
      </c>
      <c r="CH415" t="s">
        <v>229</v>
      </c>
      <c r="CI415" t="s">
        <v>111</v>
      </c>
      <c r="CJ415" t="s">
        <v>226</v>
      </c>
      <c r="CK415" t="s">
        <v>377</v>
      </c>
      <c r="CL415" t="s">
        <v>237</v>
      </c>
      <c r="CM415" t="s">
        <v>236</v>
      </c>
      <c r="CN415" t="s">
        <v>45</v>
      </c>
      <c r="CO415">
        <v>6</v>
      </c>
      <c r="CP415">
        <v>42408897</v>
      </c>
      <c r="CQ415" s="73">
        <v>45370.290972222225</v>
      </c>
      <c r="CR415" t="s">
        <v>229</v>
      </c>
      <c r="CS415" t="s">
        <v>111</v>
      </c>
      <c r="CU415" t="s">
        <v>225</v>
      </c>
    </row>
    <row r="416" spans="1:99">
      <c r="A416" t="s">
        <v>113</v>
      </c>
      <c r="B416" t="s">
        <v>90</v>
      </c>
      <c r="J416" t="s">
        <v>225</v>
      </c>
      <c r="K416" t="s">
        <v>225</v>
      </c>
      <c r="M416" s="73">
        <v>45370.256956018522</v>
      </c>
      <c r="N416">
        <v>42412987</v>
      </c>
      <c r="O416">
        <v>-300</v>
      </c>
      <c r="P416" t="s">
        <v>115</v>
      </c>
      <c r="Q416">
        <v>-300</v>
      </c>
      <c r="R416" t="s">
        <v>115</v>
      </c>
      <c r="U416" t="s">
        <v>226</v>
      </c>
      <c r="V416" t="s">
        <v>376</v>
      </c>
      <c r="W416" t="s">
        <v>228</v>
      </c>
      <c r="X416" t="s">
        <v>229</v>
      </c>
      <c r="Y416" t="s">
        <v>113</v>
      </c>
      <c r="AD416" t="s">
        <v>115</v>
      </c>
      <c r="AE416">
        <v>-300</v>
      </c>
      <c r="AF416">
        <v>42412987</v>
      </c>
      <c r="AG416" s="73">
        <v>45370.256956018522</v>
      </c>
      <c r="AH416" t="s">
        <v>226</v>
      </c>
      <c r="AI416" t="s">
        <v>376</v>
      </c>
      <c r="AJ416" t="s">
        <v>228</v>
      </c>
      <c r="AK416" t="s">
        <v>229</v>
      </c>
      <c r="AL416" t="s">
        <v>113</v>
      </c>
      <c r="AP416" t="s">
        <v>230</v>
      </c>
      <c r="AQ416" t="s">
        <v>231</v>
      </c>
      <c r="AT416" t="s">
        <v>232</v>
      </c>
      <c r="AU416">
        <v>-99</v>
      </c>
      <c r="AV416" t="s">
        <v>115</v>
      </c>
      <c r="AW416">
        <v>-300</v>
      </c>
      <c r="AX416">
        <v>42412987</v>
      </c>
      <c r="AY416" s="73">
        <v>45370.256956018522</v>
      </c>
      <c r="AZ416" t="s">
        <v>226</v>
      </c>
      <c r="BA416" t="s">
        <v>376</v>
      </c>
      <c r="BB416" t="s">
        <v>228</v>
      </c>
      <c r="BC416" t="s">
        <v>229</v>
      </c>
      <c r="BD416" t="s">
        <v>113</v>
      </c>
      <c r="BI416" t="s">
        <v>233</v>
      </c>
      <c r="BJ416" t="s">
        <v>0</v>
      </c>
      <c r="BK416">
        <v>42412979</v>
      </c>
      <c r="BN416" t="s">
        <v>115</v>
      </c>
      <c r="BR416">
        <v>-300</v>
      </c>
      <c r="BS416">
        <v>42412987</v>
      </c>
      <c r="BT416" s="73">
        <v>45370.256956018522</v>
      </c>
      <c r="BU416" t="s">
        <v>226</v>
      </c>
      <c r="BV416" t="s">
        <v>376</v>
      </c>
      <c r="BW416" t="s">
        <v>228</v>
      </c>
      <c r="CH416" t="s">
        <v>229</v>
      </c>
      <c r="CI416" t="s">
        <v>113</v>
      </c>
      <c r="CJ416" t="s">
        <v>226</v>
      </c>
      <c r="CK416" t="s">
        <v>376</v>
      </c>
      <c r="CL416" t="s">
        <v>228</v>
      </c>
      <c r="CM416" t="s">
        <v>234</v>
      </c>
      <c r="CN416" t="s">
        <v>115</v>
      </c>
      <c r="CO416">
        <v>-300</v>
      </c>
      <c r="CP416">
        <v>42412987</v>
      </c>
      <c r="CQ416" s="73">
        <v>45370.256956018522</v>
      </c>
      <c r="CR416" t="s">
        <v>229</v>
      </c>
      <c r="CS416" t="s">
        <v>113</v>
      </c>
      <c r="CU416" t="s">
        <v>225</v>
      </c>
    </row>
    <row r="417" spans="1:99">
      <c r="A417" t="s">
        <v>129</v>
      </c>
      <c r="B417" t="s">
        <v>90</v>
      </c>
      <c r="J417" t="s">
        <v>225</v>
      </c>
      <c r="K417" t="s">
        <v>225</v>
      </c>
      <c r="M417" s="73">
        <v>45370.256956018522</v>
      </c>
      <c r="N417">
        <v>42412986</v>
      </c>
      <c r="O417">
        <v>-6</v>
      </c>
      <c r="P417" t="s">
        <v>73</v>
      </c>
      <c r="Q417">
        <v>-6</v>
      </c>
      <c r="R417" t="s">
        <v>73</v>
      </c>
      <c r="U417" t="s">
        <v>226</v>
      </c>
      <c r="V417" t="s">
        <v>376</v>
      </c>
      <c r="W417" t="s">
        <v>228</v>
      </c>
      <c r="X417" t="s">
        <v>229</v>
      </c>
      <c r="Y417" t="s">
        <v>129</v>
      </c>
      <c r="AD417" t="s">
        <v>73</v>
      </c>
      <c r="AE417">
        <v>-6</v>
      </c>
      <c r="AF417">
        <v>42412986</v>
      </c>
      <c r="AG417" s="73">
        <v>45370.256956018522</v>
      </c>
      <c r="AH417" t="s">
        <v>226</v>
      </c>
      <c r="AI417" t="s">
        <v>376</v>
      </c>
      <c r="AJ417" t="s">
        <v>228</v>
      </c>
      <c r="AK417" t="s">
        <v>229</v>
      </c>
      <c r="AL417" t="s">
        <v>129</v>
      </c>
      <c r="AP417" t="s">
        <v>230</v>
      </c>
      <c r="AQ417" t="s">
        <v>231</v>
      </c>
      <c r="AT417" t="s">
        <v>232</v>
      </c>
      <c r="AU417">
        <v>-99</v>
      </c>
      <c r="AV417" t="s">
        <v>73</v>
      </c>
      <c r="AW417">
        <v>-6</v>
      </c>
      <c r="AX417">
        <v>42412986</v>
      </c>
      <c r="AY417" s="73">
        <v>45370.256956018522</v>
      </c>
      <c r="AZ417" t="s">
        <v>226</v>
      </c>
      <c r="BA417" t="s">
        <v>376</v>
      </c>
      <c r="BB417" t="s">
        <v>228</v>
      </c>
      <c r="BC417" t="s">
        <v>229</v>
      </c>
      <c r="BD417" t="s">
        <v>129</v>
      </c>
      <c r="BI417" t="s">
        <v>233</v>
      </c>
      <c r="BJ417" t="s">
        <v>0</v>
      </c>
      <c r="BK417">
        <v>42412979</v>
      </c>
      <c r="BN417" t="s">
        <v>73</v>
      </c>
      <c r="BR417">
        <v>-6</v>
      </c>
      <c r="BS417">
        <v>42412986</v>
      </c>
      <c r="BT417" s="73">
        <v>45370.256956018522</v>
      </c>
      <c r="BU417" t="s">
        <v>226</v>
      </c>
      <c r="BV417" t="s">
        <v>376</v>
      </c>
      <c r="BW417" t="s">
        <v>228</v>
      </c>
      <c r="CH417" t="s">
        <v>229</v>
      </c>
      <c r="CI417" t="s">
        <v>129</v>
      </c>
      <c r="CJ417" t="s">
        <v>226</v>
      </c>
      <c r="CK417" t="s">
        <v>376</v>
      </c>
      <c r="CL417" t="s">
        <v>228</v>
      </c>
      <c r="CM417" t="s">
        <v>234</v>
      </c>
      <c r="CN417" t="s">
        <v>73</v>
      </c>
      <c r="CO417">
        <v>-6</v>
      </c>
      <c r="CP417">
        <v>42412986</v>
      </c>
      <c r="CQ417" s="73">
        <v>45370.256956018522</v>
      </c>
      <c r="CR417" t="s">
        <v>229</v>
      </c>
      <c r="CS417" t="s">
        <v>129</v>
      </c>
      <c r="CU417" t="s">
        <v>225</v>
      </c>
    </row>
    <row r="418" spans="1:99">
      <c r="A418" t="s">
        <v>52</v>
      </c>
      <c r="B418" t="s">
        <v>92</v>
      </c>
      <c r="J418" t="s">
        <v>225</v>
      </c>
      <c r="K418" t="s">
        <v>225</v>
      </c>
      <c r="M418" s="73">
        <v>45370.253472222219</v>
      </c>
      <c r="N418">
        <v>42408985</v>
      </c>
      <c r="O418">
        <v>-300</v>
      </c>
      <c r="P418" t="s">
        <v>45</v>
      </c>
      <c r="Q418">
        <v>-300</v>
      </c>
      <c r="R418" t="s">
        <v>45</v>
      </c>
      <c r="U418" t="s">
        <v>226</v>
      </c>
      <c r="V418" t="s">
        <v>378</v>
      </c>
      <c r="W418" t="s">
        <v>228</v>
      </c>
      <c r="X418" t="s">
        <v>229</v>
      </c>
      <c r="Y418" t="s">
        <v>52</v>
      </c>
      <c r="AD418" t="s">
        <v>45</v>
      </c>
      <c r="AE418">
        <v>-300</v>
      </c>
      <c r="AF418">
        <v>42408985</v>
      </c>
      <c r="AG418" s="73">
        <v>45370.253472222219</v>
      </c>
      <c r="AH418" t="s">
        <v>226</v>
      </c>
      <c r="AI418" t="s">
        <v>378</v>
      </c>
      <c r="AJ418" t="s">
        <v>228</v>
      </c>
      <c r="AK418" t="s">
        <v>229</v>
      </c>
      <c r="AL418" t="s">
        <v>52</v>
      </c>
      <c r="AP418" t="s">
        <v>230</v>
      </c>
      <c r="AQ418" t="s">
        <v>231</v>
      </c>
      <c r="AT418" t="s">
        <v>232</v>
      </c>
      <c r="AU418">
        <v>-99</v>
      </c>
      <c r="AV418" t="s">
        <v>45</v>
      </c>
      <c r="AW418">
        <v>-300</v>
      </c>
      <c r="AX418">
        <v>42408985</v>
      </c>
      <c r="AY418" s="73">
        <v>45370.253472222219</v>
      </c>
      <c r="AZ418" t="s">
        <v>226</v>
      </c>
      <c r="BA418" t="s">
        <v>378</v>
      </c>
      <c r="BB418" t="s">
        <v>228</v>
      </c>
      <c r="BC418" t="s">
        <v>229</v>
      </c>
      <c r="BD418" t="s">
        <v>52</v>
      </c>
      <c r="BI418" t="s">
        <v>233</v>
      </c>
      <c r="BJ418" t="s">
        <v>0</v>
      </c>
      <c r="BK418">
        <v>42408973</v>
      </c>
      <c r="BN418" t="s">
        <v>45</v>
      </c>
      <c r="BR418">
        <v>-300</v>
      </c>
      <c r="BS418">
        <v>42408985</v>
      </c>
      <c r="BT418" s="73">
        <v>45370.253472222219</v>
      </c>
      <c r="BU418" t="s">
        <v>226</v>
      </c>
      <c r="BV418" t="s">
        <v>378</v>
      </c>
      <c r="BW418" t="s">
        <v>228</v>
      </c>
      <c r="CH418" t="s">
        <v>229</v>
      </c>
      <c r="CI418" t="s">
        <v>52</v>
      </c>
      <c r="CJ418" t="s">
        <v>226</v>
      </c>
      <c r="CK418" t="s">
        <v>378</v>
      </c>
      <c r="CL418" t="s">
        <v>228</v>
      </c>
      <c r="CM418" t="s">
        <v>234</v>
      </c>
      <c r="CN418" t="s">
        <v>45</v>
      </c>
      <c r="CO418">
        <v>-300</v>
      </c>
      <c r="CP418">
        <v>42408985</v>
      </c>
      <c r="CQ418" s="73">
        <v>45370.253472222219</v>
      </c>
      <c r="CR418" t="s">
        <v>229</v>
      </c>
      <c r="CS418" t="s">
        <v>52</v>
      </c>
      <c r="CU418" t="s">
        <v>225</v>
      </c>
    </row>
    <row r="419" spans="1:99">
      <c r="A419" t="s">
        <v>101</v>
      </c>
      <c r="B419" t="s">
        <v>98</v>
      </c>
      <c r="J419" t="s">
        <v>225</v>
      </c>
      <c r="K419" t="s">
        <v>225</v>
      </c>
      <c r="M419" s="73">
        <v>45370.253472222219</v>
      </c>
      <c r="N419">
        <v>42408984</v>
      </c>
      <c r="O419">
        <v>-15</v>
      </c>
      <c r="P419" t="s">
        <v>73</v>
      </c>
      <c r="Q419">
        <v>-15</v>
      </c>
      <c r="R419" t="s">
        <v>73</v>
      </c>
      <c r="U419" t="s">
        <v>226</v>
      </c>
      <c r="V419" t="s">
        <v>378</v>
      </c>
      <c r="W419" t="s">
        <v>228</v>
      </c>
      <c r="X419" t="s">
        <v>229</v>
      </c>
      <c r="Y419" t="s">
        <v>101</v>
      </c>
      <c r="AD419" t="s">
        <v>73</v>
      </c>
      <c r="AE419">
        <v>-15</v>
      </c>
      <c r="AF419">
        <v>42408984</v>
      </c>
      <c r="AG419" s="73">
        <v>45370.253472222219</v>
      </c>
      <c r="AH419" t="s">
        <v>226</v>
      </c>
      <c r="AI419" t="s">
        <v>378</v>
      </c>
      <c r="AJ419" t="s">
        <v>228</v>
      </c>
      <c r="AK419" t="s">
        <v>229</v>
      </c>
      <c r="AL419" t="s">
        <v>101</v>
      </c>
      <c r="AP419" t="s">
        <v>230</v>
      </c>
      <c r="AQ419" t="s">
        <v>231</v>
      </c>
      <c r="AT419" t="s">
        <v>232</v>
      </c>
      <c r="AU419">
        <v>-99</v>
      </c>
      <c r="AV419" t="s">
        <v>73</v>
      </c>
      <c r="AW419">
        <v>-15</v>
      </c>
      <c r="AX419">
        <v>42408984</v>
      </c>
      <c r="AY419" s="73">
        <v>45370.253472222219</v>
      </c>
      <c r="AZ419" t="s">
        <v>226</v>
      </c>
      <c r="BA419" t="s">
        <v>378</v>
      </c>
      <c r="BB419" t="s">
        <v>228</v>
      </c>
      <c r="BC419" t="s">
        <v>229</v>
      </c>
      <c r="BD419" t="s">
        <v>101</v>
      </c>
      <c r="BI419" t="s">
        <v>233</v>
      </c>
      <c r="BJ419" t="s">
        <v>0</v>
      </c>
      <c r="BK419">
        <v>42408973</v>
      </c>
      <c r="BN419" t="s">
        <v>73</v>
      </c>
      <c r="BR419">
        <v>-15</v>
      </c>
      <c r="BS419">
        <v>42408984</v>
      </c>
      <c r="BT419" s="73">
        <v>45370.253472222219</v>
      </c>
      <c r="BU419" t="s">
        <v>226</v>
      </c>
      <c r="BV419" t="s">
        <v>378</v>
      </c>
      <c r="BW419" t="s">
        <v>228</v>
      </c>
      <c r="CH419" t="s">
        <v>229</v>
      </c>
      <c r="CI419" t="s">
        <v>101</v>
      </c>
      <c r="CJ419" t="s">
        <v>226</v>
      </c>
      <c r="CK419" t="s">
        <v>378</v>
      </c>
      <c r="CL419" t="s">
        <v>228</v>
      </c>
      <c r="CM419" t="s">
        <v>234</v>
      </c>
      <c r="CN419" t="s">
        <v>73</v>
      </c>
      <c r="CO419">
        <v>-15</v>
      </c>
      <c r="CP419">
        <v>42408984</v>
      </c>
      <c r="CQ419" s="73">
        <v>45370.253472222219</v>
      </c>
      <c r="CR419" t="s">
        <v>229</v>
      </c>
      <c r="CS419" t="s">
        <v>101</v>
      </c>
      <c r="CU419" t="s">
        <v>225</v>
      </c>
    </row>
    <row r="420" spans="1:99">
      <c r="A420" t="s">
        <v>107</v>
      </c>
      <c r="B420" t="s">
        <v>98</v>
      </c>
      <c r="J420" t="s">
        <v>225</v>
      </c>
      <c r="K420" t="s">
        <v>225</v>
      </c>
      <c r="M420" s="73">
        <v>45370.253472222219</v>
      </c>
      <c r="N420">
        <v>42408983</v>
      </c>
      <c r="O420">
        <v>300</v>
      </c>
      <c r="P420" t="s">
        <v>104</v>
      </c>
      <c r="Q420">
        <v>300</v>
      </c>
      <c r="R420" t="s">
        <v>104</v>
      </c>
      <c r="S420">
        <v>15</v>
      </c>
      <c r="T420" t="s">
        <v>73</v>
      </c>
      <c r="U420" t="s">
        <v>226</v>
      </c>
      <c r="V420" t="s">
        <v>378</v>
      </c>
      <c r="W420" t="s">
        <v>235</v>
      </c>
      <c r="X420" t="s">
        <v>229</v>
      </c>
      <c r="Y420" t="s">
        <v>107</v>
      </c>
      <c r="AD420" t="s">
        <v>104</v>
      </c>
      <c r="AE420">
        <v>300</v>
      </c>
      <c r="AF420">
        <v>42408983</v>
      </c>
      <c r="AG420" s="73">
        <v>45370.253472222219</v>
      </c>
      <c r="AH420" t="s">
        <v>226</v>
      </c>
      <c r="AI420" t="s">
        <v>378</v>
      </c>
      <c r="AJ420" t="s">
        <v>235</v>
      </c>
      <c r="AK420" t="s">
        <v>229</v>
      </c>
      <c r="AL420" t="s">
        <v>107</v>
      </c>
      <c r="AP420" t="s">
        <v>230</v>
      </c>
      <c r="AQ420" t="s">
        <v>231</v>
      </c>
      <c r="AT420" t="s">
        <v>232</v>
      </c>
      <c r="AU420">
        <v>-99</v>
      </c>
      <c r="AV420" t="s">
        <v>104</v>
      </c>
      <c r="AW420">
        <v>300</v>
      </c>
      <c r="AX420">
        <v>42408983</v>
      </c>
      <c r="AY420" s="73">
        <v>45370.253472222219</v>
      </c>
      <c r="AZ420" t="s">
        <v>226</v>
      </c>
      <c r="BA420" t="s">
        <v>378</v>
      </c>
      <c r="BB420" t="s">
        <v>235</v>
      </c>
      <c r="BC420" t="s">
        <v>229</v>
      </c>
      <c r="BD420" t="s">
        <v>107</v>
      </c>
      <c r="BI420" t="s">
        <v>233</v>
      </c>
      <c r="BJ420" t="s">
        <v>0</v>
      </c>
      <c r="BK420">
        <v>42408973</v>
      </c>
      <c r="BN420" t="s">
        <v>104</v>
      </c>
      <c r="BO420">
        <v>42408979</v>
      </c>
      <c r="BR420">
        <v>300</v>
      </c>
      <c r="BS420">
        <v>42408983</v>
      </c>
      <c r="BT420" s="73">
        <v>45370.253472222219</v>
      </c>
      <c r="BU420" t="s">
        <v>226</v>
      </c>
      <c r="BV420" t="s">
        <v>378</v>
      </c>
      <c r="BW420" t="s">
        <v>235</v>
      </c>
      <c r="CH420" t="s">
        <v>229</v>
      </c>
      <c r="CI420" t="s">
        <v>107</v>
      </c>
      <c r="CJ420" t="s">
        <v>226</v>
      </c>
      <c r="CK420" t="s">
        <v>378</v>
      </c>
      <c r="CL420" t="s">
        <v>235</v>
      </c>
      <c r="CM420" t="s">
        <v>236</v>
      </c>
      <c r="CN420" t="s">
        <v>104</v>
      </c>
      <c r="CO420">
        <v>300</v>
      </c>
      <c r="CP420">
        <v>42408983</v>
      </c>
      <c r="CQ420" s="73">
        <v>45370.253472222219</v>
      </c>
      <c r="CR420" t="s">
        <v>229</v>
      </c>
      <c r="CS420" t="s">
        <v>107</v>
      </c>
      <c r="CU420" t="s">
        <v>225</v>
      </c>
    </row>
    <row r="421" spans="1:99">
      <c r="A421" t="s">
        <v>46</v>
      </c>
      <c r="B421" t="s">
        <v>92</v>
      </c>
      <c r="J421" t="s">
        <v>225</v>
      </c>
      <c r="K421" t="s">
        <v>225</v>
      </c>
      <c r="M421" s="73">
        <v>45370.251388888886</v>
      </c>
      <c r="N421">
        <v>42408939</v>
      </c>
      <c r="O421">
        <v>-100</v>
      </c>
      <c r="P421" t="s">
        <v>45</v>
      </c>
      <c r="Q421">
        <v>-100</v>
      </c>
      <c r="R421" t="s">
        <v>45</v>
      </c>
      <c r="U421" t="s">
        <v>226</v>
      </c>
      <c r="V421" t="s">
        <v>379</v>
      </c>
      <c r="W421" t="s">
        <v>228</v>
      </c>
      <c r="X421" t="s">
        <v>229</v>
      </c>
      <c r="Y421" t="s">
        <v>46</v>
      </c>
      <c r="AD421" t="s">
        <v>45</v>
      </c>
      <c r="AE421">
        <v>-100</v>
      </c>
      <c r="AF421">
        <v>42408939</v>
      </c>
      <c r="AG421" s="73">
        <v>45370.251388888886</v>
      </c>
      <c r="AH421" t="s">
        <v>226</v>
      </c>
      <c r="AI421" t="s">
        <v>379</v>
      </c>
      <c r="AJ421" t="s">
        <v>228</v>
      </c>
      <c r="AK421" t="s">
        <v>229</v>
      </c>
      <c r="AL421" t="s">
        <v>46</v>
      </c>
      <c r="AP421" t="s">
        <v>230</v>
      </c>
      <c r="AQ421" t="s">
        <v>231</v>
      </c>
      <c r="AT421" t="s">
        <v>232</v>
      </c>
      <c r="AU421">
        <v>-99</v>
      </c>
      <c r="AV421" t="s">
        <v>45</v>
      </c>
      <c r="AW421">
        <v>-100</v>
      </c>
      <c r="AX421">
        <v>42408939</v>
      </c>
      <c r="AY421" s="73">
        <v>45370.251388888886</v>
      </c>
      <c r="AZ421" t="s">
        <v>226</v>
      </c>
      <c r="BA421" t="s">
        <v>379</v>
      </c>
      <c r="BB421" t="s">
        <v>228</v>
      </c>
      <c r="BC421" t="s">
        <v>229</v>
      </c>
      <c r="BD421" t="s">
        <v>46</v>
      </c>
      <c r="BI421" t="s">
        <v>233</v>
      </c>
      <c r="BJ421" t="s">
        <v>0</v>
      </c>
      <c r="BK421">
        <v>42408927</v>
      </c>
      <c r="BN421" t="s">
        <v>45</v>
      </c>
      <c r="BR421">
        <v>-100</v>
      </c>
      <c r="BS421">
        <v>42408939</v>
      </c>
      <c r="BT421" s="73">
        <v>45370.251388888886</v>
      </c>
      <c r="BU421" t="s">
        <v>226</v>
      </c>
      <c r="BV421" t="s">
        <v>379</v>
      </c>
      <c r="BW421" t="s">
        <v>228</v>
      </c>
      <c r="CH421" t="s">
        <v>229</v>
      </c>
      <c r="CI421" t="s">
        <v>46</v>
      </c>
      <c r="CJ421" t="s">
        <v>226</v>
      </c>
      <c r="CK421" t="s">
        <v>379</v>
      </c>
      <c r="CL421" t="s">
        <v>228</v>
      </c>
      <c r="CM421" t="s">
        <v>234</v>
      </c>
      <c r="CN421" t="s">
        <v>45</v>
      </c>
      <c r="CO421">
        <v>-100</v>
      </c>
      <c r="CP421">
        <v>42408939</v>
      </c>
      <c r="CQ421" s="73">
        <v>45370.251388888886</v>
      </c>
      <c r="CR421" t="s">
        <v>229</v>
      </c>
      <c r="CS421" t="s">
        <v>46</v>
      </c>
      <c r="CU421" t="s">
        <v>225</v>
      </c>
    </row>
    <row r="422" spans="1:99">
      <c r="A422" t="s">
        <v>93</v>
      </c>
      <c r="B422" t="s">
        <v>98</v>
      </c>
      <c r="J422" t="s">
        <v>225</v>
      </c>
      <c r="K422" t="s">
        <v>225</v>
      </c>
      <c r="M422" s="73">
        <v>45370.251388888886</v>
      </c>
      <c r="N422">
        <v>42408938</v>
      </c>
      <c r="O422">
        <v>-5</v>
      </c>
      <c r="P422" t="s">
        <v>73</v>
      </c>
      <c r="Q422">
        <v>-5</v>
      </c>
      <c r="R422" t="s">
        <v>73</v>
      </c>
      <c r="U422" t="s">
        <v>226</v>
      </c>
      <c r="V422" t="s">
        <v>379</v>
      </c>
      <c r="W422" t="s">
        <v>228</v>
      </c>
      <c r="X422" t="s">
        <v>229</v>
      </c>
      <c r="Y422" t="s">
        <v>93</v>
      </c>
      <c r="AD422" t="s">
        <v>73</v>
      </c>
      <c r="AE422">
        <v>-5</v>
      </c>
      <c r="AF422">
        <v>42408938</v>
      </c>
      <c r="AG422" s="73">
        <v>45370.251388888886</v>
      </c>
      <c r="AH422" t="s">
        <v>226</v>
      </c>
      <c r="AI422" t="s">
        <v>379</v>
      </c>
      <c r="AJ422" t="s">
        <v>228</v>
      </c>
      <c r="AK422" t="s">
        <v>229</v>
      </c>
      <c r="AL422" t="s">
        <v>93</v>
      </c>
      <c r="AP422" t="s">
        <v>230</v>
      </c>
      <c r="AQ422" t="s">
        <v>231</v>
      </c>
      <c r="AT422" t="s">
        <v>232</v>
      </c>
      <c r="AU422">
        <v>-99</v>
      </c>
      <c r="AV422" t="s">
        <v>73</v>
      </c>
      <c r="AW422">
        <v>-5</v>
      </c>
      <c r="AX422">
        <v>42408938</v>
      </c>
      <c r="AY422" s="73">
        <v>45370.251388888886</v>
      </c>
      <c r="AZ422" t="s">
        <v>226</v>
      </c>
      <c r="BA422" t="s">
        <v>379</v>
      </c>
      <c r="BB422" t="s">
        <v>228</v>
      </c>
      <c r="BC422" t="s">
        <v>229</v>
      </c>
      <c r="BD422" t="s">
        <v>93</v>
      </c>
      <c r="BI422" t="s">
        <v>233</v>
      </c>
      <c r="BJ422" t="s">
        <v>0</v>
      </c>
      <c r="BK422">
        <v>42408927</v>
      </c>
      <c r="BN422" t="s">
        <v>73</v>
      </c>
      <c r="BR422">
        <v>-5</v>
      </c>
      <c r="BS422">
        <v>42408938</v>
      </c>
      <c r="BT422" s="73">
        <v>45370.251388888886</v>
      </c>
      <c r="BU422" t="s">
        <v>226</v>
      </c>
      <c r="BV422" t="s">
        <v>379</v>
      </c>
      <c r="BW422" t="s">
        <v>228</v>
      </c>
      <c r="CH422" t="s">
        <v>229</v>
      </c>
      <c r="CI422" t="s">
        <v>93</v>
      </c>
      <c r="CJ422" t="s">
        <v>226</v>
      </c>
      <c r="CK422" t="s">
        <v>379</v>
      </c>
      <c r="CL422" t="s">
        <v>228</v>
      </c>
      <c r="CM422" t="s">
        <v>234</v>
      </c>
      <c r="CN422" t="s">
        <v>73</v>
      </c>
      <c r="CO422">
        <v>-5</v>
      </c>
      <c r="CP422">
        <v>42408938</v>
      </c>
      <c r="CQ422" s="73">
        <v>45370.251388888886</v>
      </c>
      <c r="CR422" t="s">
        <v>229</v>
      </c>
      <c r="CS422" t="s">
        <v>93</v>
      </c>
      <c r="CU422" t="s">
        <v>225</v>
      </c>
    </row>
    <row r="423" spans="1:99">
      <c r="A423" t="s">
        <v>108</v>
      </c>
      <c r="B423" t="s">
        <v>98</v>
      </c>
      <c r="J423" t="s">
        <v>225</v>
      </c>
      <c r="K423" t="s">
        <v>225</v>
      </c>
      <c r="M423" s="73">
        <v>45370.251388888886</v>
      </c>
      <c r="N423">
        <v>42408937</v>
      </c>
      <c r="O423">
        <v>100</v>
      </c>
      <c r="P423" t="s">
        <v>104</v>
      </c>
      <c r="Q423">
        <v>100</v>
      </c>
      <c r="R423" t="s">
        <v>104</v>
      </c>
      <c r="S423">
        <v>5</v>
      </c>
      <c r="T423" t="s">
        <v>73</v>
      </c>
      <c r="U423" t="s">
        <v>226</v>
      </c>
      <c r="V423" t="s">
        <v>379</v>
      </c>
      <c r="W423" t="s">
        <v>235</v>
      </c>
      <c r="X423" t="s">
        <v>229</v>
      </c>
      <c r="Y423" t="s">
        <v>108</v>
      </c>
      <c r="AD423" t="s">
        <v>104</v>
      </c>
      <c r="AE423">
        <v>100</v>
      </c>
      <c r="AF423">
        <v>42408937</v>
      </c>
      <c r="AG423" s="73">
        <v>45370.251388888886</v>
      </c>
      <c r="AH423" t="s">
        <v>226</v>
      </c>
      <c r="AI423" t="s">
        <v>379</v>
      </c>
      <c r="AJ423" t="s">
        <v>235</v>
      </c>
      <c r="AK423" t="s">
        <v>229</v>
      </c>
      <c r="AL423" t="s">
        <v>108</v>
      </c>
      <c r="AP423" t="s">
        <v>230</v>
      </c>
      <c r="AQ423" t="s">
        <v>231</v>
      </c>
      <c r="AT423" t="s">
        <v>232</v>
      </c>
      <c r="AU423">
        <v>-99</v>
      </c>
      <c r="AV423" t="s">
        <v>104</v>
      </c>
      <c r="AW423">
        <v>100</v>
      </c>
      <c r="AX423">
        <v>42408937</v>
      </c>
      <c r="AY423" s="73">
        <v>45370.251388888886</v>
      </c>
      <c r="AZ423" t="s">
        <v>226</v>
      </c>
      <c r="BA423" t="s">
        <v>379</v>
      </c>
      <c r="BB423" t="s">
        <v>235</v>
      </c>
      <c r="BC423" t="s">
        <v>229</v>
      </c>
      <c r="BD423" t="s">
        <v>108</v>
      </c>
      <c r="BI423" t="s">
        <v>233</v>
      </c>
      <c r="BJ423" t="s">
        <v>0</v>
      </c>
      <c r="BK423">
        <v>42408927</v>
      </c>
      <c r="BN423" t="s">
        <v>104</v>
      </c>
      <c r="BO423">
        <v>42408933</v>
      </c>
      <c r="BR423">
        <v>100</v>
      </c>
      <c r="BS423">
        <v>42408937</v>
      </c>
      <c r="BT423" s="73">
        <v>45370.251388888886</v>
      </c>
      <c r="BU423" t="s">
        <v>226</v>
      </c>
      <c r="BV423" t="s">
        <v>379</v>
      </c>
      <c r="BW423" t="s">
        <v>235</v>
      </c>
      <c r="CH423" t="s">
        <v>229</v>
      </c>
      <c r="CI423" t="s">
        <v>108</v>
      </c>
      <c r="CJ423" t="s">
        <v>226</v>
      </c>
      <c r="CK423" t="s">
        <v>379</v>
      </c>
      <c r="CL423" t="s">
        <v>235</v>
      </c>
      <c r="CM423" t="s">
        <v>236</v>
      </c>
      <c r="CN423" t="s">
        <v>104</v>
      </c>
      <c r="CO423">
        <v>100</v>
      </c>
      <c r="CP423">
        <v>42408937</v>
      </c>
      <c r="CQ423" s="73">
        <v>45370.251388888886</v>
      </c>
      <c r="CR423" t="s">
        <v>229</v>
      </c>
      <c r="CS423" t="s">
        <v>108</v>
      </c>
      <c r="CU423" t="s">
        <v>225</v>
      </c>
    </row>
    <row r="424" spans="1:99">
      <c r="A424" t="s">
        <v>113</v>
      </c>
      <c r="B424" t="s">
        <v>90</v>
      </c>
      <c r="J424" t="s">
        <v>225</v>
      </c>
      <c r="K424" t="s">
        <v>225</v>
      </c>
      <c r="M424" s="73">
        <v>45369.923622685186</v>
      </c>
      <c r="N424">
        <v>42407007</v>
      </c>
      <c r="O424">
        <v>-250</v>
      </c>
      <c r="P424" t="s">
        <v>115</v>
      </c>
      <c r="Q424">
        <v>-250</v>
      </c>
      <c r="R424" t="s">
        <v>115</v>
      </c>
      <c r="U424" t="s">
        <v>226</v>
      </c>
      <c r="V424" t="s">
        <v>380</v>
      </c>
      <c r="W424" t="s">
        <v>228</v>
      </c>
      <c r="X424" t="s">
        <v>229</v>
      </c>
      <c r="Y424" t="s">
        <v>113</v>
      </c>
      <c r="AD424" t="s">
        <v>115</v>
      </c>
      <c r="AE424">
        <v>-250</v>
      </c>
      <c r="AF424">
        <v>42407007</v>
      </c>
      <c r="AG424" s="73">
        <v>45369.923622685186</v>
      </c>
      <c r="AH424" t="s">
        <v>226</v>
      </c>
      <c r="AI424" t="s">
        <v>380</v>
      </c>
      <c r="AJ424" t="s">
        <v>228</v>
      </c>
      <c r="AK424" t="s">
        <v>229</v>
      </c>
      <c r="AL424" t="s">
        <v>113</v>
      </c>
      <c r="AP424" t="s">
        <v>230</v>
      </c>
      <c r="AQ424" t="s">
        <v>231</v>
      </c>
      <c r="AT424" t="s">
        <v>232</v>
      </c>
      <c r="AU424">
        <v>-99</v>
      </c>
      <c r="AV424" t="s">
        <v>115</v>
      </c>
      <c r="AW424">
        <v>-250</v>
      </c>
      <c r="AX424">
        <v>42407007</v>
      </c>
      <c r="AY424" s="73">
        <v>45369.923622685186</v>
      </c>
      <c r="AZ424" t="s">
        <v>226</v>
      </c>
      <c r="BA424" t="s">
        <v>380</v>
      </c>
      <c r="BB424" t="s">
        <v>228</v>
      </c>
      <c r="BC424" t="s">
        <v>229</v>
      </c>
      <c r="BD424" t="s">
        <v>113</v>
      </c>
      <c r="BI424" t="s">
        <v>233</v>
      </c>
      <c r="BJ424" t="s">
        <v>0</v>
      </c>
      <c r="BK424">
        <v>42406921</v>
      </c>
      <c r="BN424" t="s">
        <v>115</v>
      </c>
      <c r="BR424">
        <v>-250</v>
      </c>
      <c r="BS424">
        <v>42407007</v>
      </c>
      <c r="BT424" s="73">
        <v>45369.923622685186</v>
      </c>
      <c r="BU424" t="s">
        <v>226</v>
      </c>
      <c r="BV424" t="s">
        <v>380</v>
      </c>
      <c r="BW424" t="s">
        <v>228</v>
      </c>
      <c r="CH424" t="s">
        <v>229</v>
      </c>
      <c r="CI424" t="s">
        <v>113</v>
      </c>
      <c r="CJ424" t="s">
        <v>226</v>
      </c>
      <c r="CK424" t="s">
        <v>380</v>
      </c>
      <c r="CL424" t="s">
        <v>228</v>
      </c>
      <c r="CM424" t="s">
        <v>234</v>
      </c>
      <c r="CN424" t="s">
        <v>115</v>
      </c>
      <c r="CO424">
        <v>-250</v>
      </c>
      <c r="CP424">
        <v>42407007</v>
      </c>
      <c r="CQ424" s="73">
        <v>45369.923622685186</v>
      </c>
      <c r="CR424" t="s">
        <v>229</v>
      </c>
      <c r="CS424" t="s">
        <v>113</v>
      </c>
      <c r="CU424" t="s">
        <v>225</v>
      </c>
    </row>
    <row r="425" spans="1:99">
      <c r="A425" t="s">
        <v>129</v>
      </c>
      <c r="B425" t="s">
        <v>90</v>
      </c>
      <c r="J425" t="s">
        <v>225</v>
      </c>
      <c r="K425" t="s">
        <v>225</v>
      </c>
      <c r="M425" s="73">
        <v>45369.923622685186</v>
      </c>
      <c r="N425">
        <v>42407006</v>
      </c>
      <c r="O425">
        <v>-5</v>
      </c>
      <c r="P425" t="s">
        <v>73</v>
      </c>
      <c r="Q425">
        <v>-5</v>
      </c>
      <c r="R425" t="s">
        <v>73</v>
      </c>
      <c r="U425" t="s">
        <v>226</v>
      </c>
      <c r="V425" t="s">
        <v>380</v>
      </c>
      <c r="W425" t="s">
        <v>228</v>
      </c>
      <c r="X425" t="s">
        <v>229</v>
      </c>
      <c r="Y425" t="s">
        <v>129</v>
      </c>
      <c r="AD425" t="s">
        <v>73</v>
      </c>
      <c r="AE425">
        <v>-5</v>
      </c>
      <c r="AF425">
        <v>42407006</v>
      </c>
      <c r="AG425" s="73">
        <v>45369.923622685186</v>
      </c>
      <c r="AH425" t="s">
        <v>226</v>
      </c>
      <c r="AI425" t="s">
        <v>380</v>
      </c>
      <c r="AJ425" t="s">
        <v>228</v>
      </c>
      <c r="AK425" t="s">
        <v>229</v>
      </c>
      <c r="AL425" t="s">
        <v>129</v>
      </c>
      <c r="AP425" t="s">
        <v>230</v>
      </c>
      <c r="AQ425" t="s">
        <v>231</v>
      </c>
      <c r="AT425" t="s">
        <v>232</v>
      </c>
      <c r="AU425">
        <v>-99</v>
      </c>
      <c r="AV425" t="s">
        <v>73</v>
      </c>
      <c r="AW425">
        <v>-5</v>
      </c>
      <c r="AX425">
        <v>42407006</v>
      </c>
      <c r="AY425" s="73">
        <v>45369.923622685186</v>
      </c>
      <c r="AZ425" t="s">
        <v>226</v>
      </c>
      <c r="BA425" t="s">
        <v>380</v>
      </c>
      <c r="BB425" t="s">
        <v>228</v>
      </c>
      <c r="BC425" t="s">
        <v>229</v>
      </c>
      <c r="BD425" t="s">
        <v>129</v>
      </c>
      <c r="BI425" t="s">
        <v>233</v>
      </c>
      <c r="BJ425" t="s">
        <v>0</v>
      </c>
      <c r="BK425">
        <v>42406921</v>
      </c>
      <c r="BN425" t="s">
        <v>73</v>
      </c>
      <c r="BR425">
        <v>-5</v>
      </c>
      <c r="BS425">
        <v>42407006</v>
      </c>
      <c r="BT425" s="73">
        <v>45369.923622685186</v>
      </c>
      <c r="BU425" t="s">
        <v>226</v>
      </c>
      <c r="BV425" t="s">
        <v>380</v>
      </c>
      <c r="BW425" t="s">
        <v>228</v>
      </c>
      <c r="CH425" t="s">
        <v>229</v>
      </c>
      <c r="CI425" t="s">
        <v>129</v>
      </c>
      <c r="CJ425" t="s">
        <v>226</v>
      </c>
      <c r="CK425" t="s">
        <v>380</v>
      </c>
      <c r="CL425" t="s">
        <v>228</v>
      </c>
      <c r="CM425" t="s">
        <v>234</v>
      </c>
      <c r="CN425" t="s">
        <v>73</v>
      </c>
      <c r="CO425">
        <v>-5</v>
      </c>
      <c r="CP425">
        <v>42407006</v>
      </c>
      <c r="CQ425" s="73">
        <v>45369.923622685186</v>
      </c>
      <c r="CR425" t="s">
        <v>229</v>
      </c>
      <c r="CS425" t="s">
        <v>129</v>
      </c>
      <c r="CU425" t="s">
        <v>225</v>
      </c>
    </row>
    <row r="426" spans="1:99">
      <c r="A426" t="s">
        <v>118</v>
      </c>
      <c r="B426" t="s">
        <v>90</v>
      </c>
      <c r="J426" t="s">
        <v>225</v>
      </c>
      <c r="K426" t="s">
        <v>225</v>
      </c>
      <c r="M426" s="73">
        <v>45369.923622685186</v>
      </c>
      <c r="N426">
        <v>42407005</v>
      </c>
      <c r="O426">
        <v>-45</v>
      </c>
      <c r="P426" t="s">
        <v>120</v>
      </c>
      <c r="Q426">
        <v>-45</v>
      </c>
      <c r="R426" t="s">
        <v>120</v>
      </c>
      <c r="U426" t="s">
        <v>226</v>
      </c>
      <c r="V426" t="s">
        <v>380</v>
      </c>
      <c r="W426" t="s">
        <v>228</v>
      </c>
      <c r="X426" t="s">
        <v>229</v>
      </c>
      <c r="Y426" t="s">
        <v>118</v>
      </c>
      <c r="AD426" t="s">
        <v>120</v>
      </c>
      <c r="AE426">
        <v>-45</v>
      </c>
      <c r="AF426">
        <v>42407005</v>
      </c>
      <c r="AG426" s="73">
        <v>45369.923622685186</v>
      </c>
      <c r="AH426" t="s">
        <v>226</v>
      </c>
      <c r="AI426" t="s">
        <v>380</v>
      </c>
      <c r="AJ426" t="s">
        <v>228</v>
      </c>
      <c r="AK426" t="s">
        <v>229</v>
      </c>
      <c r="AL426" t="s">
        <v>118</v>
      </c>
      <c r="AP426" t="s">
        <v>230</v>
      </c>
      <c r="AQ426" t="s">
        <v>231</v>
      </c>
      <c r="AT426" t="s">
        <v>232</v>
      </c>
      <c r="AU426">
        <v>-99</v>
      </c>
      <c r="AV426" t="s">
        <v>120</v>
      </c>
      <c r="AW426">
        <v>-45</v>
      </c>
      <c r="AX426">
        <v>42407005</v>
      </c>
      <c r="AY426" s="73">
        <v>45369.923622685186</v>
      </c>
      <c r="AZ426" t="s">
        <v>226</v>
      </c>
      <c r="BA426" t="s">
        <v>380</v>
      </c>
      <c r="BB426" t="s">
        <v>228</v>
      </c>
      <c r="BC426" t="s">
        <v>229</v>
      </c>
      <c r="BD426" t="s">
        <v>118</v>
      </c>
      <c r="BI426" t="s">
        <v>233</v>
      </c>
      <c r="BJ426" t="s">
        <v>0</v>
      </c>
      <c r="BK426">
        <v>42406921</v>
      </c>
      <c r="BN426" t="s">
        <v>120</v>
      </c>
      <c r="BR426">
        <v>-45</v>
      </c>
      <c r="BS426">
        <v>42407005</v>
      </c>
      <c r="BT426" s="73">
        <v>45369.923622685186</v>
      </c>
      <c r="BU426" t="s">
        <v>226</v>
      </c>
      <c r="BV426" t="s">
        <v>380</v>
      </c>
      <c r="BW426" t="s">
        <v>228</v>
      </c>
      <c r="CH426" t="s">
        <v>229</v>
      </c>
      <c r="CI426" t="s">
        <v>118</v>
      </c>
      <c r="CJ426" t="s">
        <v>226</v>
      </c>
      <c r="CK426" t="s">
        <v>380</v>
      </c>
      <c r="CL426" t="s">
        <v>228</v>
      </c>
      <c r="CM426" t="s">
        <v>234</v>
      </c>
      <c r="CN426" t="s">
        <v>120</v>
      </c>
      <c r="CO426">
        <v>-45</v>
      </c>
      <c r="CP426">
        <v>42407005</v>
      </c>
      <c r="CQ426" s="73">
        <v>45369.923622685186</v>
      </c>
      <c r="CR426" t="s">
        <v>229</v>
      </c>
      <c r="CS426" t="s">
        <v>118</v>
      </c>
      <c r="CU426" t="s">
        <v>225</v>
      </c>
    </row>
    <row r="427" spans="1:99">
      <c r="A427" t="s">
        <v>99</v>
      </c>
      <c r="B427" t="s">
        <v>98</v>
      </c>
      <c r="J427" t="s">
        <v>225</v>
      </c>
      <c r="K427" t="s">
        <v>225</v>
      </c>
      <c r="M427" s="73">
        <v>45369.923622685186</v>
      </c>
      <c r="N427">
        <v>42406915</v>
      </c>
      <c r="O427">
        <v>1127.83</v>
      </c>
      <c r="P427" t="s">
        <v>73</v>
      </c>
      <c r="Q427">
        <v>1127.83</v>
      </c>
      <c r="R427" t="s">
        <v>73</v>
      </c>
      <c r="U427" t="s">
        <v>226</v>
      </c>
      <c r="V427" t="s">
        <v>380</v>
      </c>
      <c r="W427" t="s">
        <v>235</v>
      </c>
      <c r="X427" t="s">
        <v>229</v>
      </c>
      <c r="Y427" t="s">
        <v>99</v>
      </c>
      <c r="AD427" t="s">
        <v>73</v>
      </c>
      <c r="AE427">
        <v>1127.83</v>
      </c>
      <c r="AF427">
        <v>42406915</v>
      </c>
      <c r="AG427" s="73">
        <v>45369.923622685186</v>
      </c>
      <c r="AH427" t="s">
        <v>226</v>
      </c>
      <c r="AI427" t="s">
        <v>380</v>
      </c>
      <c r="AJ427" t="s">
        <v>235</v>
      </c>
      <c r="AK427" t="s">
        <v>229</v>
      </c>
      <c r="AL427" t="s">
        <v>99</v>
      </c>
      <c r="AP427" t="s">
        <v>230</v>
      </c>
      <c r="AQ427" t="s">
        <v>231</v>
      </c>
      <c r="AT427" t="s">
        <v>232</v>
      </c>
      <c r="AU427">
        <v>-99</v>
      </c>
      <c r="AV427" t="s">
        <v>73</v>
      </c>
      <c r="AW427">
        <v>1127.83</v>
      </c>
      <c r="AX427">
        <v>42406915</v>
      </c>
      <c r="AY427" s="73">
        <v>45369.923622685186</v>
      </c>
      <c r="AZ427" t="s">
        <v>226</v>
      </c>
      <c r="BA427" t="s">
        <v>380</v>
      </c>
      <c r="BB427" t="s">
        <v>235</v>
      </c>
      <c r="BC427" t="s">
        <v>229</v>
      </c>
      <c r="BD427" t="s">
        <v>99</v>
      </c>
      <c r="BI427" t="s">
        <v>233</v>
      </c>
      <c r="BJ427" t="s">
        <v>0</v>
      </c>
      <c r="BK427">
        <v>42406911</v>
      </c>
      <c r="BN427" t="s">
        <v>73</v>
      </c>
      <c r="BO427">
        <v>42406913</v>
      </c>
      <c r="BR427">
        <v>1127.83</v>
      </c>
      <c r="BS427">
        <v>42406915</v>
      </c>
      <c r="BT427" s="73">
        <v>45369.923622685186</v>
      </c>
      <c r="BU427" t="s">
        <v>226</v>
      </c>
      <c r="BV427" t="s">
        <v>380</v>
      </c>
      <c r="BW427" t="s">
        <v>235</v>
      </c>
      <c r="CH427" t="s">
        <v>229</v>
      </c>
      <c r="CI427" t="s">
        <v>99</v>
      </c>
      <c r="CJ427" t="s">
        <v>226</v>
      </c>
      <c r="CK427" t="s">
        <v>380</v>
      </c>
      <c r="CL427" t="s">
        <v>235</v>
      </c>
      <c r="CM427" t="s">
        <v>236</v>
      </c>
      <c r="CN427" t="s">
        <v>73</v>
      </c>
      <c r="CO427">
        <v>1127.83</v>
      </c>
      <c r="CP427">
        <v>42406915</v>
      </c>
      <c r="CQ427" s="73">
        <v>45369.923622685186</v>
      </c>
      <c r="CR427" t="s">
        <v>229</v>
      </c>
      <c r="CS427" t="s">
        <v>99</v>
      </c>
      <c r="CU427" t="s">
        <v>225</v>
      </c>
    </row>
    <row r="428" spans="1:99">
      <c r="A428" t="s">
        <v>71</v>
      </c>
      <c r="B428" t="s">
        <v>77</v>
      </c>
      <c r="J428" t="s">
        <v>225</v>
      </c>
      <c r="K428" t="s">
        <v>225</v>
      </c>
      <c r="M428" s="73">
        <v>45369.923622685186</v>
      </c>
      <c r="N428">
        <v>42406908</v>
      </c>
      <c r="O428">
        <v>0.68</v>
      </c>
      <c r="P428" t="s">
        <v>73</v>
      </c>
      <c r="Q428">
        <v>0.68</v>
      </c>
      <c r="R428" t="s">
        <v>73</v>
      </c>
      <c r="U428" t="s">
        <v>226</v>
      </c>
      <c r="V428" t="s">
        <v>380</v>
      </c>
      <c r="W428" t="s">
        <v>237</v>
      </c>
      <c r="X428" t="s">
        <v>229</v>
      </c>
      <c r="Y428" t="s">
        <v>71</v>
      </c>
      <c r="AD428" t="s">
        <v>73</v>
      </c>
      <c r="AE428">
        <v>0.68</v>
      </c>
      <c r="AF428">
        <v>42406908</v>
      </c>
      <c r="AG428" s="73">
        <v>45369.923622685186</v>
      </c>
      <c r="AH428" t="s">
        <v>226</v>
      </c>
      <c r="AI428" t="s">
        <v>380</v>
      </c>
      <c r="AJ428" t="s">
        <v>237</v>
      </c>
      <c r="AK428" t="s">
        <v>229</v>
      </c>
      <c r="AL428" t="s">
        <v>71</v>
      </c>
      <c r="AP428" t="s">
        <v>230</v>
      </c>
      <c r="AQ428" t="s">
        <v>231</v>
      </c>
      <c r="AT428" t="s">
        <v>232</v>
      </c>
      <c r="AU428">
        <v>-99</v>
      </c>
      <c r="AV428" t="s">
        <v>73</v>
      </c>
      <c r="AW428">
        <v>0.68</v>
      </c>
      <c r="AX428">
        <v>42406908</v>
      </c>
      <c r="AY428" s="73">
        <v>45369.923622685186</v>
      </c>
      <c r="AZ428" t="s">
        <v>226</v>
      </c>
      <c r="BA428" t="s">
        <v>380</v>
      </c>
      <c r="BB428" t="s">
        <v>237</v>
      </c>
      <c r="BC428" t="s">
        <v>229</v>
      </c>
      <c r="BD428" t="s">
        <v>71</v>
      </c>
      <c r="BI428" t="s">
        <v>233</v>
      </c>
      <c r="BJ428" t="s">
        <v>0</v>
      </c>
      <c r="BK428">
        <v>42406904</v>
      </c>
      <c r="BN428" t="s">
        <v>73</v>
      </c>
      <c r="BO428">
        <v>42406906</v>
      </c>
      <c r="BR428">
        <v>0.68</v>
      </c>
      <c r="BS428">
        <v>42406908</v>
      </c>
      <c r="BT428" s="73">
        <v>45369.923622685186</v>
      </c>
      <c r="BU428" t="s">
        <v>226</v>
      </c>
      <c r="BV428" t="s">
        <v>380</v>
      </c>
      <c r="BW428" t="s">
        <v>237</v>
      </c>
      <c r="CH428" t="s">
        <v>229</v>
      </c>
      <c r="CI428" t="s">
        <v>71</v>
      </c>
      <c r="CJ428" t="s">
        <v>226</v>
      </c>
      <c r="CK428" t="s">
        <v>380</v>
      </c>
      <c r="CL428" t="s">
        <v>237</v>
      </c>
      <c r="CM428" t="s">
        <v>236</v>
      </c>
      <c r="CN428" t="s">
        <v>73</v>
      </c>
      <c r="CO428">
        <v>0.68</v>
      </c>
      <c r="CP428">
        <v>42406908</v>
      </c>
      <c r="CQ428" s="73">
        <v>45369.923622685186</v>
      </c>
      <c r="CR428" t="s">
        <v>229</v>
      </c>
      <c r="CS428" t="s">
        <v>71</v>
      </c>
      <c r="CU428" t="s">
        <v>225</v>
      </c>
    </row>
    <row r="429" spans="1:99">
      <c r="A429" t="s">
        <v>131</v>
      </c>
      <c r="B429" t="s">
        <v>90</v>
      </c>
      <c r="J429" t="s">
        <v>225</v>
      </c>
      <c r="K429" t="s">
        <v>225</v>
      </c>
      <c r="M429" s="73">
        <v>45369.923622685186</v>
      </c>
      <c r="N429">
        <v>42406901</v>
      </c>
      <c r="O429">
        <v>-103.7</v>
      </c>
      <c r="P429" t="s">
        <v>73</v>
      </c>
      <c r="Q429">
        <v>-103.7</v>
      </c>
      <c r="R429" t="s">
        <v>73</v>
      </c>
      <c r="U429" t="s">
        <v>226</v>
      </c>
      <c r="V429" t="s">
        <v>380</v>
      </c>
      <c r="W429" t="s">
        <v>228</v>
      </c>
      <c r="X429" t="s">
        <v>229</v>
      </c>
      <c r="Y429" t="s">
        <v>131</v>
      </c>
      <c r="AD429" t="s">
        <v>73</v>
      </c>
      <c r="AE429">
        <v>-103.7</v>
      </c>
      <c r="AF429">
        <v>42406901</v>
      </c>
      <c r="AG429" s="73">
        <v>45369.923622685186</v>
      </c>
      <c r="AH429" t="s">
        <v>226</v>
      </c>
      <c r="AI429" t="s">
        <v>380</v>
      </c>
      <c r="AJ429" t="s">
        <v>228</v>
      </c>
      <c r="AK429" t="s">
        <v>229</v>
      </c>
      <c r="AL429" t="s">
        <v>131</v>
      </c>
      <c r="AP429" t="s">
        <v>230</v>
      </c>
      <c r="AQ429" t="s">
        <v>231</v>
      </c>
      <c r="AT429" t="s">
        <v>232</v>
      </c>
      <c r="AU429">
        <v>-99</v>
      </c>
      <c r="AV429" t="s">
        <v>73</v>
      </c>
      <c r="AW429">
        <v>-103.7</v>
      </c>
      <c r="AX429">
        <v>42406901</v>
      </c>
      <c r="AY429" s="73">
        <v>45369.923622685186</v>
      </c>
      <c r="AZ429" t="s">
        <v>226</v>
      </c>
      <c r="BA429" t="s">
        <v>380</v>
      </c>
      <c r="BB429" t="s">
        <v>228</v>
      </c>
      <c r="BC429" t="s">
        <v>229</v>
      </c>
      <c r="BD429" t="s">
        <v>131</v>
      </c>
      <c r="BI429" t="s">
        <v>233</v>
      </c>
      <c r="BJ429" t="s">
        <v>0</v>
      </c>
      <c r="BK429">
        <v>42406897</v>
      </c>
      <c r="BN429" t="s">
        <v>73</v>
      </c>
      <c r="BR429">
        <v>-103.7</v>
      </c>
      <c r="BS429">
        <v>42406901</v>
      </c>
      <c r="BT429" s="73">
        <v>45369.923622685186</v>
      </c>
      <c r="BU429" t="s">
        <v>226</v>
      </c>
      <c r="BV429" t="s">
        <v>380</v>
      </c>
      <c r="BW429" t="s">
        <v>228</v>
      </c>
      <c r="CH429" t="s">
        <v>229</v>
      </c>
      <c r="CI429" t="s">
        <v>131</v>
      </c>
      <c r="CJ429" t="s">
        <v>226</v>
      </c>
      <c r="CK429" t="s">
        <v>380</v>
      </c>
      <c r="CL429" t="s">
        <v>228</v>
      </c>
      <c r="CM429" t="s">
        <v>234</v>
      </c>
      <c r="CN429" t="s">
        <v>73</v>
      </c>
      <c r="CO429">
        <v>-103.7</v>
      </c>
      <c r="CP429">
        <v>42406901</v>
      </c>
      <c r="CQ429" s="73">
        <v>45369.923622685186</v>
      </c>
      <c r="CR429" t="s">
        <v>229</v>
      </c>
      <c r="CS429" t="s">
        <v>131</v>
      </c>
      <c r="CU429" t="s">
        <v>225</v>
      </c>
    </row>
    <row r="430" spans="1:99">
      <c r="A430" t="s">
        <v>127</v>
      </c>
      <c r="B430" t="s">
        <v>90</v>
      </c>
      <c r="J430" t="s">
        <v>225</v>
      </c>
      <c r="K430" t="s">
        <v>225</v>
      </c>
      <c r="M430" s="73">
        <v>45369.923622685186</v>
      </c>
      <c r="N430">
        <v>42406894</v>
      </c>
      <c r="O430">
        <v>-523.5</v>
      </c>
      <c r="P430" t="s">
        <v>73</v>
      </c>
      <c r="Q430">
        <v>-523.5</v>
      </c>
      <c r="R430" t="s">
        <v>73</v>
      </c>
      <c r="U430" t="s">
        <v>226</v>
      </c>
      <c r="V430" t="s">
        <v>380</v>
      </c>
      <c r="W430" t="s">
        <v>228</v>
      </c>
      <c r="X430" t="s">
        <v>229</v>
      </c>
      <c r="Y430" t="s">
        <v>127</v>
      </c>
      <c r="AD430" t="s">
        <v>73</v>
      </c>
      <c r="AE430">
        <v>-523.5</v>
      </c>
      <c r="AF430">
        <v>42406894</v>
      </c>
      <c r="AG430" s="73">
        <v>45369.923622685186</v>
      </c>
      <c r="AH430" t="s">
        <v>226</v>
      </c>
      <c r="AI430" t="s">
        <v>380</v>
      </c>
      <c r="AJ430" t="s">
        <v>228</v>
      </c>
      <c r="AK430" t="s">
        <v>229</v>
      </c>
      <c r="AL430" t="s">
        <v>127</v>
      </c>
      <c r="AP430" t="s">
        <v>230</v>
      </c>
      <c r="AQ430" t="s">
        <v>231</v>
      </c>
      <c r="AT430" t="s">
        <v>232</v>
      </c>
      <c r="AU430">
        <v>-99</v>
      </c>
      <c r="AV430" t="s">
        <v>73</v>
      </c>
      <c r="AW430">
        <v>-523.5</v>
      </c>
      <c r="AX430">
        <v>42406894</v>
      </c>
      <c r="AY430" s="73">
        <v>45369.923622685186</v>
      </c>
      <c r="AZ430" t="s">
        <v>226</v>
      </c>
      <c r="BA430" t="s">
        <v>380</v>
      </c>
      <c r="BB430" t="s">
        <v>228</v>
      </c>
      <c r="BC430" t="s">
        <v>229</v>
      </c>
      <c r="BD430" t="s">
        <v>127</v>
      </c>
      <c r="BI430" t="s">
        <v>233</v>
      </c>
      <c r="BJ430" t="s">
        <v>0</v>
      </c>
      <c r="BK430">
        <v>42406890</v>
      </c>
      <c r="BN430" t="s">
        <v>73</v>
      </c>
      <c r="BR430">
        <v>-523.5</v>
      </c>
      <c r="BS430">
        <v>42406894</v>
      </c>
      <c r="BT430" s="73">
        <v>45369.923622685186</v>
      </c>
      <c r="BU430" t="s">
        <v>226</v>
      </c>
      <c r="BV430" t="s">
        <v>380</v>
      </c>
      <c r="BW430" t="s">
        <v>228</v>
      </c>
      <c r="CH430" t="s">
        <v>229</v>
      </c>
      <c r="CI430" t="s">
        <v>127</v>
      </c>
      <c r="CJ430" t="s">
        <v>226</v>
      </c>
      <c r="CK430" t="s">
        <v>380</v>
      </c>
      <c r="CL430" t="s">
        <v>228</v>
      </c>
      <c r="CM430" t="s">
        <v>234</v>
      </c>
      <c r="CN430" t="s">
        <v>73</v>
      </c>
      <c r="CO430">
        <v>-523.5</v>
      </c>
      <c r="CP430">
        <v>42406894</v>
      </c>
      <c r="CQ430" s="73">
        <v>45369.923622685186</v>
      </c>
      <c r="CR430" t="s">
        <v>229</v>
      </c>
      <c r="CS430" t="s">
        <v>127</v>
      </c>
      <c r="CU430" t="s">
        <v>225</v>
      </c>
    </row>
    <row r="431" spans="1:99">
      <c r="A431" t="s">
        <v>133</v>
      </c>
      <c r="B431" t="s">
        <v>90</v>
      </c>
      <c r="J431" t="s">
        <v>225</v>
      </c>
      <c r="K431" t="s">
        <v>225</v>
      </c>
      <c r="M431" s="73">
        <v>45369.923622685186</v>
      </c>
      <c r="N431">
        <v>42406887</v>
      </c>
      <c r="O431">
        <v>-476.2</v>
      </c>
      <c r="P431" t="s">
        <v>73</v>
      </c>
      <c r="Q431">
        <v>-476.2</v>
      </c>
      <c r="R431" t="s">
        <v>73</v>
      </c>
      <c r="U431" t="s">
        <v>226</v>
      </c>
      <c r="V431" t="s">
        <v>380</v>
      </c>
      <c r="W431" t="s">
        <v>228</v>
      </c>
      <c r="X431" t="s">
        <v>229</v>
      </c>
      <c r="Y431" t="s">
        <v>133</v>
      </c>
      <c r="AD431" t="s">
        <v>73</v>
      </c>
      <c r="AE431">
        <v>-476.2</v>
      </c>
      <c r="AF431">
        <v>42406887</v>
      </c>
      <c r="AG431" s="73">
        <v>45369.923622685186</v>
      </c>
      <c r="AH431" t="s">
        <v>226</v>
      </c>
      <c r="AI431" t="s">
        <v>380</v>
      </c>
      <c r="AJ431" t="s">
        <v>228</v>
      </c>
      <c r="AK431" t="s">
        <v>229</v>
      </c>
      <c r="AL431" t="s">
        <v>133</v>
      </c>
      <c r="AP431" t="s">
        <v>230</v>
      </c>
      <c r="AQ431" t="s">
        <v>231</v>
      </c>
      <c r="AT431" t="s">
        <v>232</v>
      </c>
      <c r="AU431">
        <v>-99</v>
      </c>
      <c r="AV431" t="s">
        <v>73</v>
      </c>
      <c r="AW431">
        <v>-476.2</v>
      </c>
      <c r="AX431">
        <v>42406887</v>
      </c>
      <c r="AY431" s="73">
        <v>45369.923622685186</v>
      </c>
      <c r="AZ431" t="s">
        <v>226</v>
      </c>
      <c r="BA431" t="s">
        <v>380</v>
      </c>
      <c r="BB431" t="s">
        <v>228</v>
      </c>
      <c r="BC431" t="s">
        <v>229</v>
      </c>
      <c r="BD431" t="s">
        <v>133</v>
      </c>
      <c r="BI431" t="s">
        <v>233</v>
      </c>
      <c r="BJ431" t="s">
        <v>0</v>
      </c>
      <c r="BK431">
        <v>42406883</v>
      </c>
      <c r="BN431" t="s">
        <v>73</v>
      </c>
      <c r="BR431">
        <v>-476.2</v>
      </c>
      <c r="BS431">
        <v>42406887</v>
      </c>
      <c r="BT431" s="73">
        <v>45369.923622685186</v>
      </c>
      <c r="BU431" t="s">
        <v>226</v>
      </c>
      <c r="BV431" t="s">
        <v>380</v>
      </c>
      <c r="BW431" t="s">
        <v>228</v>
      </c>
      <c r="CH431" t="s">
        <v>229</v>
      </c>
      <c r="CI431" t="s">
        <v>133</v>
      </c>
      <c r="CJ431" t="s">
        <v>226</v>
      </c>
      <c r="CK431" t="s">
        <v>380</v>
      </c>
      <c r="CL431" t="s">
        <v>228</v>
      </c>
      <c r="CM431" t="s">
        <v>234</v>
      </c>
      <c r="CN431" t="s">
        <v>73</v>
      </c>
      <c r="CO431">
        <v>-476.2</v>
      </c>
      <c r="CP431">
        <v>42406887</v>
      </c>
      <c r="CQ431" s="73">
        <v>45369.923622685186</v>
      </c>
      <c r="CR431" t="s">
        <v>229</v>
      </c>
      <c r="CS431" t="s">
        <v>133</v>
      </c>
      <c r="CU431" t="s">
        <v>225</v>
      </c>
    </row>
    <row r="432" spans="1:99">
      <c r="A432" t="s">
        <v>87</v>
      </c>
      <c r="B432" t="s">
        <v>90</v>
      </c>
      <c r="J432" t="s">
        <v>225</v>
      </c>
      <c r="K432" t="s">
        <v>225</v>
      </c>
      <c r="M432" s="73">
        <v>45369.923622685186</v>
      </c>
      <c r="N432">
        <v>42406880</v>
      </c>
      <c r="O432">
        <v>-58</v>
      </c>
      <c r="P432" t="s">
        <v>73</v>
      </c>
      <c r="Q432">
        <v>-58</v>
      </c>
      <c r="R432" t="s">
        <v>73</v>
      </c>
      <c r="U432" t="s">
        <v>226</v>
      </c>
      <c r="V432" t="s">
        <v>380</v>
      </c>
      <c r="W432" t="s">
        <v>228</v>
      </c>
      <c r="X432" t="s">
        <v>229</v>
      </c>
      <c r="Y432" t="s">
        <v>87</v>
      </c>
      <c r="AD432" t="s">
        <v>73</v>
      </c>
      <c r="AE432">
        <v>-58</v>
      </c>
      <c r="AF432">
        <v>42406880</v>
      </c>
      <c r="AG432" s="73">
        <v>45369.923622685186</v>
      </c>
      <c r="AH432" t="s">
        <v>226</v>
      </c>
      <c r="AI432" t="s">
        <v>380</v>
      </c>
      <c r="AJ432" t="s">
        <v>228</v>
      </c>
      <c r="AK432" t="s">
        <v>229</v>
      </c>
      <c r="AL432" t="s">
        <v>87</v>
      </c>
      <c r="AP432" t="s">
        <v>230</v>
      </c>
      <c r="AQ432" t="s">
        <v>231</v>
      </c>
      <c r="AT432" t="s">
        <v>232</v>
      </c>
      <c r="AU432">
        <v>-99</v>
      </c>
      <c r="AV432" t="s">
        <v>73</v>
      </c>
      <c r="AW432">
        <v>-58</v>
      </c>
      <c r="AX432">
        <v>42406880</v>
      </c>
      <c r="AY432" s="73">
        <v>45369.923622685186</v>
      </c>
      <c r="AZ432" t="s">
        <v>226</v>
      </c>
      <c r="BA432" t="s">
        <v>380</v>
      </c>
      <c r="BB432" t="s">
        <v>228</v>
      </c>
      <c r="BC432" t="s">
        <v>229</v>
      </c>
      <c r="BD432" t="s">
        <v>87</v>
      </c>
      <c r="BI432" t="s">
        <v>233</v>
      </c>
      <c r="BJ432" t="s">
        <v>0</v>
      </c>
      <c r="BK432">
        <v>42406876</v>
      </c>
      <c r="BN432" t="s">
        <v>73</v>
      </c>
      <c r="BR432">
        <v>-58</v>
      </c>
      <c r="BS432">
        <v>42406880</v>
      </c>
      <c r="BT432" s="73">
        <v>45369.923622685186</v>
      </c>
      <c r="BU432" t="s">
        <v>226</v>
      </c>
      <c r="BV432" t="s">
        <v>380</v>
      </c>
      <c r="BW432" t="s">
        <v>228</v>
      </c>
      <c r="CH432" t="s">
        <v>229</v>
      </c>
      <c r="CI432" t="s">
        <v>87</v>
      </c>
      <c r="CJ432" t="s">
        <v>226</v>
      </c>
      <c r="CK432" t="s">
        <v>380</v>
      </c>
      <c r="CL432" t="s">
        <v>228</v>
      </c>
      <c r="CM432" t="s">
        <v>234</v>
      </c>
      <c r="CN432" t="s">
        <v>73</v>
      </c>
      <c r="CO432">
        <v>-58</v>
      </c>
      <c r="CP432">
        <v>42406880</v>
      </c>
      <c r="CQ432" s="73">
        <v>45369.923622685186</v>
      </c>
      <c r="CR432" t="s">
        <v>229</v>
      </c>
      <c r="CS432" t="s">
        <v>87</v>
      </c>
      <c r="CU432" t="s">
        <v>225</v>
      </c>
    </row>
    <row r="433" spans="1:99">
      <c r="A433" t="s">
        <v>42</v>
      </c>
      <c r="B433" t="s">
        <v>92</v>
      </c>
      <c r="J433" t="s">
        <v>225</v>
      </c>
      <c r="K433" t="s">
        <v>225</v>
      </c>
      <c r="M433" s="73">
        <v>45369.921527777777</v>
      </c>
      <c r="N433">
        <v>42402939</v>
      </c>
      <c r="O433">
        <v>-11156</v>
      </c>
      <c r="P433" t="s">
        <v>45</v>
      </c>
      <c r="Q433">
        <v>-11156</v>
      </c>
      <c r="R433" t="s">
        <v>45</v>
      </c>
      <c r="U433" t="s">
        <v>226</v>
      </c>
      <c r="V433" t="s">
        <v>381</v>
      </c>
      <c r="W433" t="s">
        <v>228</v>
      </c>
      <c r="X433" t="s">
        <v>229</v>
      </c>
      <c r="Y433" t="s">
        <v>42</v>
      </c>
      <c r="AD433" t="s">
        <v>45</v>
      </c>
      <c r="AE433">
        <v>-11156</v>
      </c>
      <c r="AF433">
        <v>42402939</v>
      </c>
      <c r="AG433" s="73">
        <v>45369.921527777777</v>
      </c>
      <c r="AH433" t="s">
        <v>226</v>
      </c>
      <c r="AI433" t="s">
        <v>381</v>
      </c>
      <c r="AJ433" t="s">
        <v>228</v>
      </c>
      <c r="AK433" t="s">
        <v>229</v>
      </c>
      <c r="AL433" t="s">
        <v>42</v>
      </c>
      <c r="AP433" t="s">
        <v>230</v>
      </c>
      <c r="AQ433" t="s">
        <v>231</v>
      </c>
      <c r="AT433" t="s">
        <v>232</v>
      </c>
      <c r="AU433">
        <v>-99</v>
      </c>
      <c r="AV433" t="s">
        <v>45</v>
      </c>
      <c r="AW433">
        <v>-11156</v>
      </c>
      <c r="AX433">
        <v>42402939</v>
      </c>
      <c r="AY433" s="73">
        <v>45369.921527777777</v>
      </c>
      <c r="AZ433" t="s">
        <v>226</v>
      </c>
      <c r="BA433" t="s">
        <v>381</v>
      </c>
      <c r="BB433" t="s">
        <v>228</v>
      </c>
      <c r="BC433" t="s">
        <v>229</v>
      </c>
      <c r="BD433" t="s">
        <v>42</v>
      </c>
      <c r="BI433" t="s">
        <v>233</v>
      </c>
      <c r="BJ433" t="s">
        <v>0</v>
      </c>
      <c r="BK433">
        <v>42402923</v>
      </c>
      <c r="BN433" t="s">
        <v>45</v>
      </c>
      <c r="BR433">
        <v>-11156</v>
      </c>
      <c r="BS433">
        <v>42402939</v>
      </c>
      <c r="BT433" s="73">
        <v>45369.921527777777</v>
      </c>
      <c r="BU433" t="s">
        <v>226</v>
      </c>
      <c r="BV433" t="s">
        <v>381</v>
      </c>
      <c r="BW433" t="s">
        <v>228</v>
      </c>
      <c r="CH433" t="s">
        <v>229</v>
      </c>
      <c r="CI433" t="s">
        <v>42</v>
      </c>
      <c r="CJ433" t="s">
        <v>226</v>
      </c>
      <c r="CK433" t="s">
        <v>381</v>
      </c>
      <c r="CL433" t="s">
        <v>228</v>
      </c>
      <c r="CM433" t="s">
        <v>234</v>
      </c>
      <c r="CN433" t="s">
        <v>45</v>
      </c>
      <c r="CO433">
        <v>-11156</v>
      </c>
      <c r="CP433">
        <v>42402939</v>
      </c>
      <c r="CQ433" s="73">
        <v>45369.921527777777</v>
      </c>
      <c r="CR433" t="s">
        <v>229</v>
      </c>
      <c r="CS433" t="s">
        <v>42</v>
      </c>
      <c r="CU433" t="s">
        <v>225</v>
      </c>
    </row>
    <row r="434" spans="1:99">
      <c r="A434" t="s">
        <v>99</v>
      </c>
      <c r="B434" t="s">
        <v>98</v>
      </c>
      <c r="J434" t="s">
        <v>225</v>
      </c>
      <c r="K434" t="s">
        <v>225</v>
      </c>
      <c r="M434" s="73">
        <v>45369.921527777777</v>
      </c>
      <c r="N434">
        <v>42402938</v>
      </c>
      <c r="O434">
        <v>-557.5</v>
      </c>
      <c r="P434" t="s">
        <v>73</v>
      </c>
      <c r="Q434">
        <v>-557.5</v>
      </c>
      <c r="R434" t="s">
        <v>73</v>
      </c>
      <c r="U434" t="s">
        <v>226</v>
      </c>
      <c r="V434" t="s">
        <v>381</v>
      </c>
      <c r="W434" t="s">
        <v>228</v>
      </c>
      <c r="X434" t="s">
        <v>229</v>
      </c>
      <c r="Y434" t="s">
        <v>99</v>
      </c>
      <c r="AD434" t="s">
        <v>73</v>
      </c>
      <c r="AE434">
        <v>-557.5</v>
      </c>
      <c r="AF434">
        <v>42402938</v>
      </c>
      <c r="AG434" s="73">
        <v>45369.921527777777</v>
      </c>
      <c r="AH434" t="s">
        <v>226</v>
      </c>
      <c r="AI434" t="s">
        <v>381</v>
      </c>
      <c r="AJ434" t="s">
        <v>228</v>
      </c>
      <c r="AK434" t="s">
        <v>229</v>
      </c>
      <c r="AL434" t="s">
        <v>99</v>
      </c>
      <c r="AP434" t="s">
        <v>230</v>
      </c>
      <c r="AQ434" t="s">
        <v>231</v>
      </c>
      <c r="AT434" t="s">
        <v>232</v>
      </c>
      <c r="AU434">
        <v>-99</v>
      </c>
      <c r="AV434" t="s">
        <v>73</v>
      </c>
      <c r="AW434">
        <v>-557.5</v>
      </c>
      <c r="AX434">
        <v>42402938</v>
      </c>
      <c r="AY434" s="73">
        <v>45369.921527777777</v>
      </c>
      <c r="AZ434" t="s">
        <v>226</v>
      </c>
      <c r="BA434" t="s">
        <v>381</v>
      </c>
      <c r="BB434" t="s">
        <v>228</v>
      </c>
      <c r="BC434" t="s">
        <v>229</v>
      </c>
      <c r="BD434" t="s">
        <v>99</v>
      </c>
      <c r="BI434" t="s">
        <v>233</v>
      </c>
      <c r="BJ434" t="s">
        <v>0</v>
      </c>
      <c r="BK434">
        <v>42402923</v>
      </c>
      <c r="BN434" t="s">
        <v>73</v>
      </c>
      <c r="BR434">
        <v>-557.5</v>
      </c>
      <c r="BS434">
        <v>42402938</v>
      </c>
      <c r="BT434" s="73">
        <v>45369.921527777777</v>
      </c>
      <c r="BU434" t="s">
        <v>226</v>
      </c>
      <c r="BV434" t="s">
        <v>381</v>
      </c>
      <c r="BW434" t="s">
        <v>228</v>
      </c>
      <c r="CH434" t="s">
        <v>229</v>
      </c>
      <c r="CI434" t="s">
        <v>99</v>
      </c>
      <c r="CJ434" t="s">
        <v>226</v>
      </c>
      <c r="CK434" t="s">
        <v>381</v>
      </c>
      <c r="CL434" t="s">
        <v>228</v>
      </c>
      <c r="CM434" t="s">
        <v>234</v>
      </c>
      <c r="CN434" t="s">
        <v>73</v>
      </c>
      <c r="CO434">
        <v>-557.5</v>
      </c>
      <c r="CP434">
        <v>42402938</v>
      </c>
      <c r="CQ434" s="73">
        <v>45369.921527777777</v>
      </c>
      <c r="CR434" t="s">
        <v>229</v>
      </c>
      <c r="CS434" t="s">
        <v>99</v>
      </c>
      <c r="CU434" t="s">
        <v>225</v>
      </c>
    </row>
    <row r="435" spans="1:99">
      <c r="A435" t="s">
        <v>103</v>
      </c>
      <c r="B435" t="s">
        <v>98</v>
      </c>
      <c r="J435" t="s">
        <v>225</v>
      </c>
      <c r="K435" t="s">
        <v>225</v>
      </c>
      <c r="M435" s="73">
        <v>45369.921527777777</v>
      </c>
      <c r="N435">
        <v>42402937</v>
      </c>
      <c r="O435">
        <v>11150</v>
      </c>
      <c r="P435" t="s">
        <v>104</v>
      </c>
      <c r="Q435">
        <v>11150</v>
      </c>
      <c r="R435" t="s">
        <v>104</v>
      </c>
      <c r="S435">
        <v>557.5</v>
      </c>
      <c r="T435" t="s">
        <v>73</v>
      </c>
      <c r="U435" t="s">
        <v>226</v>
      </c>
      <c r="V435" t="s">
        <v>381</v>
      </c>
      <c r="W435" t="s">
        <v>235</v>
      </c>
      <c r="X435" t="s">
        <v>229</v>
      </c>
      <c r="Y435" t="s">
        <v>103</v>
      </c>
      <c r="AD435" t="s">
        <v>104</v>
      </c>
      <c r="AE435">
        <v>11150</v>
      </c>
      <c r="AF435">
        <v>42402937</v>
      </c>
      <c r="AG435" s="73">
        <v>45369.921527777777</v>
      </c>
      <c r="AH435" t="s">
        <v>226</v>
      </c>
      <c r="AI435" t="s">
        <v>381</v>
      </c>
      <c r="AJ435" t="s">
        <v>235</v>
      </c>
      <c r="AK435" t="s">
        <v>229</v>
      </c>
      <c r="AL435" t="s">
        <v>103</v>
      </c>
      <c r="AP435" t="s">
        <v>230</v>
      </c>
      <c r="AQ435" t="s">
        <v>231</v>
      </c>
      <c r="AT435" t="s">
        <v>232</v>
      </c>
      <c r="AU435">
        <v>-99</v>
      </c>
      <c r="AV435" t="s">
        <v>104</v>
      </c>
      <c r="AW435">
        <v>11150</v>
      </c>
      <c r="AX435">
        <v>42402937</v>
      </c>
      <c r="AY435" s="73">
        <v>45369.921527777777</v>
      </c>
      <c r="AZ435" t="s">
        <v>226</v>
      </c>
      <c r="BA435" t="s">
        <v>381</v>
      </c>
      <c r="BB435" t="s">
        <v>235</v>
      </c>
      <c r="BC435" t="s">
        <v>229</v>
      </c>
      <c r="BD435" t="s">
        <v>103</v>
      </c>
      <c r="BI435" t="s">
        <v>233</v>
      </c>
      <c r="BJ435" t="s">
        <v>0</v>
      </c>
      <c r="BK435">
        <v>42402923</v>
      </c>
      <c r="BN435" t="s">
        <v>104</v>
      </c>
      <c r="BO435">
        <v>42402929</v>
      </c>
      <c r="BR435">
        <v>11150</v>
      </c>
      <c r="BS435">
        <v>42402937</v>
      </c>
      <c r="BT435" s="73">
        <v>45369.921527777777</v>
      </c>
      <c r="BU435" t="s">
        <v>226</v>
      </c>
      <c r="BV435" t="s">
        <v>381</v>
      </c>
      <c r="BW435" t="s">
        <v>235</v>
      </c>
      <c r="CH435" t="s">
        <v>229</v>
      </c>
      <c r="CI435" t="s">
        <v>103</v>
      </c>
      <c r="CJ435" t="s">
        <v>226</v>
      </c>
      <c r="CK435" t="s">
        <v>381</v>
      </c>
      <c r="CL435" t="s">
        <v>235</v>
      </c>
      <c r="CM435" t="s">
        <v>236</v>
      </c>
      <c r="CN435" t="s">
        <v>104</v>
      </c>
      <c r="CO435">
        <v>11150</v>
      </c>
      <c r="CP435">
        <v>42402937</v>
      </c>
      <c r="CQ435" s="73">
        <v>45369.921527777777</v>
      </c>
      <c r="CR435" t="s">
        <v>229</v>
      </c>
      <c r="CS435" t="s">
        <v>103</v>
      </c>
      <c r="CU435" t="s">
        <v>225</v>
      </c>
    </row>
    <row r="436" spans="1:99">
      <c r="A436" t="s">
        <v>111</v>
      </c>
      <c r="B436" t="s">
        <v>77</v>
      </c>
      <c r="J436" t="s">
        <v>225</v>
      </c>
      <c r="K436" t="s">
        <v>225</v>
      </c>
      <c r="M436" s="73">
        <v>45369.921527777777</v>
      </c>
      <c r="N436">
        <v>42402936</v>
      </c>
      <c r="O436">
        <v>6</v>
      </c>
      <c r="P436" t="s">
        <v>45</v>
      </c>
      <c r="Q436">
        <v>6</v>
      </c>
      <c r="R436" t="s">
        <v>45</v>
      </c>
      <c r="U436" t="s">
        <v>226</v>
      </c>
      <c r="V436" t="s">
        <v>381</v>
      </c>
      <c r="W436" t="s">
        <v>237</v>
      </c>
      <c r="X436" t="s">
        <v>229</v>
      </c>
      <c r="Y436" t="s">
        <v>111</v>
      </c>
      <c r="AD436" t="s">
        <v>45</v>
      </c>
      <c r="AE436">
        <v>6</v>
      </c>
      <c r="AF436">
        <v>42402936</v>
      </c>
      <c r="AG436" s="73">
        <v>45369.921527777777</v>
      </c>
      <c r="AH436" t="s">
        <v>226</v>
      </c>
      <c r="AI436" t="s">
        <v>381</v>
      </c>
      <c r="AJ436" t="s">
        <v>237</v>
      </c>
      <c r="AK436" t="s">
        <v>229</v>
      </c>
      <c r="AL436" t="s">
        <v>111</v>
      </c>
      <c r="AP436" t="s">
        <v>230</v>
      </c>
      <c r="AQ436" t="s">
        <v>231</v>
      </c>
      <c r="AT436" t="s">
        <v>232</v>
      </c>
      <c r="AU436">
        <v>-99</v>
      </c>
      <c r="AV436" t="s">
        <v>45</v>
      </c>
      <c r="AW436">
        <v>6</v>
      </c>
      <c r="AX436">
        <v>42402936</v>
      </c>
      <c r="AY436" s="73">
        <v>45369.921527777777</v>
      </c>
      <c r="AZ436" t="s">
        <v>226</v>
      </c>
      <c r="BA436" t="s">
        <v>381</v>
      </c>
      <c r="BB436" t="s">
        <v>237</v>
      </c>
      <c r="BC436" t="s">
        <v>229</v>
      </c>
      <c r="BD436" t="s">
        <v>111</v>
      </c>
      <c r="BI436" t="s">
        <v>233</v>
      </c>
      <c r="BJ436" t="s">
        <v>0</v>
      </c>
      <c r="BK436">
        <v>42402923</v>
      </c>
      <c r="BN436" t="s">
        <v>45</v>
      </c>
      <c r="BO436">
        <v>42402931</v>
      </c>
      <c r="BR436">
        <v>6</v>
      </c>
      <c r="BS436">
        <v>42402936</v>
      </c>
      <c r="BT436" s="73">
        <v>45369.921527777777</v>
      </c>
      <c r="BU436" t="s">
        <v>226</v>
      </c>
      <c r="BV436" t="s">
        <v>381</v>
      </c>
      <c r="BW436" t="s">
        <v>237</v>
      </c>
      <c r="CH436" t="s">
        <v>229</v>
      </c>
      <c r="CI436" t="s">
        <v>111</v>
      </c>
      <c r="CJ436" t="s">
        <v>226</v>
      </c>
      <c r="CK436" t="s">
        <v>381</v>
      </c>
      <c r="CL436" t="s">
        <v>237</v>
      </c>
      <c r="CM436" t="s">
        <v>236</v>
      </c>
      <c r="CN436" t="s">
        <v>45</v>
      </c>
      <c r="CO436">
        <v>6</v>
      </c>
      <c r="CP436">
        <v>42402936</v>
      </c>
      <c r="CQ436" s="73">
        <v>45369.921527777777</v>
      </c>
      <c r="CR436" t="s">
        <v>229</v>
      </c>
      <c r="CS436" t="s">
        <v>111</v>
      </c>
      <c r="CU436" t="s">
        <v>225</v>
      </c>
    </row>
    <row r="437" spans="1:99">
      <c r="A437" t="s">
        <v>42</v>
      </c>
      <c r="B437" t="s">
        <v>92</v>
      </c>
      <c r="J437" t="s">
        <v>225</v>
      </c>
      <c r="K437" t="s">
        <v>225</v>
      </c>
      <c r="M437" s="73">
        <v>45369.920138888891</v>
      </c>
      <c r="N437">
        <v>42402911</v>
      </c>
      <c r="O437">
        <v>-5180</v>
      </c>
      <c r="P437" t="s">
        <v>45</v>
      </c>
      <c r="Q437">
        <v>-5180</v>
      </c>
      <c r="R437" t="s">
        <v>45</v>
      </c>
      <c r="U437" t="s">
        <v>226</v>
      </c>
      <c r="V437" t="s">
        <v>382</v>
      </c>
      <c r="W437" t="s">
        <v>228</v>
      </c>
      <c r="X437" t="s">
        <v>229</v>
      </c>
      <c r="Y437" t="s">
        <v>42</v>
      </c>
      <c r="AD437" t="s">
        <v>45</v>
      </c>
      <c r="AE437">
        <v>-5180</v>
      </c>
      <c r="AF437">
        <v>42402911</v>
      </c>
      <c r="AG437" s="73">
        <v>45369.920138888891</v>
      </c>
      <c r="AH437" t="s">
        <v>226</v>
      </c>
      <c r="AI437" t="s">
        <v>382</v>
      </c>
      <c r="AJ437" t="s">
        <v>228</v>
      </c>
      <c r="AK437" t="s">
        <v>229</v>
      </c>
      <c r="AL437" t="s">
        <v>42</v>
      </c>
      <c r="AP437" t="s">
        <v>230</v>
      </c>
      <c r="AQ437" t="s">
        <v>231</v>
      </c>
      <c r="AT437" t="s">
        <v>232</v>
      </c>
      <c r="AU437">
        <v>-99</v>
      </c>
      <c r="AV437" t="s">
        <v>45</v>
      </c>
      <c r="AW437">
        <v>-5180</v>
      </c>
      <c r="AX437">
        <v>42402911</v>
      </c>
      <c r="AY437" s="73">
        <v>45369.920138888891</v>
      </c>
      <c r="AZ437" t="s">
        <v>226</v>
      </c>
      <c r="BA437" t="s">
        <v>382</v>
      </c>
      <c r="BB437" t="s">
        <v>228</v>
      </c>
      <c r="BC437" t="s">
        <v>229</v>
      </c>
      <c r="BD437" t="s">
        <v>42</v>
      </c>
      <c r="BI437" t="s">
        <v>233</v>
      </c>
      <c r="BJ437" t="s">
        <v>0</v>
      </c>
      <c r="BK437">
        <v>42402899</v>
      </c>
      <c r="BN437" t="s">
        <v>45</v>
      </c>
      <c r="BR437">
        <v>-5180</v>
      </c>
      <c r="BS437">
        <v>42402911</v>
      </c>
      <c r="BT437" s="73">
        <v>45369.920138888891</v>
      </c>
      <c r="BU437" t="s">
        <v>226</v>
      </c>
      <c r="BV437" t="s">
        <v>382</v>
      </c>
      <c r="BW437" t="s">
        <v>228</v>
      </c>
      <c r="CH437" t="s">
        <v>229</v>
      </c>
      <c r="CI437" t="s">
        <v>42</v>
      </c>
      <c r="CJ437" t="s">
        <v>226</v>
      </c>
      <c r="CK437" t="s">
        <v>382</v>
      </c>
      <c r="CL437" t="s">
        <v>228</v>
      </c>
      <c r="CM437" t="s">
        <v>234</v>
      </c>
      <c r="CN437" t="s">
        <v>45</v>
      </c>
      <c r="CO437">
        <v>-5180</v>
      </c>
      <c r="CP437">
        <v>42402911</v>
      </c>
      <c r="CQ437" s="73">
        <v>45369.920138888891</v>
      </c>
      <c r="CR437" t="s">
        <v>229</v>
      </c>
      <c r="CS437" t="s">
        <v>42</v>
      </c>
      <c r="CU437" t="s">
        <v>225</v>
      </c>
    </row>
    <row r="438" spans="1:99">
      <c r="A438" t="s">
        <v>99</v>
      </c>
      <c r="B438" t="s">
        <v>98</v>
      </c>
      <c r="J438" t="s">
        <v>225</v>
      </c>
      <c r="K438" t="s">
        <v>225</v>
      </c>
      <c r="M438" s="73">
        <v>45369.920138888891</v>
      </c>
      <c r="N438">
        <v>42402910</v>
      </c>
      <c r="O438">
        <v>-259</v>
      </c>
      <c r="P438" t="s">
        <v>73</v>
      </c>
      <c r="Q438">
        <v>-259</v>
      </c>
      <c r="R438" t="s">
        <v>73</v>
      </c>
      <c r="U438" t="s">
        <v>226</v>
      </c>
      <c r="V438" t="s">
        <v>382</v>
      </c>
      <c r="W438" t="s">
        <v>228</v>
      </c>
      <c r="X438" t="s">
        <v>229</v>
      </c>
      <c r="Y438" t="s">
        <v>99</v>
      </c>
      <c r="AD438" t="s">
        <v>73</v>
      </c>
      <c r="AE438">
        <v>-259</v>
      </c>
      <c r="AF438">
        <v>42402910</v>
      </c>
      <c r="AG438" s="73">
        <v>45369.920138888891</v>
      </c>
      <c r="AH438" t="s">
        <v>226</v>
      </c>
      <c r="AI438" t="s">
        <v>382</v>
      </c>
      <c r="AJ438" t="s">
        <v>228</v>
      </c>
      <c r="AK438" t="s">
        <v>229</v>
      </c>
      <c r="AL438" t="s">
        <v>99</v>
      </c>
      <c r="AP438" t="s">
        <v>230</v>
      </c>
      <c r="AQ438" t="s">
        <v>231</v>
      </c>
      <c r="AT438" t="s">
        <v>232</v>
      </c>
      <c r="AU438">
        <v>-99</v>
      </c>
      <c r="AV438" t="s">
        <v>73</v>
      </c>
      <c r="AW438">
        <v>-259</v>
      </c>
      <c r="AX438">
        <v>42402910</v>
      </c>
      <c r="AY438" s="73">
        <v>45369.920138888891</v>
      </c>
      <c r="AZ438" t="s">
        <v>226</v>
      </c>
      <c r="BA438" t="s">
        <v>382</v>
      </c>
      <c r="BB438" t="s">
        <v>228</v>
      </c>
      <c r="BC438" t="s">
        <v>229</v>
      </c>
      <c r="BD438" t="s">
        <v>99</v>
      </c>
      <c r="BI438" t="s">
        <v>233</v>
      </c>
      <c r="BJ438" t="s">
        <v>0</v>
      </c>
      <c r="BK438">
        <v>42402899</v>
      </c>
      <c r="BN438" t="s">
        <v>73</v>
      </c>
      <c r="BR438">
        <v>-259</v>
      </c>
      <c r="BS438">
        <v>42402910</v>
      </c>
      <c r="BT438" s="73">
        <v>45369.920138888891</v>
      </c>
      <c r="BU438" t="s">
        <v>226</v>
      </c>
      <c r="BV438" t="s">
        <v>382</v>
      </c>
      <c r="BW438" t="s">
        <v>228</v>
      </c>
      <c r="CH438" t="s">
        <v>229</v>
      </c>
      <c r="CI438" t="s">
        <v>99</v>
      </c>
      <c r="CJ438" t="s">
        <v>226</v>
      </c>
      <c r="CK438" t="s">
        <v>382</v>
      </c>
      <c r="CL438" t="s">
        <v>228</v>
      </c>
      <c r="CM438" t="s">
        <v>234</v>
      </c>
      <c r="CN438" t="s">
        <v>73</v>
      </c>
      <c r="CO438">
        <v>-259</v>
      </c>
      <c r="CP438">
        <v>42402910</v>
      </c>
      <c r="CQ438" s="73">
        <v>45369.920138888891</v>
      </c>
      <c r="CR438" t="s">
        <v>229</v>
      </c>
      <c r="CS438" t="s">
        <v>99</v>
      </c>
      <c r="CU438" t="s">
        <v>225</v>
      </c>
    </row>
    <row r="439" spans="1:99">
      <c r="A439" t="s">
        <v>103</v>
      </c>
      <c r="B439" t="s">
        <v>98</v>
      </c>
      <c r="J439" t="s">
        <v>225</v>
      </c>
      <c r="K439" t="s">
        <v>225</v>
      </c>
      <c r="M439" s="73">
        <v>45369.920138888891</v>
      </c>
      <c r="N439">
        <v>42402909</v>
      </c>
      <c r="O439">
        <v>5180</v>
      </c>
      <c r="P439" t="s">
        <v>104</v>
      </c>
      <c r="Q439">
        <v>5180</v>
      </c>
      <c r="R439" t="s">
        <v>104</v>
      </c>
      <c r="S439">
        <v>259</v>
      </c>
      <c r="T439" t="s">
        <v>73</v>
      </c>
      <c r="U439" t="s">
        <v>226</v>
      </c>
      <c r="V439" t="s">
        <v>382</v>
      </c>
      <c r="W439" t="s">
        <v>235</v>
      </c>
      <c r="X439" t="s">
        <v>229</v>
      </c>
      <c r="Y439" t="s">
        <v>103</v>
      </c>
      <c r="AD439" t="s">
        <v>104</v>
      </c>
      <c r="AE439">
        <v>5180</v>
      </c>
      <c r="AF439">
        <v>42402909</v>
      </c>
      <c r="AG439" s="73">
        <v>45369.920138888891</v>
      </c>
      <c r="AH439" t="s">
        <v>226</v>
      </c>
      <c r="AI439" t="s">
        <v>382</v>
      </c>
      <c r="AJ439" t="s">
        <v>235</v>
      </c>
      <c r="AK439" t="s">
        <v>229</v>
      </c>
      <c r="AL439" t="s">
        <v>103</v>
      </c>
      <c r="AP439" t="s">
        <v>230</v>
      </c>
      <c r="AQ439" t="s">
        <v>231</v>
      </c>
      <c r="AT439" t="s">
        <v>232</v>
      </c>
      <c r="AU439">
        <v>-99</v>
      </c>
      <c r="AV439" t="s">
        <v>104</v>
      </c>
      <c r="AW439">
        <v>5180</v>
      </c>
      <c r="AX439">
        <v>42402909</v>
      </c>
      <c r="AY439" s="73">
        <v>45369.920138888891</v>
      </c>
      <c r="AZ439" t="s">
        <v>226</v>
      </c>
      <c r="BA439" t="s">
        <v>382</v>
      </c>
      <c r="BB439" t="s">
        <v>235</v>
      </c>
      <c r="BC439" t="s">
        <v>229</v>
      </c>
      <c r="BD439" t="s">
        <v>103</v>
      </c>
      <c r="BI439" t="s">
        <v>233</v>
      </c>
      <c r="BJ439" t="s">
        <v>0</v>
      </c>
      <c r="BK439">
        <v>42402899</v>
      </c>
      <c r="BN439" t="s">
        <v>104</v>
      </c>
      <c r="BO439">
        <v>42402905</v>
      </c>
      <c r="BR439">
        <v>5180</v>
      </c>
      <c r="BS439">
        <v>42402909</v>
      </c>
      <c r="BT439" s="73">
        <v>45369.920138888891</v>
      </c>
      <c r="BU439" t="s">
        <v>226</v>
      </c>
      <c r="BV439" t="s">
        <v>382</v>
      </c>
      <c r="BW439" t="s">
        <v>235</v>
      </c>
      <c r="CH439" t="s">
        <v>229</v>
      </c>
      <c r="CI439" t="s">
        <v>103</v>
      </c>
      <c r="CJ439" t="s">
        <v>226</v>
      </c>
      <c r="CK439" t="s">
        <v>382</v>
      </c>
      <c r="CL439" t="s">
        <v>235</v>
      </c>
      <c r="CM439" t="s">
        <v>236</v>
      </c>
      <c r="CN439" t="s">
        <v>104</v>
      </c>
      <c r="CO439">
        <v>5180</v>
      </c>
      <c r="CP439">
        <v>42402909</v>
      </c>
      <c r="CQ439" s="73">
        <v>45369.920138888891</v>
      </c>
      <c r="CR439" t="s">
        <v>229</v>
      </c>
      <c r="CS439" t="s">
        <v>103</v>
      </c>
      <c r="CU439" t="s">
        <v>225</v>
      </c>
    </row>
    <row r="440" spans="1:99">
      <c r="A440" t="s">
        <v>46</v>
      </c>
      <c r="B440" t="s">
        <v>92</v>
      </c>
      <c r="J440" t="s">
        <v>225</v>
      </c>
      <c r="K440" t="s">
        <v>225</v>
      </c>
      <c r="M440" s="73">
        <v>45369.918749999997</v>
      </c>
      <c r="N440">
        <v>42402885</v>
      </c>
      <c r="O440">
        <v>-1052</v>
      </c>
      <c r="P440" t="s">
        <v>45</v>
      </c>
      <c r="Q440">
        <v>-1052</v>
      </c>
      <c r="R440" t="s">
        <v>45</v>
      </c>
      <c r="U440" t="s">
        <v>226</v>
      </c>
      <c r="V440" t="s">
        <v>383</v>
      </c>
      <c r="W440" t="s">
        <v>228</v>
      </c>
      <c r="X440" t="s">
        <v>229</v>
      </c>
      <c r="Y440" t="s">
        <v>46</v>
      </c>
      <c r="AD440" t="s">
        <v>45</v>
      </c>
      <c r="AE440">
        <v>-1052</v>
      </c>
      <c r="AF440">
        <v>42402885</v>
      </c>
      <c r="AG440" s="73">
        <v>45369.918749999997</v>
      </c>
      <c r="AH440" t="s">
        <v>226</v>
      </c>
      <c r="AI440" t="s">
        <v>383</v>
      </c>
      <c r="AJ440" t="s">
        <v>228</v>
      </c>
      <c r="AK440" t="s">
        <v>229</v>
      </c>
      <c r="AL440" t="s">
        <v>46</v>
      </c>
      <c r="AP440" t="s">
        <v>230</v>
      </c>
      <c r="AQ440" t="s">
        <v>231</v>
      </c>
      <c r="AT440" t="s">
        <v>232</v>
      </c>
      <c r="AU440">
        <v>-99</v>
      </c>
      <c r="AV440" t="s">
        <v>45</v>
      </c>
      <c r="AW440">
        <v>-1052</v>
      </c>
      <c r="AX440">
        <v>42402885</v>
      </c>
      <c r="AY440" s="73">
        <v>45369.918749999997</v>
      </c>
      <c r="AZ440" t="s">
        <v>226</v>
      </c>
      <c r="BA440" t="s">
        <v>383</v>
      </c>
      <c r="BB440" t="s">
        <v>228</v>
      </c>
      <c r="BC440" t="s">
        <v>229</v>
      </c>
      <c r="BD440" t="s">
        <v>46</v>
      </c>
      <c r="BI440" t="s">
        <v>233</v>
      </c>
      <c r="BJ440" t="s">
        <v>0</v>
      </c>
      <c r="BK440">
        <v>42402869</v>
      </c>
      <c r="BN440" t="s">
        <v>45</v>
      </c>
      <c r="BR440">
        <v>-1052</v>
      </c>
      <c r="BS440">
        <v>42402885</v>
      </c>
      <c r="BT440" s="73">
        <v>45369.918749999997</v>
      </c>
      <c r="BU440" t="s">
        <v>226</v>
      </c>
      <c r="BV440" t="s">
        <v>383</v>
      </c>
      <c r="BW440" t="s">
        <v>228</v>
      </c>
      <c r="CH440" t="s">
        <v>229</v>
      </c>
      <c r="CI440" t="s">
        <v>46</v>
      </c>
      <c r="CJ440" t="s">
        <v>226</v>
      </c>
      <c r="CK440" t="s">
        <v>383</v>
      </c>
      <c r="CL440" t="s">
        <v>228</v>
      </c>
      <c r="CM440" t="s">
        <v>234</v>
      </c>
      <c r="CN440" t="s">
        <v>45</v>
      </c>
      <c r="CO440">
        <v>-1052</v>
      </c>
      <c r="CP440">
        <v>42402885</v>
      </c>
      <c r="CQ440" s="73">
        <v>45369.918749999997</v>
      </c>
      <c r="CR440" t="s">
        <v>229</v>
      </c>
      <c r="CS440" t="s">
        <v>46</v>
      </c>
      <c r="CU440" t="s">
        <v>225</v>
      </c>
    </row>
    <row r="441" spans="1:99">
      <c r="A441" t="s">
        <v>93</v>
      </c>
      <c r="B441" t="s">
        <v>98</v>
      </c>
      <c r="J441" t="s">
        <v>225</v>
      </c>
      <c r="K441" t="s">
        <v>225</v>
      </c>
      <c r="M441" s="73">
        <v>45369.918749999997</v>
      </c>
      <c r="N441">
        <v>42402884</v>
      </c>
      <c r="O441">
        <v>-52.5</v>
      </c>
      <c r="P441" t="s">
        <v>73</v>
      </c>
      <c r="Q441">
        <v>-52.5</v>
      </c>
      <c r="R441" t="s">
        <v>73</v>
      </c>
      <c r="U441" t="s">
        <v>226</v>
      </c>
      <c r="V441" t="s">
        <v>383</v>
      </c>
      <c r="W441" t="s">
        <v>228</v>
      </c>
      <c r="X441" t="s">
        <v>229</v>
      </c>
      <c r="Y441" t="s">
        <v>93</v>
      </c>
      <c r="AD441" t="s">
        <v>73</v>
      </c>
      <c r="AE441">
        <v>-52.5</v>
      </c>
      <c r="AF441">
        <v>42402884</v>
      </c>
      <c r="AG441" s="73">
        <v>45369.918749999997</v>
      </c>
      <c r="AH441" t="s">
        <v>226</v>
      </c>
      <c r="AI441" t="s">
        <v>383</v>
      </c>
      <c r="AJ441" t="s">
        <v>228</v>
      </c>
      <c r="AK441" t="s">
        <v>229</v>
      </c>
      <c r="AL441" t="s">
        <v>93</v>
      </c>
      <c r="AP441" t="s">
        <v>230</v>
      </c>
      <c r="AQ441" t="s">
        <v>231</v>
      </c>
      <c r="AT441" t="s">
        <v>232</v>
      </c>
      <c r="AU441">
        <v>-99</v>
      </c>
      <c r="AV441" t="s">
        <v>73</v>
      </c>
      <c r="AW441">
        <v>-52.5</v>
      </c>
      <c r="AX441">
        <v>42402884</v>
      </c>
      <c r="AY441" s="73">
        <v>45369.918749999997</v>
      </c>
      <c r="AZ441" t="s">
        <v>226</v>
      </c>
      <c r="BA441" t="s">
        <v>383</v>
      </c>
      <c r="BB441" t="s">
        <v>228</v>
      </c>
      <c r="BC441" t="s">
        <v>229</v>
      </c>
      <c r="BD441" t="s">
        <v>93</v>
      </c>
      <c r="BI441" t="s">
        <v>233</v>
      </c>
      <c r="BJ441" t="s">
        <v>0</v>
      </c>
      <c r="BK441">
        <v>42402869</v>
      </c>
      <c r="BN441" t="s">
        <v>73</v>
      </c>
      <c r="BR441">
        <v>-52.5</v>
      </c>
      <c r="BS441">
        <v>42402884</v>
      </c>
      <c r="BT441" s="73">
        <v>45369.918749999997</v>
      </c>
      <c r="BU441" t="s">
        <v>226</v>
      </c>
      <c r="BV441" t="s">
        <v>383</v>
      </c>
      <c r="BW441" t="s">
        <v>228</v>
      </c>
      <c r="CH441" t="s">
        <v>229</v>
      </c>
      <c r="CI441" t="s">
        <v>93</v>
      </c>
      <c r="CJ441" t="s">
        <v>226</v>
      </c>
      <c r="CK441" t="s">
        <v>383</v>
      </c>
      <c r="CL441" t="s">
        <v>228</v>
      </c>
      <c r="CM441" t="s">
        <v>234</v>
      </c>
      <c r="CN441" t="s">
        <v>73</v>
      </c>
      <c r="CO441">
        <v>-52.5</v>
      </c>
      <c r="CP441">
        <v>42402884</v>
      </c>
      <c r="CQ441" s="73">
        <v>45369.918749999997</v>
      </c>
      <c r="CR441" t="s">
        <v>229</v>
      </c>
      <c r="CS441" t="s">
        <v>93</v>
      </c>
      <c r="CU441" t="s">
        <v>225</v>
      </c>
    </row>
    <row r="442" spans="1:99">
      <c r="A442" t="s">
        <v>108</v>
      </c>
      <c r="B442" t="s">
        <v>98</v>
      </c>
      <c r="J442" t="s">
        <v>225</v>
      </c>
      <c r="K442" t="s">
        <v>225</v>
      </c>
      <c r="M442" s="73">
        <v>45369.918749999997</v>
      </c>
      <c r="N442">
        <v>42402883</v>
      </c>
      <c r="O442">
        <v>1050</v>
      </c>
      <c r="P442" t="s">
        <v>104</v>
      </c>
      <c r="Q442">
        <v>1050</v>
      </c>
      <c r="R442" t="s">
        <v>104</v>
      </c>
      <c r="S442">
        <v>52.5</v>
      </c>
      <c r="T442" t="s">
        <v>73</v>
      </c>
      <c r="U442" t="s">
        <v>226</v>
      </c>
      <c r="V442" t="s">
        <v>383</v>
      </c>
      <c r="W442" t="s">
        <v>235</v>
      </c>
      <c r="X442" t="s">
        <v>229</v>
      </c>
      <c r="Y442" t="s">
        <v>108</v>
      </c>
      <c r="AD442" t="s">
        <v>104</v>
      </c>
      <c r="AE442">
        <v>1050</v>
      </c>
      <c r="AF442">
        <v>42402883</v>
      </c>
      <c r="AG442" s="73">
        <v>45369.918749999997</v>
      </c>
      <c r="AH442" t="s">
        <v>226</v>
      </c>
      <c r="AI442" t="s">
        <v>383</v>
      </c>
      <c r="AJ442" t="s">
        <v>235</v>
      </c>
      <c r="AK442" t="s">
        <v>229</v>
      </c>
      <c r="AL442" t="s">
        <v>108</v>
      </c>
      <c r="AP442" t="s">
        <v>230</v>
      </c>
      <c r="AQ442" t="s">
        <v>231</v>
      </c>
      <c r="AT442" t="s">
        <v>232</v>
      </c>
      <c r="AU442">
        <v>-99</v>
      </c>
      <c r="AV442" t="s">
        <v>104</v>
      </c>
      <c r="AW442">
        <v>1050</v>
      </c>
      <c r="AX442">
        <v>42402883</v>
      </c>
      <c r="AY442" s="73">
        <v>45369.918749999997</v>
      </c>
      <c r="AZ442" t="s">
        <v>226</v>
      </c>
      <c r="BA442" t="s">
        <v>383</v>
      </c>
      <c r="BB442" t="s">
        <v>235</v>
      </c>
      <c r="BC442" t="s">
        <v>229</v>
      </c>
      <c r="BD442" t="s">
        <v>108</v>
      </c>
      <c r="BI442" t="s">
        <v>233</v>
      </c>
      <c r="BJ442" t="s">
        <v>0</v>
      </c>
      <c r="BK442">
        <v>42402869</v>
      </c>
      <c r="BN442" t="s">
        <v>104</v>
      </c>
      <c r="BO442">
        <v>42402875</v>
      </c>
      <c r="BR442">
        <v>1050</v>
      </c>
      <c r="BS442">
        <v>42402883</v>
      </c>
      <c r="BT442" s="73">
        <v>45369.918749999997</v>
      </c>
      <c r="BU442" t="s">
        <v>226</v>
      </c>
      <c r="BV442" t="s">
        <v>383</v>
      </c>
      <c r="BW442" t="s">
        <v>235</v>
      </c>
      <c r="CH442" t="s">
        <v>229</v>
      </c>
      <c r="CI442" t="s">
        <v>108</v>
      </c>
      <c r="CJ442" t="s">
        <v>226</v>
      </c>
      <c r="CK442" t="s">
        <v>383</v>
      </c>
      <c r="CL442" t="s">
        <v>235</v>
      </c>
      <c r="CM442" t="s">
        <v>236</v>
      </c>
      <c r="CN442" t="s">
        <v>104</v>
      </c>
      <c r="CO442">
        <v>1050</v>
      </c>
      <c r="CP442">
        <v>42402883</v>
      </c>
      <c r="CQ442" s="73">
        <v>45369.918749999997</v>
      </c>
      <c r="CR442" t="s">
        <v>229</v>
      </c>
      <c r="CS442" t="s">
        <v>108</v>
      </c>
      <c r="CU442" t="s">
        <v>225</v>
      </c>
    </row>
    <row r="443" spans="1:99">
      <c r="A443" t="s">
        <v>111</v>
      </c>
      <c r="B443" t="s">
        <v>77</v>
      </c>
      <c r="J443" t="s">
        <v>225</v>
      </c>
      <c r="K443" t="s">
        <v>225</v>
      </c>
      <c r="M443" s="73">
        <v>45369.918749999997</v>
      </c>
      <c r="N443">
        <v>42402882</v>
      </c>
      <c r="O443">
        <v>2</v>
      </c>
      <c r="P443" t="s">
        <v>45</v>
      </c>
      <c r="Q443">
        <v>2</v>
      </c>
      <c r="R443" t="s">
        <v>45</v>
      </c>
      <c r="U443" t="s">
        <v>226</v>
      </c>
      <c r="V443" t="s">
        <v>383</v>
      </c>
      <c r="W443" t="s">
        <v>237</v>
      </c>
      <c r="X443" t="s">
        <v>229</v>
      </c>
      <c r="Y443" t="s">
        <v>111</v>
      </c>
      <c r="AD443" t="s">
        <v>45</v>
      </c>
      <c r="AE443">
        <v>2</v>
      </c>
      <c r="AF443">
        <v>42402882</v>
      </c>
      <c r="AG443" s="73">
        <v>45369.918749999997</v>
      </c>
      <c r="AH443" t="s">
        <v>226</v>
      </c>
      <c r="AI443" t="s">
        <v>383</v>
      </c>
      <c r="AJ443" t="s">
        <v>237</v>
      </c>
      <c r="AK443" t="s">
        <v>229</v>
      </c>
      <c r="AL443" t="s">
        <v>111</v>
      </c>
      <c r="AP443" t="s">
        <v>230</v>
      </c>
      <c r="AQ443" t="s">
        <v>231</v>
      </c>
      <c r="AT443" t="s">
        <v>232</v>
      </c>
      <c r="AU443">
        <v>-99</v>
      </c>
      <c r="AV443" t="s">
        <v>45</v>
      </c>
      <c r="AW443">
        <v>2</v>
      </c>
      <c r="AX443">
        <v>42402882</v>
      </c>
      <c r="AY443" s="73">
        <v>45369.918749999997</v>
      </c>
      <c r="AZ443" t="s">
        <v>226</v>
      </c>
      <c r="BA443" t="s">
        <v>383</v>
      </c>
      <c r="BB443" t="s">
        <v>237</v>
      </c>
      <c r="BC443" t="s">
        <v>229</v>
      </c>
      <c r="BD443" t="s">
        <v>111</v>
      </c>
      <c r="BI443" t="s">
        <v>233</v>
      </c>
      <c r="BJ443" t="s">
        <v>0</v>
      </c>
      <c r="BK443">
        <v>42402869</v>
      </c>
      <c r="BN443" t="s">
        <v>45</v>
      </c>
      <c r="BO443">
        <v>42402877</v>
      </c>
      <c r="BR443">
        <v>2</v>
      </c>
      <c r="BS443">
        <v>42402882</v>
      </c>
      <c r="BT443" s="73">
        <v>45369.918749999997</v>
      </c>
      <c r="BU443" t="s">
        <v>226</v>
      </c>
      <c r="BV443" t="s">
        <v>383</v>
      </c>
      <c r="BW443" t="s">
        <v>237</v>
      </c>
      <c r="CH443" t="s">
        <v>229</v>
      </c>
      <c r="CI443" t="s">
        <v>111</v>
      </c>
      <c r="CJ443" t="s">
        <v>226</v>
      </c>
      <c r="CK443" t="s">
        <v>383</v>
      </c>
      <c r="CL443" t="s">
        <v>237</v>
      </c>
      <c r="CM443" t="s">
        <v>236</v>
      </c>
      <c r="CN443" t="s">
        <v>45</v>
      </c>
      <c r="CO443">
        <v>2</v>
      </c>
      <c r="CP443">
        <v>42402882</v>
      </c>
      <c r="CQ443" s="73">
        <v>45369.918749999997</v>
      </c>
      <c r="CR443" t="s">
        <v>229</v>
      </c>
      <c r="CS443" t="s">
        <v>111</v>
      </c>
      <c r="CU443" t="s">
        <v>225</v>
      </c>
    </row>
    <row r="444" spans="1:99">
      <c r="A444" t="s">
        <v>52</v>
      </c>
      <c r="B444" t="s">
        <v>92</v>
      </c>
      <c r="J444" t="s">
        <v>225</v>
      </c>
      <c r="K444" t="s">
        <v>225</v>
      </c>
      <c r="M444" s="73">
        <v>45369.916666666664</v>
      </c>
      <c r="N444">
        <v>42402867</v>
      </c>
      <c r="O444">
        <v>-3827</v>
      </c>
      <c r="P444" t="s">
        <v>45</v>
      </c>
      <c r="Q444">
        <v>-3827</v>
      </c>
      <c r="R444" t="s">
        <v>45</v>
      </c>
      <c r="U444" t="s">
        <v>226</v>
      </c>
      <c r="V444" t="s">
        <v>384</v>
      </c>
      <c r="W444" t="s">
        <v>228</v>
      </c>
      <c r="X444" t="s">
        <v>229</v>
      </c>
      <c r="Y444" t="s">
        <v>52</v>
      </c>
      <c r="AD444" t="s">
        <v>45</v>
      </c>
      <c r="AE444">
        <v>-3827</v>
      </c>
      <c r="AF444">
        <v>42402867</v>
      </c>
      <c r="AG444" s="73">
        <v>45369.916666666664</v>
      </c>
      <c r="AH444" t="s">
        <v>226</v>
      </c>
      <c r="AI444" t="s">
        <v>384</v>
      </c>
      <c r="AJ444" t="s">
        <v>228</v>
      </c>
      <c r="AK444" t="s">
        <v>229</v>
      </c>
      <c r="AL444" t="s">
        <v>52</v>
      </c>
      <c r="AP444" t="s">
        <v>230</v>
      </c>
      <c r="AQ444" t="s">
        <v>231</v>
      </c>
      <c r="AT444" t="s">
        <v>232</v>
      </c>
      <c r="AU444">
        <v>-99</v>
      </c>
      <c r="AV444" t="s">
        <v>45</v>
      </c>
      <c r="AW444">
        <v>-3827</v>
      </c>
      <c r="AX444">
        <v>42402867</v>
      </c>
      <c r="AY444" s="73">
        <v>45369.916666666664</v>
      </c>
      <c r="AZ444" t="s">
        <v>226</v>
      </c>
      <c r="BA444" t="s">
        <v>384</v>
      </c>
      <c r="BB444" t="s">
        <v>228</v>
      </c>
      <c r="BC444" t="s">
        <v>229</v>
      </c>
      <c r="BD444" t="s">
        <v>52</v>
      </c>
      <c r="BI444" t="s">
        <v>233</v>
      </c>
      <c r="BJ444" t="s">
        <v>0</v>
      </c>
      <c r="BK444">
        <v>42402851</v>
      </c>
      <c r="BN444" t="s">
        <v>45</v>
      </c>
      <c r="BR444">
        <v>-3827</v>
      </c>
      <c r="BS444">
        <v>42402867</v>
      </c>
      <c r="BT444" s="73">
        <v>45369.916666666664</v>
      </c>
      <c r="BU444" t="s">
        <v>226</v>
      </c>
      <c r="BV444" t="s">
        <v>384</v>
      </c>
      <c r="BW444" t="s">
        <v>228</v>
      </c>
      <c r="CH444" t="s">
        <v>229</v>
      </c>
      <c r="CI444" t="s">
        <v>52</v>
      </c>
      <c r="CJ444" t="s">
        <v>226</v>
      </c>
      <c r="CK444" t="s">
        <v>384</v>
      </c>
      <c r="CL444" t="s">
        <v>228</v>
      </c>
      <c r="CM444" t="s">
        <v>234</v>
      </c>
      <c r="CN444" t="s">
        <v>45</v>
      </c>
      <c r="CO444">
        <v>-3827</v>
      </c>
      <c r="CP444">
        <v>42402867</v>
      </c>
      <c r="CQ444" s="73">
        <v>45369.916666666664</v>
      </c>
      <c r="CR444" t="s">
        <v>229</v>
      </c>
      <c r="CS444" t="s">
        <v>52</v>
      </c>
      <c r="CU444" t="s">
        <v>225</v>
      </c>
    </row>
    <row r="445" spans="1:99">
      <c r="A445" t="s">
        <v>101</v>
      </c>
      <c r="B445" t="s">
        <v>98</v>
      </c>
      <c r="J445" t="s">
        <v>225</v>
      </c>
      <c r="K445" t="s">
        <v>225</v>
      </c>
      <c r="M445" s="73">
        <v>45369.916666666664</v>
      </c>
      <c r="N445">
        <v>42402866</v>
      </c>
      <c r="O445">
        <v>-191</v>
      </c>
      <c r="P445" t="s">
        <v>73</v>
      </c>
      <c r="Q445">
        <v>-191</v>
      </c>
      <c r="R445" t="s">
        <v>73</v>
      </c>
      <c r="U445" t="s">
        <v>226</v>
      </c>
      <c r="V445" t="s">
        <v>384</v>
      </c>
      <c r="W445" t="s">
        <v>228</v>
      </c>
      <c r="X445" t="s">
        <v>229</v>
      </c>
      <c r="Y445" t="s">
        <v>101</v>
      </c>
      <c r="AD445" t="s">
        <v>73</v>
      </c>
      <c r="AE445">
        <v>-191</v>
      </c>
      <c r="AF445">
        <v>42402866</v>
      </c>
      <c r="AG445" s="73">
        <v>45369.916666666664</v>
      </c>
      <c r="AH445" t="s">
        <v>226</v>
      </c>
      <c r="AI445" t="s">
        <v>384</v>
      </c>
      <c r="AJ445" t="s">
        <v>228</v>
      </c>
      <c r="AK445" t="s">
        <v>229</v>
      </c>
      <c r="AL445" t="s">
        <v>101</v>
      </c>
      <c r="AP445" t="s">
        <v>230</v>
      </c>
      <c r="AQ445" t="s">
        <v>231</v>
      </c>
      <c r="AT445" t="s">
        <v>232</v>
      </c>
      <c r="AU445">
        <v>-99</v>
      </c>
      <c r="AV445" t="s">
        <v>73</v>
      </c>
      <c r="AW445">
        <v>-191</v>
      </c>
      <c r="AX445">
        <v>42402866</v>
      </c>
      <c r="AY445" s="73">
        <v>45369.916666666664</v>
      </c>
      <c r="AZ445" t="s">
        <v>226</v>
      </c>
      <c r="BA445" t="s">
        <v>384</v>
      </c>
      <c r="BB445" t="s">
        <v>228</v>
      </c>
      <c r="BC445" t="s">
        <v>229</v>
      </c>
      <c r="BD445" t="s">
        <v>101</v>
      </c>
      <c r="BI445" t="s">
        <v>233</v>
      </c>
      <c r="BJ445" t="s">
        <v>0</v>
      </c>
      <c r="BK445">
        <v>42402851</v>
      </c>
      <c r="BN445" t="s">
        <v>73</v>
      </c>
      <c r="BR445">
        <v>-191</v>
      </c>
      <c r="BS445">
        <v>42402866</v>
      </c>
      <c r="BT445" s="73">
        <v>45369.916666666664</v>
      </c>
      <c r="BU445" t="s">
        <v>226</v>
      </c>
      <c r="BV445" t="s">
        <v>384</v>
      </c>
      <c r="BW445" t="s">
        <v>228</v>
      </c>
      <c r="CH445" t="s">
        <v>229</v>
      </c>
      <c r="CI445" t="s">
        <v>101</v>
      </c>
      <c r="CJ445" t="s">
        <v>226</v>
      </c>
      <c r="CK445" t="s">
        <v>384</v>
      </c>
      <c r="CL445" t="s">
        <v>228</v>
      </c>
      <c r="CM445" t="s">
        <v>234</v>
      </c>
      <c r="CN445" t="s">
        <v>73</v>
      </c>
      <c r="CO445">
        <v>-191</v>
      </c>
      <c r="CP445">
        <v>42402866</v>
      </c>
      <c r="CQ445" s="73">
        <v>45369.916666666664</v>
      </c>
      <c r="CR445" t="s">
        <v>229</v>
      </c>
      <c r="CS445" t="s">
        <v>101</v>
      </c>
      <c r="CU445" t="s">
        <v>225</v>
      </c>
    </row>
    <row r="446" spans="1:99">
      <c r="A446" t="s">
        <v>107</v>
      </c>
      <c r="B446" t="s">
        <v>98</v>
      </c>
      <c r="J446" t="s">
        <v>225</v>
      </c>
      <c r="K446" t="s">
        <v>225</v>
      </c>
      <c r="M446" s="73">
        <v>45369.916666666664</v>
      </c>
      <c r="N446">
        <v>42402865</v>
      </c>
      <c r="O446">
        <v>3820</v>
      </c>
      <c r="P446" t="s">
        <v>104</v>
      </c>
      <c r="Q446">
        <v>3820</v>
      </c>
      <c r="R446" t="s">
        <v>104</v>
      </c>
      <c r="S446">
        <v>191</v>
      </c>
      <c r="T446" t="s">
        <v>73</v>
      </c>
      <c r="U446" t="s">
        <v>226</v>
      </c>
      <c r="V446" t="s">
        <v>384</v>
      </c>
      <c r="W446" t="s">
        <v>235</v>
      </c>
      <c r="X446" t="s">
        <v>229</v>
      </c>
      <c r="Y446" t="s">
        <v>107</v>
      </c>
      <c r="AD446" t="s">
        <v>104</v>
      </c>
      <c r="AE446">
        <v>3820</v>
      </c>
      <c r="AF446">
        <v>42402865</v>
      </c>
      <c r="AG446" s="73">
        <v>45369.916666666664</v>
      </c>
      <c r="AH446" t="s">
        <v>226</v>
      </c>
      <c r="AI446" t="s">
        <v>384</v>
      </c>
      <c r="AJ446" t="s">
        <v>235</v>
      </c>
      <c r="AK446" t="s">
        <v>229</v>
      </c>
      <c r="AL446" t="s">
        <v>107</v>
      </c>
      <c r="AP446" t="s">
        <v>230</v>
      </c>
      <c r="AQ446" t="s">
        <v>231</v>
      </c>
      <c r="AT446" t="s">
        <v>232</v>
      </c>
      <c r="AU446">
        <v>-99</v>
      </c>
      <c r="AV446" t="s">
        <v>104</v>
      </c>
      <c r="AW446">
        <v>3820</v>
      </c>
      <c r="AX446">
        <v>42402865</v>
      </c>
      <c r="AY446" s="73">
        <v>45369.916666666664</v>
      </c>
      <c r="AZ446" t="s">
        <v>226</v>
      </c>
      <c r="BA446" t="s">
        <v>384</v>
      </c>
      <c r="BB446" t="s">
        <v>235</v>
      </c>
      <c r="BC446" t="s">
        <v>229</v>
      </c>
      <c r="BD446" t="s">
        <v>107</v>
      </c>
      <c r="BI446" t="s">
        <v>233</v>
      </c>
      <c r="BJ446" t="s">
        <v>0</v>
      </c>
      <c r="BK446">
        <v>42402851</v>
      </c>
      <c r="BN446" t="s">
        <v>104</v>
      </c>
      <c r="BO446">
        <v>42402857</v>
      </c>
      <c r="BR446">
        <v>3820</v>
      </c>
      <c r="BS446">
        <v>42402865</v>
      </c>
      <c r="BT446" s="73">
        <v>45369.916666666664</v>
      </c>
      <c r="BU446" t="s">
        <v>226</v>
      </c>
      <c r="BV446" t="s">
        <v>384</v>
      </c>
      <c r="BW446" t="s">
        <v>235</v>
      </c>
      <c r="CH446" t="s">
        <v>229</v>
      </c>
      <c r="CI446" t="s">
        <v>107</v>
      </c>
      <c r="CJ446" t="s">
        <v>226</v>
      </c>
      <c r="CK446" t="s">
        <v>384</v>
      </c>
      <c r="CL446" t="s">
        <v>235</v>
      </c>
      <c r="CM446" t="s">
        <v>236</v>
      </c>
      <c r="CN446" t="s">
        <v>104</v>
      </c>
      <c r="CO446">
        <v>3820</v>
      </c>
      <c r="CP446">
        <v>42402865</v>
      </c>
      <c r="CQ446" s="73">
        <v>45369.916666666664</v>
      </c>
      <c r="CR446" t="s">
        <v>229</v>
      </c>
      <c r="CS446" t="s">
        <v>107</v>
      </c>
      <c r="CU446" t="s">
        <v>225</v>
      </c>
    </row>
    <row r="447" spans="1:99">
      <c r="A447" t="s">
        <v>111</v>
      </c>
      <c r="B447" t="s">
        <v>77</v>
      </c>
      <c r="J447" t="s">
        <v>225</v>
      </c>
      <c r="K447" t="s">
        <v>225</v>
      </c>
      <c r="M447" s="73">
        <v>45369.916666666664</v>
      </c>
      <c r="N447">
        <v>42402864</v>
      </c>
      <c r="O447">
        <v>7</v>
      </c>
      <c r="P447" t="s">
        <v>45</v>
      </c>
      <c r="Q447">
        <v>7</v>
      </c>
      <c r="R447" t="s">
        <v>45</v>
      </c>
      <c r="U447" t="s">
        <v>226</v>
      </c>
      <c r="V447" t="s">
        <v>384</v>
      </c>
      <c r="W447" t="s">
        <v>237</v>
      </c>
      <c r="X447" t="s">
        <v>229</v>
      </c>
      <c r="Y447" t="s">
        <v>111</v>
      </c>
      <c r="AD447" t="s">
        <v>45</v>
      </c>
      <c r="AE447">
        <v>7</v>
      </c>
      <c r="AF447">
        <v>42402864</v>
      </c>
      <c r="AG447" s="73">
        <v>45369.916666666664</v>
      </c>
      <c r="AH447" t="s">
        <v>226</v>
      </c>
      <c r="AI447" t="s">
        <v>384</v>
      </c>
      <c r="AJ447" t="s">
        <v>237</v>
      </c>
      <c r="AK447" t="s">
        <v>229</v>
      </c>
      <c r="AL447" t="s">
        <v>111</v>
      </c>
      <c r="AP447" t="s">
        <v>230</v>
      </c>
      <c r="AQ447" t="s">
        <v>231</v>
      </c>
      <c r="AT447" t="s">
        <v>232</v>
      </c>
      <c r="AU447">
        <v>-99</v>
      </c>
      <c r="AV447" t="s">
        <v>45</v>
      </c>
      <c r="AW447">
        <v>7</v>
      </c>
      <c r="AX447">
        <v>42402864</v>
      </c>
      <c r="AY447" s="73">
        <v>45369.916666666664</v>
      </c>
      <c r="AZ447" t="s">
        <v>226</v>
      </c>
      <c r="BA447" t="s">
        <v>384</v>
      </c>
      <c r="BB447" t="s">
        <v>237</v>
      </c>
      <c r="BC447" t="s">
        <v>229</v>
      </c>
      <c r="BD447" t="s">
        <v>111</v>
      </c>
      <c r="BI447" t="s">
        <v>233</v>
      </c>
      <c r="BJ447" t="s">
        <v>0</v>
      </c>
      <c r="BK447">
        <v>42402851</v>
      </c>
      <c r="BN447" t="s">
        <v>45</v>
      </c>
      <c r="BO447">
        <v>42402859</v>
      </c>
      <c r="BR447">
        <v>7</v>
      </c>
      <c r="BS447">
        <v>42402864</v>
      </c>
      <c r="BT447" s="73">
        <v>45369.916666666664</v>
      </c>
      <c r="BU447" t="s">
        <v>226</v>
      </c>
      <c r="BV447" t="s">
        <v>384</v>
      </c>
      <c r="BW447" t="s">
        <v>237</v>
      </c>
      <c r="CH447" t="s">
        <v>229</v>
      </c>
      <c r="CI447" t="s">
        <v>111</v>
      </c>
      <c r="CJ447" t="s">
        <v>226</v>
      </c>
      <c r="CK447" t="s">
        <v>384</v>
      </c>
      <c r="CL447" t="s">
        <v>237</v>
      </c>
      <c r="CM447" t="s">
        <v>236</v>
      </c>
      <c r="CN447" t="s">
        <v>45</v>
      </c>
      <c r="CO447">
        <v>7</v>
      </c>
      <c r="CP447">
        <v>42402864</v>
      </c>
      <c r="CQ447" s="73">
        <v>45369.916666666664</v>
      </c>
      <c r="CR447" t="s">
        <v>229</v>
      </c>
      <c r="CS447" t="s">
        <v>111</v>
      </c>
      <c r="CU447" t="s">
        <v>225</v>
      </c>
    </row>
    <row r="448" spans="1:99">
      <c r="A448" t="s">
        <v>52</v>
      </c>
      <c r="B448" t="s">
        <v>92</v>
      </c>
      <c r="J448" t="s">
        <v>225</v>
      </c>
      <c r="K448" t="s">
        <v>225</v>
      </c>
      <c r="M448" s="73">
        <v>45369.62222222222</v>
      </c>
      <c r="N448">
        <v>42393284</v>
      </c>
      <c r="O448">
        <v>-601</v>
      </c>
      <c r="P448" t="s">
        <v>45</v>
      </c>
      <c r="Q448">
        <v>-601</v>
      </c>
      <c r="R448" t="s">
        <v>45</v>
      </c>
      <c r="U448" t="s">
        <v>226</v>
      </c>
      <c r="V448" t="s">
        <v>385</v>
      </c>
      <c r="W448" t="s">
        <v>228</v>
      </c>
      <c r="X448" t="s">
        <v>229</v>
      </c>
      <c r="Y448" t="s">
        <v>52</v>
      </c>
      <c r="AD448" t="s">
        <v>45</v>
      </c>
      <c r="AE448">
        <v>-601</v>
      </c>
      <c r="AF448">
        <v>42393284</v>
      </c>
      <c r="AG448" s="73">
        <v>45369.62222222222</v>
      </c>
      <c r="AH448" t="s">
        <v>226</v>
      </c>
      <c r="AI448" t="s">
        <v>385</v>
      </c>
      <c r="AJ448" t="s">
        <v>228</v>
      </c>
      <c r="AK448" t="s">
        <v>229</v>
      </c>
      <c r="AL448" t="s">
        <v>52</v>
      </c>
      <c r="AP448" t="s">
        <v>230</v>
      </c>
      <c r="AQ448" t="s">
        <v>231</v>
      </c>
      <c r="AT448" t="s">
        <v>232</v>
      </c>
      <c r="AU448">
        <v>-99</v>
      </c>
      <c r="AV448" t="s">
        <v>45</v>
      </c>
      <c r="AW448">
        <v>-601</v>
      </c>
      <c r="AX448">
        <v>42393284</v>
      </c>
      <c r="AY448" s="73">
        <v>45369.62222222222</v>
      </c>
      <c r="AZ448" t="s">
        <v>226</v>
      </c>
      <c r="BA448" t="s">
        <v>385</v>
      </c>
      <c r="BB448" t="s">
        <v>228</v>
      </c>
      <c r="BC448" t="s">
        <v>229</v>
      </c>
      <c r="BD448" t="s">
        <v>52</v>
      </c>
      <c r="BI448" t="s">
        <v>233</v>
      </c>
      <c r="BJ448" t="s">
        <v>0</v>
      </c>
      <c r="BK448">
        <v>42393261</v>
      </c>
      <c r="BN448" t="s">
        <v>45</v>
      </c>
      <c r="BR448">
        <v>-601</v>
      </c>
      <c r="BS448">
        <v>42393284</v>
      </c>
      <c r="BT448" s="73">
        <v>45369.62222222222</v>
      </c>
      <c r="BU448" t="s">
        <v>226</v>
      </c>
      <c r="BV448" t="s">
        <v>385</v>
      </c>
      <c r="BW448" t="s">
        <v>228</v>
      </c>
      <c r="CH448" t="s">
        <v>229</v>
      </c>
      <c r="CI448" t="s">
        <v>52</v>
      </c>
      <c r="CJ448" t="s">
        <v>226</v>
      </c>
      <c r="CK448" t="s">
        <v>385</v>
      </c>
      <c r="CL448" t="s">
        <v>228</v>
      </c>
      <c r="CM448" t="s">
        <v>234</v>
      </c>
      <c r="CN448" t="s">
        <v>45</v>
      </c>
      <c r="CO448">
        <v>-601</v>
      </c>
      <c r="CP448">
        <v>42393284</v>
      </c>
      <c r="CQ448" s="73">
        <v>45369.62222222222</v>
      </c>
      <c r="CR448" t="s">
        <v>229</v>
      </c>
      <c r="CS448" t="s">
        <v>52</v>
      </c>
      <c r="CU448" t="s">
        <v>225</v>
      </c>
    </row>
    <row r="449" spans="1:99">
      <c r="A449" t="s">
        <v>101</v>
      </c>
      <c r="B449" t="s">
        <v>98</v>
      </c>
      <c r="J449" t="s">
        <v>225</v>
      </c>
      <c r="K449" t="s">
        <v>225</v>
      </c>
      <c r="M449" s="73">
        <v>45369.62222222222</v>
      </c>
      <c r="N449">
        <v>42393283</v>
      </c>
      <c r="O449">
        <v>-30</v>
      </c>
      <c r="P449" t="s">
        <v>73</v>
      </c>
      <c r="Q449">
        <v>-30</v>
      </c>
      <c r="R449" t="s">
        <v>73</v>
      </c>
      <c r="U449" t="s">
        <v>226</v>
      </c>
      <c r="V449" t="s">
        <v>385</v>
      </c>
      <c r="W449" t="s">
        <v>228</v>
      </c>
      <c r="X449" t="s">
        <v>229</v>
      </c>
      <c r="Y449" t="s">
        <v>101</v>
      </c>
      <c r="AD449" t="s">
        <v>73</v>
      </c>
      <c r="AE449">
        <v>-30</v>
      </c>
      <c r="AF449">
        <v>42393283</v>
      </c>
      <c r="AG449" s="73">
        <v>45369.62222222222</v>
      </c>
      <c r="AH449" t="s">
        <v>226</v>
      </c>
      <c r="AI449" t="s">
        <v>385</v>
      </c>
      <c r="AJ449" t="s">
        <v>228</v>
      </c>
      <c r="AK449" t="s">
        <v>229</v>
      </c>
      <c r="AL449" t="s">
        <v>101</v>
      </c>
      <c r="AP449" t="s">
        <v>230</v>
      </c>
      <c r="AQ449" t="s">
        <v>231</v>
      </c>
      <c r="AT449" t="s">
        <v>232</v>
      </c>
      <c r="AU449">
        <v>-99</v>
      </c>
      <c r="AV449" t="s">
        <v>73</v>
      </c>
      <c r="AW449">
        <v>-30</v>
      </c>
      <c r="AX449">
        <v>42393283</v>
      </c>
      <c r="AY449" s="73">
        <v>45369.62222222222</v>
      </c>
      <c r="AZ449" t="s">
        <v>226</v>
      </c>
      <c r="BA449" t="s">
        <v>385</v>
      </c>
      <c r="BB449" t="s">
        <v>228</v>
      </c>
      <c r="BC449" t="s">
        <v>229</v>
      </c>
      <c r="BD449" t="s">
        <v>101</v>
      </c>
      <c r="BI449" t="s">
        <v>233</v>
      </c>
      <c r="BJ449" t="s">
        <v>0</v>
      </c>
      <c r="BK449">
        <v>42393261</v>
      </c>
      <c r="BN449" t="s">
        <v>73</v>
      </c>
      <c r="BR449">
        <v>-30</v>
      </c>
      <c r="BS449">
        <v>42393283</v>
      </c>
      <c r="BT449" s="73">
        <v>45369.62222222222</v>
      </c>
      <c r="BU449" t="s">
        <v>226</v>
      </c>
      <c r="BV449" t="s">
        <v>385</v>
      </c>
      <c r="BW449" t="s">
        <v>228</v>
      </c>
      <c r="CH449" t="s">
        <v>229</v>
      </c>
      <c r="CI449" t="s">
        <v>101</v>
      </c>
      <c r="CJ449" t="s">
        <v>226</v>
      </c>
      <c r="CK449" t="s">
        <v>385</v>
      </c>
      <c r="CL449" t="s">
        <v>228</v>
      </c>
      <c r="CM449" t="s">
        <v>234</v>
      </c>
      <c r="CN449" t="s">
        <v>73</v>
      </c>
      <c r="CO449">
        <v>-30</v>
      </c>
      <c r="CP449">
        <v>42393283</v>
      </c>
      <c r="CQ449" s="73">
        <v>45369.62222222222</v>
      </c>
      <c r="CR449" t="s">
        <v>229</v>
      </c>
      <c r="CS449" t="s">
        <v>101</v>
      </c>
      <c r="CU449" t="s">
        <v>225</v>
      </c>
    </row>
    <row r="450" spans="1:99">
      <c r="A450" t="s">
        <v>107</v>
      </c>
      <c r="B450" t="s">
        <v>98</v>
      </c>
      <c r="J450" t="s">
        <v>225</v>
      </c>
      <c r="K450" t="s">
        <v>225</v>
      </c>
      <c r="M450" s="73">
        <v>45369.62222222222</v>
      </c>
      <c r="N450">
        <v>42393282</v>
      </c>
      <c r="O450">
        <v>600</v>
      </c>
      <c r="P450" t="s">
        <v>104</v>
      </c>
      <c r="Q450">
        <v>600</v>
      </c>
      <c r="R450" t="s">
        <v>104</v>
      </c>
      <c r="S450">
        <v>30</v>
      </c>
      <c r="T450" t="s">
        <v>73</v>
      </c>
      <c r="U450" t="s">
        <v>226</v>
      </c>
      <c r="V450" t="s">
        <v>385</v>
      </c>
      <c r="W450" t="s">
        <v>235</v>
      </c>
      <c r="X450" t="s">
        <v>229</v>
      </c>
      <c r="Y450" t="s">
        <v>107</v>
      </c>
      <c r="AD450" t="s">
        <v>104</v>
      </c>
      <c r="AE450">
        <v>600</v>
      </c>
      <c r="AF450">
        <v>42393282</v>
      </c>
      <c r="AG450" s="73">
        <v>45369.62222222222</v>
      </c>
      <c r="AH450" t="s">
        <v>226</v>
      </c>
      <c r="AI450" t="s">
        <v>385</v>
      </c>
      <c r="AJ450" t="s">
        <v>235</v>
      </c>
      <c r="AK450" t="s">
        <v>229</v>
      </c>
      <c r="AL450" t="s">
        <v>107</v>
      </c>
      <c r="AP450" t="s">
        <v>230</v>
      </c>
      <c r="AQ450" t="s">
        <v>231</v>
      </c>
      <c r="AT450" t="s">
        <v>232</v>
      </c>
      <c r="AU450">
        <v>-99</v>
      </c>
      <c r="AV450" t="s">
        <v>104</v>
      </c>
      <c r="AW450">
        <v>600</v>
      </c>
      <c r="AX450">
        <v>42393282</v>
      </c>
      <c r="AY450" s="73">
        <v>45369.62222222222</v>
      </c>
      <c r="AZ450" t="s">
        <v>226</v>
      </c>
      <c r="BA450" t="s">
        <v>385</v>
      </c>
      <c r="BB450" t="s">
        <v>235</v>
      </c>
      <c r="BC450" t="s">
        <v>229</v>
      </c>
      <c r="BD450" t="s">
        <v>107</v>
      </c>
      <c r="BI450" t="s">
        <v>233</v>
      </c>
      <c r="BJ450" t="s">
        <v>0</v>
      </c>
      <c r="BK450">
        <v>42393261</v>
      </c>
      <c r="BN450" t="s">
        <v>104</v>
      </c>
      <c r="BO450">
        <v>42393267</v>
      </c>
      <c r="BR450">
        <v>600</v>
      </c>
      <c r="BS450">
        <v>42393282</v>
      </c>
      <c r="BT450" s="73">
        <v>45369.62222222222</v>
      </c>
      <c r="BU450" t="s">
        <v>226</v>
      </c>
      <c r="BV450" t="s">
        <v>385</v>
      </c>
      <c r="BW450" t="s">
        <v>235</v>
      </c>
      <c r="CH450" t="s">
        <v>229</v>
      </c>
      <c r="CI450" t="s">
        <v>107</v>
      </c>
      <c r="CJ450" t="s">
        <v>226</v>
      </c>
      <c r="CK450" t="s">
        <v>385</v>
      </c>
      <c r="CL450" t="s">
        <v>235</v>
      </c>
      <c r="CM450" t="s">
        <v>236</v>
      </c>
      <c r="CN450" t="s">
        <v>104</v>
      </c>
      <c r="CO450">
        <v>600</v>
      </c>
      <c r="CP450">
        <v>42393282</v>
      </c>
      <c r="CQ450" s="73">
        <v>45369.62222222222</v>
      </c>
      <c r="CR450" t="s">
        <v>229</v>
      </c>
      <c r="CS450" t="s">
        <v>107</v>
      </c>
      <c r="CU450" t="s">
        <v>225</v>
      </c>
    </row>
    <row r="451" spans="1:99">
      <c r="A451" t="s">
        <v>111</v>
      </c>
      <c r="B451" t="s">
        <v>77</v>
      </c>
      <c r="J451" t="s">
        <v>225</v>
      </c>
      <c r="K451" t="s">
        <v>225</v>
      </c>
      <c r="M451" s="73">
        <v>45369.62222222222</v>
      </c>
      <c r="N451">
        <v>42393281</v>
      </c>
      <c r="O451">
        <v>1</v>
      </c>
      <c r="P451" t="s">
        <v>45</v>
      </c>
      <c r="Q451">
        <v>1</v>
      </c>
      <c r="R451" t="s">
        <v>45</v>
      </c>
      <c r="U451" t="s">
        <v>226</v>
      </c>
      <c r="V451" t="s">
        <v>385</v>
      </c>
      <c r="W451" t="s">
        <v>237</v>
      </c>
      <c r="X451" t="s">
        <v>229</v>
      </c>
      <c r="Y451" t="s">
        <v>111</v>
      </c>
      <c r="AD451" t="s">
        <v>45</v>
      </c>
      <c r="AE451">
        <v>1</v>
      </c>
      <c r="AF451">
        <v>42393281</v>
      </c>
      <c r="AG451" s="73">
        <v>45369.62222222222</v>
      </c>
      <c r="AH451" t="s">
        <v>226</v>
      </c>
      <c r="AI451" t="s">
        <v>385</v>
      </c>
      <c r="AJ451" t="s">
        <v>237</v>
      </c>
      <c r="AK451" t="s">
        <v>229</v>
      </c>
      <c r="AL451" t="s">
        <v>111</v>
      </c>
      <c r="AP451" t="s">
        <v>230</v>
      </c>
      <c r="AQ451" t="s">
        <v>231</v>
      </c>
      <c r="AT451" t="s">
        <v>232</v>
      </c>
      <c r="AU451">
        <v>-99</v>
      </c>
      <c r="AV451" t="s">
        <v>45</v>
      </c>
      <c r="AW451">
        <v>1</v>
      </c>
      <c r="AX451">
        <v>42393281</v>
      </c>
      <c r="AY451" s="73">
        <v>45369.62222222222</v>
      </c>
      <c r="AZ451" t="s">
        <v>226</v>
      </c>
      <c r="BA451" t="s">
        <v>385</v>
      </c>
      <c r="BB451" t="s">
        <v>237</v>
      </c>
      <c r="BC451" t="s">
        <v>229</v>
      </c>
      <c r="BD451" t="s">
        <v>111</v>
      </c>
      <c r="BI451" t="s">
        <v>233</v>
      </c>
      <c r="BJ451" t="s">
        <v>0</v>
      </c>
      <c r="BK451">
        <v>42393261</v>
      </c>
      <c r="BN451" t="s">
        <v>45</v>
      </c>
      <c r="BO451">
        <v>42393276</v>
      </c>
      <c r="BR451">
        <v>1</v>
      </c>
      <c r="BS451">
        <v>42393281</v>
      </c>
      <c r="BT451" s="73">
        <v>45369.62222222222</v>
      </c>
      <c r="BU451" t="s">
        <v>226</v>
      </c>
      <c r="BV451" t="s">
        <v>385</v>
      </c>
      <c r="BW451" t="s">
        <v>237</v>
      </c>
      <c r="CH451" t="s">
        <v>229</v>
      </c>
      <c r="CI451" t="s">
        <v>111</v>
      </c>
      <c r="CJ451" t="s">
        <v>226</v>
      </c>
      <c r="CK451" t="s">
        <v>385</v>
      </c>
      <c r="CL451" t="s">
        <v>237</v>
      </c>
      <c r="CM451" t="s">
        <v>236</v>
      </c>
      <c r="CN451" t="s">
        <v>45</v>
      </c>
      <c r="CO451">
        <v>1</v>
      </c>
      <c r="CP451">
        <v>42393281</v>
      </c>
      <c r="CQ451" s="73">
        <v>45369.62222222222</v>
      </c>
      <c r="CR451" t="s">
        <v>229</v>
      </c>
      <c r="CS451" t="s">
        <v>111</v>
      </c>
      <c r="CU451" t="s">
        <v>225</v>
      </c>
    </row>
    <row r="452" spans="1:99">
      <c r="A452" t="s">
        <v>42</v>
      </c>
      <c r="B452" t="s">
        <v>92</v>
      </c>
      <c r="J452" t="s">
        <v>225</v>
      </c>
      <c r="K452" t="s">
        <v>225</v>
      </c>
      <c r="M452" s="73">
        <v>45369.620138888888</v>
      </c>
      <c r="N452">
        <v>42394620</v>
      </c>
      <c r="O452">
        <v>-6778</v>
      </c>
      <c r="P452" t="s">
        <v>45</v>
      </c>
      <c r="Q452">
        <v>-6778</v>
      </c>
      <c r="R452" t="s">
        <v>45</v>
      </c>
      <c r="U452" t="s">
        <v>226</v>
      </c>
      <c r="V452" t="s">
        <v>386</v>
      </c>
      <c r="W452" t="s">
        <v>228</v>
      </c>
      <c r="X452" t="s">
        <v>229</v>
      </c>
      <c r="Y452" t="s">
        <v>42</v>
      </c>
      <c r="AD452" t="s">
        <v>45</v>
      </c>
      <c r="AE452">
        <v>-6778</v>
      </c>
      <c r="AF452">
        <v>42394620</v>
      </c>
      <c r="AG452" s="73">
        <v>45369.620138888888</v>
      </c>
      <c r="AH452" t="s">
        <v>226</v>
      </c>
      <c r="AI452" t="s">
        <v>386</v>
      </c>
      <c r="AJ452" t="s">
        <v>228</v>
      </c>
      <c r="AK452" t="s">
        <v>229</v>
      </c>
      <c r="AL452" t="s">
        <v>42</v>
      </c>
      <c r="AP452" t="s">
        <v>230</v>
      </c>
      <c r="AQ452" t="s">
        <v>231</v>
      </c>
      <c r="AT452" t="s">
        <v>232</v>
      </c>
      <c r="AU452">
        <v>-99</v>
      </c>
      <c r="AV452" t="s">
        <v>45</v>
      </c>
      <c r="AW452">
        <v>-6778</v>
      </c>
      <c r="AX452">
        <v>42394620</v>
      </c>
      <c r="AY452" s="73">
        <v>45369.620138888888</v>
      </c>
      <c r="AZ452" t="s">
        <v>226</v>
      </c>
      <c r="BA452" t="s">
        <v>386</v>
      </c>
      <c r="BB452" t="s">
        <v>228</v>
      </c>
      <c r="BC452" t="s">
        <v>229</v>
      </c>
      <c r="BD452" t="s">
        <v>42</v>
      </c>
      <c r="BI452" t="s">
        <v>233</v>
      </c>
      <c r="BJ452" t="s">
        <v>0</v>
      </c>
      <c r="BK452">
        <v>42394592</v>
      </c>
      <c r="BN452" t="s">
        <v>45</v>
      </c>
      <c r="BR452">
        <v>-6778</v>
      </c>
      <c r="BS452">
        <v>42394620</v>
      </c>
      <c r="BT452" s="73">
        <v>45369.620138888888</v>
      </c>
      <c r="BU452" t="s">
        <v>226</v>
      </c>
      <c r="BV452" t="s">
        <v>386</v>
      </c>
      <c r="BW452" t="s">
        <v>228</v>
      </c>
      <c r="CH452" t="s">
        <v>229</v>
      </c>
      <c r="CI452" t="s">
        <v>42</v>
      </c>
      <c r="CJ452" t="s">
        <v>226</v>
      </c>
      <c r="CK452" t="s">
        <v>386</v>
      </c>
      <c r="CL452" t="s">
        <v>228</v>
      </c>
      <c r="CM452" t="s">
        <v>234</v>
      </c>
      <c r="CN452" t="s">
        <v>45</v>
      </c>
      <c r="CO452">
        <v>-6778</v>
      </c>
      <c r="CP452">
        <v>42394620</v>
      </c>
      <c r="CQ452" s="73">
        <v>45369.620138888888</v>
      </c>
      <c r="CR452" t="s">
        <v>229</v>
      </c>
      <c r="CS452" t="s">
        <v>42</v>
      </c>
      <c r="CU452" t="s">
        <v>225</v>
      </c>
    </row>
    <row r="453" spans="1:99">
      <c r="A453" t="s">
        <v>99</v>
      </c>
      <c r="B453" t="s">
        <v>98</v>
      </c>
      <c r="J453" t="s">
        <v>225</v>
      </c>
      <c r="K453" t="s">
        <v>225</v>
      </c>
      <c r="M453" s="73">
        <v>45369.620138888888</v>
      </c>
      <c r="N453">
        <v>42394619</v>
      </c>
      <c r="O453">
        <v>-338.55</v>
      </c>
      <c r="P453" t="s">
        <v>73</v>
      </c>
      <c r="Q453">
        <v>-338.55</v>
      </c>
      <c r="R453" t="s">
        <v>73</v>
      </c>
      <c r="U453" t="s">
        <v>226</v>
      </c>
      <c r="V453" t="s">
        <v>386</v>
      </c>
      <c r="W453" t="s">
        <v>228</v>
      </c>
      <c r="X453" t="s">
        <v>229</v>
      </c>
      <c r="Y453" t="s">
        <v>99</v>
      </c>
      <c r="AD453" t="s">
        <v>73</v>
      </c>
      <c r="AE453">
        <v>-338.55</v>
      </c>
      <c r="AF453">
        <v>42394619</v>
      </c>
      <c r="AG453" s="73">
        <v>45369.620138888888</v>
      </c>
      <c r="AH453" t="s">
        <v>226</v>
      </c>
      <c r="AI453" t="s">
        <v>386</v>
      </c>
      <c r="AJ453" t="s">
        <v>228</v>
      </c>
      <c r="AK453" t="s">
        <v>229</v>
      </c>
      <c r="AL453" t="s">
        <v>99</v>
      </c>
      <c r="AP453" t="s">
        <v>230</v>
      </c>
      <c r="AQ453" t="s">
        <v>231</v>
      </c>
      <c r="AT453" t="s">
        <v>232</v>
      </c>
      <c r="AU453">
        <v>-99</v>
      </c>
      <c r="AV453" t="s">
        <v>73</v>
      </c>
      <c r="AW453">
        <v>-338.55</v>
      </c>
      <c r="AX453">
        <v>42394619</v>
      </c>
      <c r="AY453" s="73">
        <v>45369.620138888888</v>
      </c>
      <c r="AZ453" t="s">
        <v>226</v>
      </c>
      <c r="BA453" t="s">
        <v>386</v>
      </c>
      <c r="BB453" t="s">
        <v>228</v>
      </c>
      <c r="BC453" t="s">
        <v>229</v>
      </c>
      <c r="BD453" t="s">
        <v>99</v>
      </c>
      <c r="BI453" t="s">
        <v>233</v>
      </c>
      <c r="BJ453" t="s">
        <v>0</v>
      </c>
      <c r="BK453">
        <v>42394592</v>
      </c>
      <c r="BN453" t="s">
        <v>73</v>
      </c>
      <c r="BR453">
        <v>-338.55</v>
      </c>
      <c r="BS453">
        <v>42394619</v>
      </c>
      <c r="BT453" s="73">
        <v>45369.620138888888</v>
      </c>
      <c r="BU453" t="s">
        <v>226</v>
      </c>
      <c r="BV453" t="s">
        <v>386</v>
      </c>
      <c r="BW453" t="s">
        <v>228</v>
      </c>
      <c r="CH453" t="s">
        <v>229</v>
      </c>
      <c r="CI453" t="s">
        <v>99</v>
      </c>
      <c r="CJ453" t="s">
        <v>226</v>
      </c>
      <c r="CK453" t="s">
        <v>386</v>
      </c>
      <c r="CL453" t="s">
        <v>228</v>
      </c>
      <c r="CM453" t="s">
        <v>234</v>
      </c>
      <c r="CN453" t="s">
        <v>73</v>
      </c>
      <c r="CO453">
        <v>-338.55</v>
      </c>
      <c r="CP453">
        <v>42394619</v>
      </c>
      <c r="CQ453" s="73">
        <v>45369.620138888888</v>
      </c>
      <c r="CR453" t="s">
        <v>229</v>
      </c>
      <c r="CS453" t="s">
        <v>99</v>
      </c>
      <c r="CU453" t="s">
        <v>225</v>
      </c>
    </row>
    <row r="454" spans="1:99">
      <c r="A454" t="s">
        <v>103</v>
      </c>
      <c r="B454" t="s">
        <v>98</v>
      </c>
      <c r="J454" t="s">
        <v>225</v>
      </c>
      <c r="K454" t="s">
        <v>225</v>
      </c>
      <c r="M454" s="73">
        <v>45369.620138888888</v>
      </c>
      <c r="N454">
        <v>42394618</v>
      </c>
      <c r="O454">
        <v>6771</v>
      </c>
      <c r="P454" t="s">
        <v>104</v>
      </c>
      <c r="Q454">
        <v>6771</v>
      </c>
      <c r="R454" t="s">
        <v>104</v>
      </c>
      <c r="S454">
        <v>338.55</v>
      </c>
      <c r="T454" t="s">
        <v>73</v>
      </c>
      <c r="U454" t="s">
        <v>226</v>
      </c>
      <c r="V454" t="s">
        <v>386</v>
      </c>
      <c r="W454" t="s">
        <v>235</v>
      </c>
      <c r="X454" t="s">
        <v>229</v>
      </c>
      <c r="Y454" t="s">
        <v>103</v>
      </c>
      <c r="AD454" t="s">
        <v>104</v>
      </c>
      <c r="AE454">
        <v>6771</v>
      </c>
      <c r="AF454">
        <v>42394618</v>
      </c>
      <c r="AG454" s="73">
        <v>45369.620138888888</v>
      </c>
      <c r="AH454" t="s">
        <v>226</v>
      </c>
      <c r="AI454" t="s">
        <v>386</v>
      </c>
      <c r="AJ454" t="s">
        <v>235</v>
      </c>
      <c r="AK454" t="s">
        <v>229</v>
      </c>
      <c r="AL454" t="s">
        <v>103</v>
      </c>
      <c r="AP454" t="s">
        <v>230</v>
      </c>
      <c r="AQ454" t="s">
        <v>231</v>
      </c>
      <c r="AT454" t="s">
        <v>232</v>
      </c>
      <c r="AU454">
        <v>-99</v>
      </c>
      <c r="AV454" t="s">
        <v>104</v>
      </c>
      <c r="AW454">
        <v>6771</v>
      </c>
      <c r="AX454">
        <v>42394618</v>
      </c>
      <c r="AY454" s="73">
        <v>45369.620138888888</v>
      </c>
      <c r="AZ454" t="s">
        <v>226</v>
      </c>
      <c r="BA454" t="s">
        <v>386</v>
      </c>
      <c r="BB454" t="s">
        <v>235</v>
      </c>
      <c r="BC454" t="s">
        <v>229</v>
      </c>
      <c r="BD454" t="s">
        <v>103</v>
      </c>
      <c r="BI454" t="s">
        <v>233</v>
      </c>
      <c r="BJ454" t="s">
        <v>0</v>
      </c>
      <c r="BK454">
        <v>42394592</v>
      </c>
      <c r="BN454" t="s">
        <v>104</v>
      </c>
      <c r="BO454">
        <v>42394610</v>
      </c>
      <c r="BR454">
        <v>6771</v>
      </c>
      <c r="BS454">
        <v>42394618</v>
      </c>
      <c r="BT454" s="73">
        <v>45369.620138888888</v>
      </c>
      <c r="BU454" t="s">
        <v>226</v>
      </c>
      <c r="BV454" t="s">
        <v>386</v>
      </c>
      <c r="BW454" t="s">
        <v>235</v>
      </c>
      <c r="CH454" t="s">
        <v>229</v>
      </c>
      <c r="CI454" t="s">
        <v>103</v>
      </c>
      <c r="CJ454" t="s">
        <v>226</v>
      </c>
      <c r="CK454" t="s">
        <v>386</v>
      </c>
      <c r="CL454" t="s">
        <v>235</v>
      </c>
      <c r="CM454" t="s">
        <v>236</v>
      </c>
      <c r="CN454" t="s">
        <v>104</v>
      </c>
      <c r="CO454">
        <v>6771</v>
      </c>
      <c r="CP454">
        <v>42394618</v>
      </c>
      <c r="CQ454" s="73">
        <v>45369.620138888888</v>
      </c>
      <c r="CR454" t="s">
        <v>229</v>
      </c>
      <c r="CS454" t="s">
        <v>103</v>
      </c>
      <c r="CU454" t="s">
        <v>225</v>
      </c>
    </row>
    <row r="455" spans="1:99">
      <c r="A455" t="s">
        <v>111</v>
      </c>
      <c r="B455" t="s">
        <v>77</v>
      </c>
      <c r="J455" t="s">
        <v>225</v>
      </c>
      <c r="K455" t="s">
        <v>225</v>
      </c>
      <c r="M455" s="73">
        <v>45369.620138888888</v>
      </c>
      <c r="N455">
        <v>42394617</v>
      </c>
      <c r="O455">
        <v>7</v>
      </c>
      <c r="P455" t="s">
        <v>45</v>
      </c>
      <c r="Q455">
        <v>7</v>
      </c>
      <c r="R455" t="s">
        <v>45</v>
      </c>
      <c r="U455" t="s">
        <v>226</v>
      </c>
      <c r="V455" t="s">
        <v>386</v>
      </c>
      <c r="W455" t="s">
        <v>237</v>
      </c>
      <c r="X455" t="s">
        <v>229</v>
      </c>
      <c r="Y455" t="s">
        <v>111</v>
      </c>
      <c r="AD455" t="s">
        <v>45</v>
      </c>
      <c r="AE455">
        <v>7</v>
      </c>
      <c r="AF455">
        <v>42394617</v>
      </c>
      <c r="AG455" s="73">
        <v>45369.620138888888</v>
      </c>
      <c r="AH455" t="s">
        <v>226</v>
      </c>
      <c r="AI455" t="s">
        <v>386</v>
      </c>
      <c r="AJ455" t="s">
        <v>237</v>
      </c>
      <c r="AK455" t="s">
        <v>229</v>
      </c>
      <c r="AL455" t="s">
        <v>111</v>
      </c>
      <c r="AP455" t="s">
        <v>230</v>
      </c>
      <c r="AQ455" t="s">
        <v>231</v>
      </c>
      <c r="AT455" t="s">
        <v>232</v>
      </c>
      <c r="AU455">
        <v>-99</v>
      </c>
      <c r="AV455" t="s">
        <v>45</v>
      </c>
      <c r="AW455">
        <v>7</v>
      </c>
      <c r="AX455">
        <v>42394617</v>
      </c>
      <c r="AY455" s="73">
        <v>45369.620138888888</v>
      </c>
      <c r="AZ455" t="s">
        <v>226</v>
      </c>
      <c r="BA455" t="s">
        <v>386</v>
      </c>
      <c r="BB455" t="s">
        <v>237</v>
      </c>
      <c r="BC455" t="s">
        <v>229</v>
      </c>
      <c r="BD455" t="s">
        <v>111</v>
      </c>
      <c r="BI455" t="s">
        <v>233</v>
      </c>
      <c r="BJ455" t="s">
        <v>0</v>
      </c>
      <c r="BK455">
        <v>42394592</v>
      </c>
      <c r="BN455" t="s">
        <v>45</v>
      </c>
      <c r="BO455">
        <v>42394612</v>
      </c>
      <c r="BR455">
        <v>7</v>
      </c>
      <c r="BS455">
        <v>42394617</v>
      </c>
      <c r="BT455" s="73">
        <v>45369.620138888888</v>
      </c>
      <c r="BU455" t="s">
        <v>226</v>
      </c>
      <c r="BV455" t="s">
        <v>386</v>
      </c>
      <c r="BW455" t="s">
        <v>237</v>
      </c>
      <c r="CH455" t="s">
        <v>229</v>
      </c>
      <c r="CI455" t="s">
        <v>111</v>
      </c>
      <c r="CJ455" t="s">
        <v>226</v>
      </c>
      <c r="CK455" t="s">
        <v>386</v>
      </c>
      <c r="CL455" t="s">
        <v>237</v>
      </c>
      <c r="CM455" t="s">
        <v>236</v>
      </c>
      <c r="CN455" t="s">
        <v>45</v>
      </c>
      <c r="CO455">
        <v>7</v>
      </c>
      <c r="CP455">
        <v>42394617</v>
      </c>
      <c r="CQ455" s="73">
        <v>45369.620138888888</v>
      </c>
      <c r="CR455" t="s">
        <v>229</v>
      </c>
      <c r="CS455" t="s">
        <v>111</v>
      </c>
      <c r="CU455" t="s">
        <v>225</v>
      </c>
    </row>
    <row r="456" spans="1:99">
      <c r="A456" t="s">
        <v>42</v>
      </c>
      <c r="B456" t="s">
        <v>92</v>
      </c>
      <c r="J456" t="s">
        <v>225</v>
      </c>
      <c r="K456" t="s">
        <v>225</v>
      </c>
      <c r="M456" s="73">
        <v>45369.613298611112</v>
      </c>
      <c r="N456">
        <v>42385887</v>
      </c>
      <c r="O456">
        <v>-3002</v>
      </c>
      <c r="P456" t="s">
        <v>45</v>
      </c>
      <c r="Q456">
        <v>-3002</v>
      </c>
      <c r="R456" t="s">
        <v>45</v>
      </c>
      <c r="U456" t="s">
        <v>226</v>
      </c>
      <c r="V456" t="s">
        <v>387</v>
      </c>
      <c r="W456" t="s">
        <v>228</v>
      </c>
      <c r="X456" t="s">
        <v>229</v>
      </c>
      <c r="Y456" t="s">
        <v>42</v>
      </c>
      <c r="AD456" t="s">
        <v>45</v>
      </c>
      <c r="AE456">
        <v>-3002</v>
      </c>
      <c r="AF456">
        <v>42385887</v>
      </c>
      <c r="AG456" s="73">
        <v>45369.613298611112</v>
      </c>
      <c r="AH456" t="s">
        <v>226</v>
      </c>
      <c r="AI456" t="s">
        <v>387</v>
      </c>
      <c r="AJ456" t="s">
        <v>228</v>
      </c>
      <c r="AK456" t="s">
        <v>229</v>
      </c>
      <c r="AL456" t="s">
        <v>42</v>
      </c>
      <c r="AP456" t="s">
        <v>230</v>
      </c>
      <c r="AQ456" t="s">
        <v>231</v>
      </c>
      <c r="AT456" t="s">
        <v>232</v>
      </c>
      <c r="AU456">
        <v>-99</v>
      </c>
      <c r="AV456" t="s">
        <v>45</v>
      </c>
      <c r="AW456">
        <v>-3002</v>
      </c>
      <c r="AX456">
        <v>42385887</v>
      </c>
      <c r="AY456" s="73">
        <v>45369.613298611112</v>
      </c>
      <c r="AZ456" t="s">
        <v>226</v>
      </c>
      <c r="BA456" t="s">
        <v>387</v>
      </c>
      <c r="BB456" t="s">
        <v>228</v>
      </c>
      <c r="BC456" t="s">
        <v>229</v>
      </c>
      <c r="BD456" t="s">
        <v>42</v>
      </c>
      <c r="BI456" t="s">
        <v>233</v>
      </c>
      <c r="BJ456" t="s">
        <v>0</v>
      </c>
      <c r="BK456">
        <v>42385795</v>
      </c>
      <c r="BN456" t="s">
        <v>45</v>
      </c>
      <c r="BR456">
        <v>-3002</v>
      </c>
      <c r="BS456">
        <v>42385887</v>
      </c>
      <c r="BT456" s="73">
        <v>45369.613298611112</v>
      </c>
      <c r="BU456" t="s">
        <v>226</v>
      </c>
      <c r="BV456" t="s">
        <v>387</v>
      </c>
      <c r="BW456" t="s">
        <v>228</v>
      </c>
      <c r="CH456" t="s">
        <v>229</v>
      </c>
      <c r="CI456" t="s">
        <v>42</v>
      </c>
      <c r="CJ456" t="s">
        <v>226</v>
      </c>
      <c r="CK456" t="s">
        <v>387</v>
      </c>
      <c r="CL456" t="s">
        <v>228</v>
      </c>
      <c r="CM456" t="s">
        <v>234</v>
      </c>
      <c r="CN456" t="s">
        <v>45</v>
      </c>
      <c r="CO456">
        <v>-3002</v>
      </c>
      <c r="CP456">
        <v>42385887</v>
      </c>
      <c r="CQ456" s="73">
        <v>45369.613298611112</v>
      </c>
      <c r="CR456" t="s">
        <v>229</v>
      </c>
      <c r="CS456" t="s">
        <v>42</v>
      </c>
      <c r="CU456" t="s">
        <v>225</v>
      </c>
    </row>
    <row r="457" spans="1:99">
      <c r="A457" t="s">
        <v>99</v>
      </c>
      <c r="B457" t="s">
        <v>98</v>
      </c>
      <c r="J457" t="s">
        <v>225</v>
      </c>
      <c r="K457" t="s">
        <v>225</v>
      </c>
      <c r="M457" s="73">
        <v>45369.613298611112</v>
      </c>
      <c r="N457">
        <v>42385886</v>
      </c>
      <c r="O457">
        <v>-150</v>
      </c>
      <c r="P457" t="s">
        <v>73</v>
      </c>
      <c r="Q457">
        <v>-150</v>
      </c>
      <c r="R457" t="s">
        <v>73</v>
      </c>
      <c r="U457" t="s">
        <v>226</v>
      </c>
      <c r="V457" t="s">
        <v>387</v>
      </c>
      <c r="W457" t="s">
        <v>228</v>
      </c>
      <c r="X457" t="s">
        <v>229</v>
      </c>
      <c r="Y457" t="s">
        <v>99</v>
      </c>
      <c r="AD457" t="s">
        <v>73</v>
      </c>
      <c r="AE457">
        <v>-150</v>
      </c>
      <c r="AF457">
        <v>42385886</v>
      </c>
      <c r="AG457" s="73">
        <v>45369.613298611112</v>
      </c>
      <c r="AH457" t="s">
        <v>226</v>
      </c>
      <c r="AI457" t="s">
        <v>387</v>
      </c>
      <c r="AJ457" t="s">
        <v>228</v>
      </c>
      <c r="AK457" t="s">
        <v>229</v>
      </c>
      <c r="AL457" t="s">
        <v>99</v>
      </c>
      <c r="AP457" t="s">
        <v>230</v>
      </c>
      <c r="AQ457" t="s">
        <v>231</v>
      </c>
      <c r="AT457" t="s">
        <v>232</v>
      </c>
      <c r="AU457">
        <v>-99</v>
      </c>
      <c r="AV457" t="s">
        <v>73</v>
      </c>
      <c r="AW457">
        <v>-150</v>
      </c>
      <c r="AX457">
        <v>42385886</v>
      </c>
      <c r="AY457" s="73">
        <v>45369.613298611112</v>
      </c>
      <c r="AZ457" t="s">
        <v>226</v>
      </c>
      <c r="BA457" t="s">
        <v>387</v>
      </c>
      <c r="BB457" t="s">
        <v>228</v>
      </c>
      <c r="BC457" t="s">
        <v>229</v>
      </c>
      <c r="BD457" t="s">
        <v>99</v>
      </c>
      <c r="BI457" t="s">
        <v>233</v>
      </c>
      <c r="BJ457" t="s">
        <v>0</v>
      </c>
      <c r="BK457">
        <v>42385795</v>
      </c>
      <c r="BN457" t="s">
        <v>73</v>
      </c>
      <c r="BR457">
        <v>-150</v>
      </c>
      <c r="BS457">
        <v>42385886</v>
      </c>
      <c r="BT457" s="73">
        <v>45369.613298611112</v>
      </c>
      <c r="BU457" t="s">
        <v>226</v>
      </c>
      <c r="BV457" t="s">
        <v>387</v>
      </c>
      <c r="BW457" t="s">
        <v>228</v>
      </c>
      <c r="CH457" t="s">
        <v>229</v>
      </c>
      <c r="CI457" t="s">
        <v>99</v>
      </c>
      <c r="CJ457" t="s">
        <v>226</v>
      </c>
      <c r="CK457" t="s">
        <v>387</v>
      </c>
      <c r="CL457" t="s">
        <v>228</v>
      </c>
      <c r="CM457" t="s">
        <v>234</v>
      </c>
      <c r="CN457" t="s">
        <v>73</v>
      </c>
      <c r="CO457">
        <v>-150</v>
      </c>
      <c r="CP457">
        <v>42385886</v>
      </c>
      <c r="CQ457" s="73">
        <v>45369.613298611112</v>
      </c>
      <c r="CR457" t="s">
        <v>229</v>
      </c>
      <c r="CS457" t="s">
        <v>99</v>
      </c>
      <c r="CU457" t="s">
        <v>225</v>
      </c>
    </row>
    <row r="458" spans="1:99">
      <c r="A458" t="s">
        <v>103</v>
      </c>
      <c r="B458" t="s">
        <v>98</v>
      </c>
      <c r="J458" t="s">
        <v>225</v>
      </c>
      <c r="K458" t="s">
        <v>225</v>
      </c>
      <c r="M458" s="73">
        <v>45369.613298611112</v>
      </c>
      <c r="N458">
        <v>42385885</v>
      </c>
      <c r="O458">
        <v>3000</v>
      </c>
      <c r="P458" t="s">
        <v>104</v>
      </c>
      <c r="Q458">
        <v>3000</v>
      </c>
      <c r="R458" t="s">
        <v>104</v>
      </c>
      <c r="S458">
        <v>150</v>
      </c>
      <c r="T458" t="s">
        <v>73</v>
      </c>
      <c r="U458" t="s">
        <v>226</v>
      </c>
      <c r="V458" t="s">
        <v>387</v>
      </c>
      <c r="W458" t="s">
        <v>235</v>
      </c>
      <c r="X458" t="s">
        <v>229</v>
      </c>
      <c r="Y458" t="s">
        <v>103</v>
      </c>
      <c r="AD458" t="s">
        <v>104</v>
      </c>
      <c r="AE458">
        <v>3000</v>
      </c>
      <c r="AF458">
        <v>42385885</v>
      </c>
      <c r="AG458" s="73">
        <v>45369.613298611112</v>
      </c>
      <c r="AH458" t="s">
        <v>226</v>
      </c>
      <c r="AI458" t="s">
        <v>387</v>
      </c>
      <c r="AJ458" t="s">
        <v>235</v>
      </c>
      <c r="AK458" t="s">
        <v>229</v>
      </c>
      <c r="AL458" t="s">
        <v>103</v>
      </c>
      <c r="AP458" t="s">
        <v>230</v>
      </c>
      <c r="AQ458" t="s">
        <v>231</v>
      </c>
      <c r="AT458" t="s">
        <v>232</v>
      </c>
      <c r="AU458">
        <v>-99</v>
      </c>
      <c r="AV458" t="s">
        <v>104</v>
      </c>
      <c r="AW458">
        <v>3000</v>
      </c>
      <c r="AX458">
        <v>42385885</v>
      </c>
      <c r="AY458" s="73">
        <v>45369.613298611112</v>
      </c>
      <c r="AZ458" t="s">
        <v>226</v>
      </c>
      <c r="BA458" t="s">
        <v>387</v>
      </c>
      <c r="BB458" t="s">
        <v>235</v>
      </c>
      <c r="BC458" t="s">
        <v>229</v>
      </c>
      <c r="BD458" t="s">
        <v>103</v>
      </c>
      <c r="BI458" t="s">
        <v>233</v>
      </c>
      <c r="BJ458" t="s">
        <v>0</v>
      </c>
      <c r="BK458">
        <v>42385795</v>
      </c>
      <c r="BN458" t="s">
        <v>104</v>
      </c>
      <c r="BO458">
        <v>42385801</v>
      </c>
      <c r="BR458">
        <v>3000</v>
      </c>
      <c r="BS458">
        <v>42385885</v>
      </c>
      <c r="BT458" s="73">
        <v>45369.613298611112</v>
      </c>
      <c r="BU458" t="s">
        <v>226</v>
      </c>
      <c r="BV458" t="s">
        <v>387</v>
      </c>
      <c r="BW458" t="s">
        <v>235</v>
      </c>
      <c r="CH458" t="s">
        <v>229</v>
      </c>
      <c r="CI458" t="s">
        <v>103</v>
      </c>
      <c r="CJ458" t="s">
        <v>226</v>
      </c>
      <c r="CK458" t="s">
        <v>387</v>
      </c>
      <c r="CL458" t="s">
        <v>235</v>
      </c>
      <c r="CM458" t="s">
        <v>236</v>
      </c>
      <c r="CN458" t="s">
        <v>104</v>
      </c>
      <c r="CO458">
        <v>3000</v>
      </c>
      <c r="CP458">
        <v>42385885</v>
      </c>
      <c r="CQ458" s="73">
        <v>45369.613298611112</v>
      </c>
      <c r="CR458" t="s">
        <v>229</v>
      </c>
      <c r="CS458" t="s">
        <v>103</v>
      </c>
      <c r="CU458" t="s">
        <v>225</v>
      </c>
    </row>
    <row r="459" spans="1:99">
      <c r="A459" t="s">
        <v>111</v>
      </c>
      <c r="B459" t="s">
        <v>77</v>
      </c>
      <c r="J459" t="s">
        <v>225</v>
      </c>
      <c r="K459" t="s">
        <v>225</v>
      </c>
      <c r="M459" s="73">
        <v>45369.613298611112</v>
      </c>
      <c r="N459">
        <v>42385884</v>
      </c>
      <c r="O459">
        <v>2</v>
      </c>
      <c r="P459" t="s">
        <v>45</v>
      </c>
      <c r="Q459">
        <v>2</v>
      </c>
      <c r="R459" t="s">
        <v>45</v>
      </c>
      <c r="U459" t="s">
        <v>226</v>
      </c>
      <c r="V459" t="s">
        <v>387</v>
      </c>
      <c r="W459" t="s">
        <v>237</v>
      </c>
      <c r="X459" t="s">
        <v>229</v>
      </c>
      <c r="Y459" t="s">
        <v>111</v>
      </c>
      <c r="AD459" t="s">
        <v>45</v>
      </c>
      <c r="AE459">
        <v>2</v>
      </c>
      <c r="AF459">
        <v>42385884</v>
      </c>
      <c r="AG459" s="73">
        <v>45369.613298611112</v>
      </c>
      <c r="AH459" t="s">
        <v>226</v>
      </c>
      <c r="AI459" t="s">
        <v>387</v>
      </c>
      <c r="AJ459" t="s">
        <v>237</v>
      </c>
      <c r="AK459" t="s">
        <v>229</v>
      </c>
      <c r="AL459" t="s">
        <v>111</v>
      </c>
      <c r="AP459" t="s">
        <v>230</v>
      </c>
      <c r="AQ459" t="s">
        <v>231</v>
      </c>
      <c r="AT459" t="s">
        <v>232</v>
      </c>
      <c r="AU459">
        <v>-99</v>
      </c>
      <c r="AV459" t="s">
        <v>45</v>
      </c>
      <c r="AW459">
        <v>2</v>
      </c>
      <c r="AX459">
        <v>42385884</v>
      </c>
      <c r="AY459" s="73">
        <v>45369.613298611112</v>
      </c>
      <c r="AZ459" t="s">
        <v>226</v>
      </c>
      <c r="BA459" t="s">
        <v>387</v>
      </c>
      <c r="BB459" t="s">
        <v>237</v>
      </c>
      <c r="BC459" t="s">
        <v>229</v>
      </c>
      <c r="BD459" t="s">
        <v>111</v>
      </c>
      <c r="BI459" t="s">
        <v>233</v>
      </c>
      <c r="BJ459" t="s">
        <v>0</v>
      </c>
      <c r="BK459">
        <v>42385795</v>
      </c>
      <c r="BN459" t="s">
        <v>45</v>
      </c>
      <c r="BO459">
        <v>42385833</v>
      </c>
      <c r="BR459">
        <v>2</v>
      </c>
      <c r="BS459">
        <v>42385884</v>
      </c>
      <c r="BT459" s="73">
        <v>45369.613298611112</v>
      </c>
      <c r="BU459" t="s">
        <v>226</v>
      </c>
      <c r="BV459" t="s">
        <v>387</v>
      </c>
      <c r="BW459" t="s">
        <v>237</v>
      </c>
      <c r="CH459" t="s">
        <v>229</v>
      </c>
      <c r="CI459" t="s">
        <v>111</v>
      </c>
      <c r="CJ459" t="s">
        <v>226</v>
      </c>
      <c r="CK459" t="s">
        <v>387</v>
      </c>
      <c r="CL459" t="s">
        <v>237</v>
      </c>
      <c r="CM459" t="s">
        <v>236</v>
      </c>
      <c r="CN459" t="s">
        <v>45</v>
      </c>
      <c r="CO459">
        <v>2</v>
      </c>
      <c r="CP459">
        <v>42385884</v>
      </c>
      <c r="CQ459" s="73">
        <v>45369.613298611112</v>
      </c>
      <c r="CR459" t="s">
        <v>229</v>
      </c>
      <c r="CS459" t="s">
        <v>111</v>
      </c>
      <c r="CU459" t="s">
        <v>225</v>
      </c>
    </row>
    <row r="460" spans="1:99">
      <c r="A460" t="s">
        <v>42</v>
      </c>
      <c r="B460" t="s">
        <v>92</v>
      </c>
      <c r="J460" t="s">
        <v>225</v>
      </c>
      <c r="K460" t="s">
        <v>225</v>
      </c>
      <c r="M460" s="73">
        <v>45369.609722222223</v>
      </c>
      <c r="N460">
        <v>42394444</v>
      </c>
      <c r="O460">
        <v>-7830</v>
      </c>
      <c r="P460" t="s">
        <v>45</v>
      </c>
      <c r="Q460">
        <v>-7830</v>
      </c>
      <c r="R460" t="s">
        <v>45</v>
      </c>
      <c r="U460" t="s">
        <v>226</v>
      </c>
      <c r="V460" t="s">
        <v>388</v>
      </c>
      <c r="W460" t="s">
        <v>228</v>
      </c>
      <c r="X460" t="s">
        <v>229</v>
      </c>
      <c r="Y460" t="s">
        <v>42</v>
      </c>
      <c r="AD460" t="s">
        <v>45</v>
      </c>
      <c r="AE460">
        <v>-7830</v>
      </c>
      <c r="AF460">
        <v>42394444</v>
      </c>
      <c r="AG460" s="73">
        <v>45369.609722222223</v>
      </c>
      <c r="AH460" t="s">
        <v>226</v>
      </c>
      <c r="AI460" t="s">
        <v>388</v>
      </c>
      <c r="AJ460" t="s">
        <v>228</v>
      </c>
      <c r="AK460" t="s">
        <v>229</v>
      </c>
      <c r="AL460" t="s">
        <v>42</v>
      </c>
      <c r="AP460" t="s">
        <v>230</v>
      </c>
      <c r="AQ460" t="s">
        <v>231</v>
      </c>
      <c r="AT460" t="s">
        <v>232</v>
      </c>
      <c r="AU460">
        <v>-99</v>
      </c>
      <c r="AV460" t="s">
        <v>45</v>
      </c>
      <c r="AW460">
        <v>-7830</v>
      </c>
      <c r="AX460">
        <v>42394444</v>
      </c>
      <c r="AY460" s="73">
        <v>45369.609722222223</v>
      </c>
      <c r="AZ460" t="s">
        <v>226</v>
      </c>
      <c r="BA460" t="s">
        <v>388</v>
      </c>
      <c r="BB460" t="s">
        <v>228</v>
      </c>
      <c r="BC460" t="s">
        <v>229</v>
      </c>
      <c r="BD460" t="s">
        <v>42</v>
      </c>
      <c r="BI460" t="s">
        <v>233</v>
      </c>
      <c r="BJ460" t="s">
        <v>0</v>
      </c>
      <c r="BK460">
        <v>42394424</v>
      </c>
      <c r="BN460" t="s">
        <v>45</v>
      </c>
      <c r="BR460">
        <v>-7830</v>
      </c>
      <c r="BS460">
        <v>42394444</v>
      </c>
      <c r="BT460" s="73">
        <v>45369.609722222223</v>
      </c>
      <c r="BU460" t="s">
        <v>226</v>
      </c>
      <c r="BV460" t="s">
        <v>388</v>
      </c>
      <c r="BW460" t="s">
        <v>228</v>
      </c>
      <c r="CH460" t="s">
        <v>229</v>
      </c>
      <c r="CI460" t="s">
        <v>42</v>
      </c>
      <c r="CJ460" t="s">
        <v>226</v>
      </c>
      <c r="CK460" t="s">
        <v>388</v>
      </c>
      <c r="CL460" t="s">
        <v>228</v>
      </c>
      <c r="CM460" t="s">
        <v>234</v>
      </c>
      <c r="CN460" t="s">
        <v>45</v>
      </c>
      <c r="CO460">
        <v>-7830</v>
      </c>
      <c r="CP460">
        <v>42394444</v>
      </c>
      <c r="CQ460" s="73">
        <v>45369.609722222223</v>
      </c>
      <c r="CR460" t="s">
        <v>229</v>
      </c>
      <c r="CS460" t="s">
        <v>42</v>
      </c>
      <c r="CU460" t="s">
        <v>225</v>
      </c>
    </row>
    <row r="461" spans="1:99">
      <c r="A461" t="s">
        <v>99</v>
      </c>
      <c r="B461" t="s">
        <v>98</v>
      </c>
      <c r="J461" t="s">
        <v>225</v>
      </c>
      <c r="K461" t="s">
        <v>225</v>
      </c>
      <c r="M461" s="73">
        <v>45369.609722222223</v>
      </c>
      <c r="N461">
        <v>42394443</v>
      </c>
      <c r="O461">
        <v>-391.5</v>
      </c>
      <c r="P461" t="s">
        <v>73</v>
      </c>
      <c r="Q461">
        <v>-391.5</v>
      </c>
      <c r="R461" t="s">
        <v>73</v>
      </c>
      <c r="U461" t="s">
        <v>226</v>
      </c>
      <c r="V461" t="s">
        <v>388</v>
      </c>
      <c r="W461" t="s">
        <v>228</v>
      </c>
      <c r="X461" t="s">
        <v>229</v>
      </c>
      <c r="Y461" t="s">
        <v>99</v>
      </c>
      <c r="AD461" t="s">
        <v>73</v>
      </c>
      <c r="AE461">
        <v>-391.5</v>
      </c>
      <c r="AF461">
        <v>42394443</v>
      </c>
      <c r="AG461" s="73">
        <v>45369.609722222223</v>
      </c>
      <c r="AH461" t="s">
        <v>226</v>
      </c>
      <c r="AI461" t="s">
        <v>388</v>
      </c>
      <c r="AJ461" t="s">
        <v>228</v>
      </c>
      <c r="AK461" t="s">
        <v>229</v>
      </c>
      <c r="AL461" t="s">
        <v>99</v>
      </c>
      <c r="AP461" t="s">
        <v>230</v>
      </c>
      <c r="AQ461" t="s">
        <v>231</v>
      </c>
      <c r="AT461" t="s">
        <v>232</v>
      </c>
      <c r="AU461">
        <v>-99</v>
      </c>
      <c r="AV461" t="s">
        <v>73</v>
      </c>
      <c r="AW461">
        <v>-391.5</v>
      </c>
      <c r="AX461">
        <v>42394443</v>
      </c>
      <c r="AY461" s="73">
        <v>45369.609722222223</v>
      </c>
      <c r="AZ461" t="s">
        <v>226</v>
      </c>
      <c r="BA461" t="s">
        <v>388</v>
      </c>
      <c r="BB461" t="s">
        <v>228</v>
      </c>
      <c r="BC461" t="s">
        <v>229</v>
      </c>
      <c r="BD461" t="s">
        <v>99</v>
      </c>
      <c r="BI461" t="s">
        <v>233</v>
      </c>
      <c r="BJ461" t="s">
        <v>0</v>
      </c>
      <c r="BK461">
        <v>42394424</v>
      </c>
      <c r="BN461" t="s">
        <v>73</v>
      </c>
      <c r="BR461">
        <v>-391.5</v>
      </c>
      <c r="BS461">
        <v>42394443</v>
      </c>
      <c r="BT461" s="73">
        <v>45369.609722222223</v>
      </c>
      <c r="BU461" t="s">
        <v>226</v>
      </c>
      <c r="BV461" t="s">
        <v>388</v>
      </c>
      <c r="BW461" t="s">
        <v>228</v>
      </c>
      <c r="CH461" t="s">
        <v>229</v>
      </c>
      <c r="CI461" t="s">
        <v>99</v>
      </c>
      <c r="CJ461" t="s">
        <v>226</v>
      </c>
      <c r="CK461" t="s">
        <v>388</v>
      </c>
      <c r="CL461" t="s">
        <v>228</v>
      </c>
      <c r="CM461" t="s">
        <v>234</v>
      </c>
      <c r="CN461" t="s">
        <v>73</v>
      </c>
      <c r="CO461">
        <v>-391.5</v>
      </c>
      <c r="CP461">
        <v>42394443</v>
      </c>
      <c r="CQ461" s="73">
        <v>45369.609722222223</v>
      </c>
      <c r="CR461" t="s">
        <v>229</v>
      </c>
      <c r="CS461" t="s">
        <v>99</v>
      </c>
      <c r="CU461" t="s">
        <v>225</v>
      </c>
    </row>
    <row r="462" spans="1:99">
      <c r="A462" t="s">
        <v>103</v>
      </c>
      <c r="B462" t="s">
        <v>98</v>
      </c>
      <c r="J462" t="s">
        <v>225</v>
      </c>
      <c r="K462" t="s">
        <v>225</v>
      </c>
      <c r="M462" s="73">
        <v>45369.609722222223</v>
      </c>
      <c r="N462">
        <v>42394442</v>
      </c>
      <c r="O462">
        <v>7830</v>
      </c>
      <c r="P462" t="s">
        <v>104</v>
      </c>
      <c r="Q462">
        <v>7830</v>
      </c>
      <c r="R462" t="s">
        <v>104</v>
      </c>
      <c r="S462">
        <v>391.5</v>
      </c>
      <c r="T462" t="s">
        <v>73</v>
      </c>
      <c r="U462" t="s">
        <v>226</v>
      </c>
      <c r="V462" t="s">
        <v>388</v>
      </c>
      <c r="W462" t="s">
        <v>235</v>
      </c>
      <c r="X462" t="s">
        <v>229</v>
      </c>
      <c r="Y462" t="s">
        <v>103</v>
      </c>
      <c r="AD462" t="s">
        <v>104</v>
      </c>
      <c r="AE462">
        <v>7830</v>
      </c>
      <c r="AF462">
        <v>42394442</v>
      </c>
      <c r="AG462" s="73">
        <v>45369.609722222223</v>
      </c>
      <c r="AH462" t="s">
        <v>226</v>
      </c>
      <c r="AI462" t="s">
        <v>388</v>
      </c>
      <c r="AJ462" t="s">
        <v>235</v>
      </c>
      <c r="AK462" t="s">
        <v>229</v>
      </c>
      <c r="AL462" t="s">
        <v>103</v>
      </c>
      <c r="AP462" t="s">
        <v>230</v>
      </c>
      <c r="AQ462" t="s">
        <v>231</v>
      </c>
      <c r="AT462" t="s">
        <v>232</v>
      </c>
      <c r="AU462">
        <v>-99</v>
      </c>
      <c r="AV462" t="s">
        <v>104</v>
      </c>
      <c r="AW462">
        <v>7830</v>
      </c>
      <c r="AX462">
        <v>42394442</v>
      </c>
      <c r="AY462" s="73">
        <v>45369.609722222223</v>
      </c>
      <c r="AZ462" t="s">
        <v>226</v>
      </c>
      <c r="BA462" t="s">
        <v>388</v>
      </c>
      <c r="BB462" t="s">
        <v>235</v>
      </c>
      <c r="BC462" t="s">
        <v>229</v>
      </c>
      <c r="BD462" t="s">
        <v>103</v>
      </c>
      <c r="BI462" t="s">
        <v>233</v>
      </c>
      <c r="BJ462" t="s">
        <v>0</v>
      </c>
      <c r="BK462">
        <v>42394424</v>
      </c>
      <c r="BN462" t="s">
        <v>104</v>
      </c>
      <c r="BO462">
        <v>42394438</v>
      </c>
      <c r="BR462">
        <v>7830</v>
      </c>
      <c r="BS462">
        <v>42394442</v>
      </c>
      <c r="BT462" s="73">
        <v>45369.609722222223</v>
      </c>
      <c r="BU462" t="s">
        <v>226</v>
      </c>
      <c r="BV462" t="s">
        <v>388</v>
      </c>
      <c r="BW462" t="s">
        <v>235</v>
      </c>
      <c r="CH462" t="s">
        <v>229</v>
      </c>
      <c r="CI462" t="s">
        <v>103</v>
      </c>
      <c r="CJ462" t="s">
        <v>226</v>
      </c>
      <c r="CK462" t="s">
        <v>388</v>
      </c>
      <c r="CL462" t="s">
        <v>235</v>
      </c>
      <c r="CM462" t="s">
        <v>236</v>
      </c>
      <c r="CN462" t="s">
        <v>104</v>
      </c>
      <c r="CO462">
        <v>7830</v>
      </c>
      <c r="CP462">
        <v>42394442</v>
      </c>
      <c r="CQ462" s="73">
        <v>45369.609722222223</v>
      </c>
      <c r="CR462" t="s">
        <v>229</v>
      </c>
      <c r="CS462" t="s">
        <v>103</v>
      </c>
      <c r="CU462" t="s">
        <v>225</v>
      </c>
    </row>
    <row r="463" spans="1:99">
      <c r="A463" t="s">
        <v>52</v>
      </c>
      <c r="B463" t="s">
        <v>92</v>
      </c>
      <c r="J463" t="s">
        <v>225</v>
      </c>
      <c r="K463" t="s">
        <v>225</v>
      </c>
      <c r="M463" s="73">
        <v>45369.604062500002</v>
      </c>
      <c r="N463">
        <v>42385273</v>
      </c>
      <c r="O463">
        <v>-700</v>
      </c>
      <c r="P463" t="s">
        <v>45</v>
      </c>
      <c r="Q463">
        <v>-700</v>
      </c>
      <c r="R463" t="s">
        <v>45</v>
      </c>
      <c r="U463" t="s">
        <v>226</v>
      </c>
      <c r="V463" t="s">
        <v>389</v>
      </c>
      <c r="W463" t="s">
        <v>228</v>
      </c>
      <c r="X463" t="s">
        <v>229</v>
      </c>
      <c r="Y463" t="s">
        <v>52</v>
      </c>
      <c r="AD463" t="s">
        <v>45</v>
      </c>
      <c r="AE463">
        <v>-700</v>
      </c>
      <c r="AF463">
        <v>42385273</v>
      </c>
      <c r="AG463" s="73">
        <v>45369.604062500002</v>
      </c>
      <c r="AH463" t="s">
        <v>226</v>
      </c>
      <c r="AI463" t="s">
        <v>389</v>
      </c>
      <c r="AJ463" t="s">
        <v>228</v>
      </c>
      <c r="AK463" t="s">
        <v>229</v>
      </c>
      <c r="AL463" t="s">
        <v>52</v>
      </c>
      <c r="AP463" t="s">
        <v>230</v>
      </c>
      <c r="AQ463" t="s">
        <v>231</v>
      </c>
      <c r="AT463" t="s">
        <v>232</v>
      </c>
      <c r="AU463">
        <v>-99</v>
      </c>
      <c r="AV463" t="s">
        <v>45</v>
      </c>
      <c r="AW463">
        <v>-700</v>
      </c>
      <c r="AX463">
        <v>42385273</v>
      </c>
      <c r="AY463" s="73">
        <v>45369.604062500002</v>
      </c>
      <c r="AZ463" t="s">
        <v>226</v>
      </c>
      <c r="BA463" t="s">
        <v>389</v>
      </c>
      <c r="BB463" t="s">
        <v>228</v>
      </c>
      <c r="BC463" t="s">
        <v>229</v>
      </c>
      <c r="BD463" t="s">
        <v>52</v>
      </c>
      <c r="BI463" t="s">
        <v>233</v>
      </c>
      <c r="BJ463" t="s">
        <v>0</v>
      </c>
      <c r="BK463">
        <v>42385241</v>
      </c>
      <c r="BN463" t="s">
        <v>45</v>
      </c>
      <c r="BR463">
        <v>-700</v>
      </c>
      <c r="BS463">
        <v>42385273</v>
      </c>
      <c r="BT463" s="73">
        <v>45369.604062500002</v>
      </c>
      <c r="BU463" t="s">
        <v>226</v>
      </c>
      <c r="BV463" t="s">
        <v>389</v>
      </c>
      <c r="BW463" t="s">
        <v>228</v>
      </c>
      <c r="CH463" t="s">
        <v>229</v>
      </c>
      <c r="CI463" t="s">
        <v>52</v>
      </c>
      <c r="CJ463" t="s">
        <v>226</v>
      </c>
      <c r="CK463" t="s">
        <v>389</v>
      </c>
      <c r="CL463" t="s">
        <v>228</v>
      </c>
      <c r="CM463" t="s">
        <v>234</v>
      </c>
      <c r="CN463" t="s">
        <v>45</v>
      </c>
      <c r="CO463">
        <v>-700</v>
      </c>
      <c r="CP463">
        <v>42385273</v>
      </c>
      <c r="CQ463" s="73">
        <v>45369.604062500002</v>
      </c>
      <c r="CR463" t="s">
        <v>229</v>
      </c>
      <c r="CS463" t="s">
        <v>52</v>
      </c>
      <c r="CU463" t="s">
        <v>225</v>
      </c>
    </row>
    <row r="464" spans="1:99">
      <c r="A464" t="s">
        <v>101</v>
      </c>
      <c r="B464" t="s">
        <v>98</v>
      </c>
      <c r="J464" t="s">
        <v>225</v>
      </c>
      <c r="K464" t="s">
        <v>225</v>
      </c>
      <c r="M464" s="73">
        <v>45369.604062500002</v>
      </c>
      <c r="N464">
        <v>42385272</v>
      </c>
      <c r="O464">
        <v>-35</v>
      </c>
      <c r="P464" t="s">
        <v>73</v>
      </c>
      <c r="Q464">
        <v>-35</v>
      </c>
      <c r="R464" t="s">
        <v>73</v>
      </c>
      <c r="U464" t="s">
        <v>226</v>
      </c>
      <c r="V464" t="s">
        <v>389</v>
      </c>
      <c r="W464" t="s">
        <v>228</v>
      </c>
      <c r="X464" t="s">
        <v>229</v>
      </c>
      <c r="Y464" t="s">
        <v>101</v>
      </c>
      <c r="AD464" t="s">
        <v>73</v>
      </c>
      <c r="AE464">
        <v>-35</v>
      </c>
      <c r="AF464">
        <v>42385272</v>
      </c>
      <c r="AG464" s="73">
        <v>45369.604062500002</v>
      </c>
      <c r="AH464" t="s">
        <v>226</v>
      </c>
      <c r="AI464" t="s">
        <v>389</v>
      </c>
      <c r="AJ464" t="s">
        <v>228</v>
      </c>
      <c r="AK464" t="s">
        <v>229</v>
      </c>
      <c r="AL464" t="s">
        <v>101</v>
      </c>
      <c r="AP464" t="s">
        <v>230</v>
      </c>
      <c r="AQ464" t="s">
        <v>231</v>
      </c>
      <c r="AT464" t="s">
        <v>232</v>
      </c>
      <c r="AU464">
        <v>-99</v>
      </c>
      <c r="AV464" t="s">
        <v>73</v>
      </c>
      <c r="AW464">
        <v>-35</v>
      </c>
      <c r="AX464">
        <v>42385272</v>
      </c>
      <c r="AY464" s="73">
        <v>45369.604062500002</v>
      </c>
      <c r="AZ464" t="s">
        <v>226</v>
      </c>
      <c r="BA464" t="s">
        <v>389</v>
      </c>
      <c r="BB464" t="s">
        <v>228</v>
      </c>
      <c r="BC464" t="s">
        <v>229</v>
      </c>
      <c r="BD464" t="s">
        <v>101</v>
      </c>
      <c r="BI464" t="s">
        <v>233</v>
      </c>
      <c r="BJ464" t="s">
        <v>0</v>
      </c>
      <c r="BK464">
        <v>42385241</v>
      </c>
      <c r="BN464" t="s">
        <v>73</v>
      </c>
      <c r="BR464">
        <v>-35</v>
      </c>
      <c r="BS464">
        <v>42385272</v>
      </c>
      <c r="BT464" s="73">
        <v>45369.604062500002</v>
      </c>
      <c r="BU464" t="s">
        <v>226</v>
      </c>
      <c r="BV464" t="s">
        <v>389</v>
      </c>
      <c r="BW464" t="s">
        <v>228</v>
      </c>
      <c r="CH464" t="s">
        <v>229</v>
      </c>
      <c r="CI464" t="s">
        <v>101</v>
      </c>
      <c r="CJ464" t="s">
        <v>226</v>
      </c>
      <c r="CK464" t="s">
        <v>389</v>
      </c>
      <c r="CL464" t="s">
        <v>228</v>
      </c>
      <c r="CM464" t="s">
        <v>234</v>
      </c>
      <c r="CN464" t="s">
        <v>73</v>
      </c>
      <c r="CO464">
        <v>-35</v>
      </c>
      <c r="CP464">
        <v>42385272</v>
      </c>
      <c r="CQ464" s="73">
        <v>45369.604062500002</v>
      </c>
      <c r="CR464" t="s">
        <v>229</v>
      </c>
      <c r="CS464" t="s">
        <v>101</v>
      </c>
      <c r="CU464" t="s">
        <v>225</v>
      </c>
    </row>
    <row r="465" spans="1:99">
      <c r="A465" t="s">
        <v>107</v>
      </c>
      <c r="B465" t="s">
        <v>98</v>
      </c>
      <c r="J465" t="s">
        <v>225</v>
      </c>
      <c r="K465" t="s">
        <v>225</v>
      </c>
      <c r="M465" s="73">
        <v>45369.604062500002</v>
      </c>
      <c r="N465">
        <v>42385271</v>
      </c>
      <c r="O465">
        <v>700</v>
      </c>
      <c r="P465" t="s">
        <v>104</v>
      </c>
      <c r="Q465">
        <v>700</v>
      </c>
      <c r="R465" t="s">
        <v>104</v>
      </c>
      <c r="S465">
        <v>35</v>
      </c>
      <c r="T465" t="s">
        <v>73</v>
      </c>
      <c r="U465" t="s">
        <v>226</v>
      </c>
      <c r="V465" t="s">
        <v>389</v>
      </c>
      <c r="W465" t="s">
        <v>235</v>
      </c>
      <c r="X465" t="s">
        <v>229</v>
      </c>
      <c r="Y465" t="s">
        <v>107</v>
      </c>
      <c r="AD465" t="s">
        <v>104</v>
      </c>
      <c r="AE465">
        <v>700</v>
      </c>
      <c r="AF465">
        <v>42385271</v>
      </c>
      <c r="AG465" s="73">
        <v>45369.604062500002</v>
      </c>
      <c r="AH465" t="s">
        <v>226</v>
      </c>
      <c r="AI465" t="s">
        <v>389</v>
      </c>
      <c r="AJ465" t="s">
        <v>235</v>
      </c>
      <c r="AK465" t="s">
        <v>229</v>
      </c>
      <c r="AL465" t="s">
        <v>107</v>
      </c>
      <c r="AP465" t="s">
        <v>230</v>
      </c>
      <c r="AQ465" t="s">
        <v>231</v>
      </c>
      <c r="AT465" t="s">
        <v>232</v>
      </c>
      <c r="AU465">
        <v>-99</v>
      </c>
      <c r="AV465" t="s">
        <v>104</v>
      </c>
      <c r="AW465">
        <v>700</v>
      </c>
      <c r="AX465">
        <v>42385271</v>
      </c>
      <c r="AY465" s="73">
        <v>45369.604062500002</v>
      </c>
      <c r="AZ465" t="s">
        <v>226</v>
      </c>
      <c r="BA465" t="s">
        <v>389</v>
      </c>
      <c r="BB465" t="s">
        <v>235</v>
      </c>
      <c r="BC465" t="s">
        <v>229</v>
      </c>
      <c r="BD465" t="s">
        <v>107</v>
      </c>
      <c r="BI465" t="s">
        <v>233</v>
      </c>
      <c r="BJ465" t="s">
        <v>0</v>
      </c>
      <c r="BK465">
        <v>42385241</v>
      </c>
      <c r="BN465" t="s">
        <v>104</v>
      </c>
      <c r="BO465">
        <v>42385267</v>
      </c>
      <c r="BR465">
        <v>700</v>
      </c>
      <c r="BS465">
        <v>42385271</v>
      </c>
      <c r="BT465" s="73">
        <v>45369.604062500002</v>
      </c>
      <c r="BU465" t="s">
        <v>226</v>
      </c>
      <c r="BV465" t="s">
        <v>389</v>
      </c>
      <c r="BW465" t="s">
        <v>235</v>
      </c>
      <c r="CH465" t="s">
        <v>229</v>
      </c>
      <c r="CI465" t="s">
        <v>107</v>
      </c>
      <c r="CJ465" t="s">
        <v>226</v>
      </c>
      <c r="CK465" t="s">
        <v>389</v>
      </c>
      <c r="CL465" t="s">
        <v>235</v>
      </c>
      <c r="CM465" t="s">
        <v>236</v>
      </c>
      <c r="CN465" t="s">
        <v>104</v>
      </c>
      <c r="CO465">
        <v>700</v>
      </c>
      <c r="CP465">
        <v>42385271</v>
      </c>
      <c r="CQ465" s="73">
        <v>45369.604062500002</v>
      </c>
      <c r="CR465" t="s">
        <v>229</v>
      </c>
      <c r="CS465" t="s">
        <v>107</v>
      </c>
      <c r="CU465" t="s">
        <v>225</v>
      </c>
    </row>
    <row r="466" spans="1:99">
      <c r="A466" t="s">
        <v>52</v>
      </c>
      <c r="B466" t="s">
        <v>92</v>
      </c>
      <c r="J466" t="s">
        <v>225</v>
      </c>
      <c r="K466" t="s">
        <v>225</v>
      </c>
      <c r="M466" s="73">
        <v>45369.602083333331</v>
      </c>
      <c r="N466">
        <v>42394151</v>
      </c>
      <c r="O466">
        <v>-1901</v>
      </c>
      <c r="P466" t="s">
        <v>45</v>
      </c>
      <c r="Q466">
        <v>-1901</v>
      </c>
      <c r="R466" t="s">
        <v>45</v>
      </c>
      <c r="U466" t="s">
        <v>226</v>
      </c>
      <c r="V466" t="s">
        <v>390</v>
      </c>
      <c r="W466" t="s">
        <v>228</v>
      </c>
      <c r="X466" t="s">
        <v>229</v>
      </c>
      <c r="Y466" t="s">
        <v>52</v>
      </c>
      <c r="AD466" t="s">
        <v>45</v>
      </c>
      <c r="AE466">
        <v>-1901</v>
      </c>
      <c r="AF466">
        <v>42394151</v>
      </c>
      <c r="AG466" s="73">
        <v>45369.602083333331</v>
      </c>
      <c r="AH466" t="s">
        <v>226</v>
      </c>
      <c r="AI466" t="s">
        <v>390</v>
      </c>
      <c r="AJ466" t="s">
        <v>228</v>
      </c>
      <c r="AK466" t="s">
        <v>229</v>
      </c>
      <c r="AL466" t="s">
        <v>52</v>
      </c>
      <c r="AP466" t="s">
        <v>230</v>
      </c>
      <c r="AQ466" t="s">
        <v>231</v>
      </c>
      <c r="AT466" t="s">
        <v>232</v>
      </c>
      <c r="AU466">
        <v>-99</v>
      </c>
      <c r="AV466" t="s">
        <v>45</v>
      </c>
      <c r="AW466">
        <v>-1901</v>
      </c>
      <c r="AX466">
        <v>42394151</v>
      </c>
      <c r="AY466" s="73">
        <v>45369.602083333331</v>
      </c>
      <c r="AZ466" t="s">
        <v>226</v>
      </c>
      <c r="BA466" t="s">
        <v>390</v>
      </c>
      <c r="BB466" t="s">
        <v>228</v>
      </c>
      <c r="BC466" t="s">
        <v>229</v>
      </c>
      <c r="BD466" t="s">
        <v>52</v>
      </c>
      <c r="BI466" t="s">
        <v>233</v>
      </c>
      <c r="BJ466" t="s">
        <v>0</v>
      </c>
      <c r="BK466">
        <v>42394135</v>
      </c>
      <c r="BN466" t="s">
        <v>45</v>
      </c>
      <c r="BR466">
        <v>-1901</v>
      </c>
      <c r="BS466">
        <v>42394151</v>
      </c>
      <c r="BT466" s="73">
        <v>45369.602083333331</v>
      </c>
      <c r="BU466" t="s">
        <v>226</v>
      </c>
      <c r="BV466" t="s">
        <v>390</v>
      </c>
      <c r="BW466" t="s">
        <v>228</v>
      </c>
      <c r="CH466" t="s">
        <v>229</v>
      </c>
      <c r="CI466" t="s">
        <v>52</v>
      </c>
      <c r="CJ466" t="s">
        <v>226</v>
      </c>
      <c r="CK466" t="s">
        <v>390</v>
      </c>
      <c r="CL466" t="s">
        <v>228</v>
      </c>
      <c r="CM466" t="s">
        <v>234</v>
      </c>
      <c r="CN466" t="s">
        <v>45</v>
      </c>
      <c r="CO466">
        <v>-1901</v>
      </c>
      <c r="CP466">
        <v>42394151</v>
      </c>
      <c r="CQ466" s="73">
        <v>45369.602083333331</v>
      </c>
      <c r="CR466" t="s">
        <v>229</v>
      </c>
      <c r="CS466" t="s">
        <v>52</v>
      </c>
      <c r="CU466" t="s">
        <v>225</v>
      </c>
    </row>
    <row r="467" spans="1:99">
      <c r="A467" t="s">
        <v>101</v>
      </c>
      <c r="B467" t="s">
        <v>98</v>
      </c>
      <c r="J467" t="s">
        <v>225</v>
      </c>
      <c r="K467" t="s">
        <v>225</v>
      </c>
      <c r="M467" s="73">
        <v>45369.602083333331</v>
      </c>
      <c r="N467">
        <v>42394150</v>
      </c>
      <c r="O467">
        <v>-95</v>
      </c>
      <c r="P467" t="s">
        <v>73</v>
      </c>
      <c r="Q467">
        <v>-95</v>
      </c>
      <c r="R467" t="s">
        <v>73</v>
      </c>
      <c r="U467" t="s">
        <v>226</v>
      </c>
      <c r="V467" t="s">
        <v>390</v>
      </c>
      <c r="W467" t="s">
        <v>228</v>
      </c>
      <c r="X467" t="s">
        <v>229</v>
      </c>
      <c r="Y467" t="s">
        <v>101</v>
      </c>
      <c r="AD467" t="s">
        <v>73</v>
      </c>
      <c r="AE467">
        <v>-95</v>
      </c>
      <c r="AF467">
        <v>42394150</v>
      </c>
      <c r="AG467" s="73">
        <v>45369.602083333331</v>
      </c>
      <c r="AH467" t="s">
        <v>226</v>
      </c>
      <c r="AI467" t="s">
        <v>390</v>
      </c>
      <c r="AJ467" t="s">
        <v>228</v>
      </c>
      <c r="AK467" t="s">
        <v>229</v>
      </c>
      <c r="AL467" t="s">
        <v>101</v>
      </c>
      <c r="AP467" t="s">
        <v>230</v>
      </c>
      <c r="AQ467" t="s">
        <v>231</v>
      </c>
      <c r="AT467" t="s">
        <v>232</v>
      </c>
      <c r="AU467">
        <v>-99</v>
      </c>
      <c r="AV467" t="s">
        <v>73</v>
      </c>
      <c r="AW467">
        <v>-95</v>
      </c>
      <c r="AX467">
        <v>42394150</v>
      </c>
      <c r="AY467" s="73">
        <v>45369.602083333331</v>
      </c>
      <c r="AZ467" t="s">
        <v>226</v>
      </c>
      <c r="BA467" t="s">
        <v>390</v>
      </c>
      <c r="BB467" t="s">
        <v>228</v>
      </c>
      <c r="BC467" t="s">
        <v>229</v>
      </c>
      <c r="BD467" t="s">
        <v>101</v>
      </c>
      <c r="BI467" t="s">
        <v>233</v>
      </c>
      <c r="BJ467" t="s">
        <v>0</v>
      </c>
      <c r="BK467">
        <v>42394135</v>
      </c>
      <c r="BN467" t="s">
        <v>73</v>
      </c>
      <c r="BR467">
        <v>-95</v>
      </c>
      <c r="BS467">
        <v>42394150</v>
      </c>
      <c r="BT467" s="73">
        <v>45369.602083333331</v>
      </c>
      <c r="BU467" t="s">
        <v>226</v>
      </c>
      <c r="BV467" t="s">
        <v>390</v>
      </c>
      <c r="BW467" t="s">
        <v>228</v>
      </c>
      <c r="CH467" t="s">
        <v>229</v>
      </c>
      <c r="CI467" t="s">
        <v>101</v>
      </c>
      <c r="CJ467" t="s">
        <v>226</v>
      </c>
      <c r="CK467" t="s">
        <v>390</v>
      </c>
      <c r="CL467" t="s">
        <v>228</v>
      </c>
      <c r="CM467" t="s">
        <v>234</v>
      </c>
      <c r="CN467" t="s">
        <v>73</v>
      </c>
      <c r="CO467">
        <v>-95</v>
      </c>
      <c r="CP467">
        <v>42394150</v>
      </c>
      <c r="CQ467" s="73">
        <v>45369.602083333331</v>
      </c>
      <c r="CR467" t="s">
        <v>229</v>
      </c>
      <c r="CS467" t="s">
        <v>101</v>
      </c>
      <c r="CU467" t="s">
        <v>225</v>
      </c>
    </row>
    <row r="468" spans="1:99">
      <c r="A468" t="s">
        <v>107</v>
      </c>
      <c r="B468" t="s">
        <v>98</v>
      </c>
      <c r="J468" t="s">
        <v>225</v>
      </c>
      <c r="K468" t="s">
        <v>225</v>
      </c>
      <c r="M468" s="73">
        <v>45369.602083333331</v>
      </c>
      <c r="N468">
        <v>42394149</v>
      </c>
      <c r="O468">
        <v>1900</v>
      </c>
      <c r="P468" t="s">
        <v>104</v>
      </c>
      <c r="Q468">
        <v>1900</v>
      </c>
      <c r="R468" t="s">
        <v>104</v>
      </c>
      <c r="S468">
        <v>95</v>
      </c>
      <c r="T468" t="s">
        <v>73</v>
      </c>
      <c r="U468" t="s">
        <v>226</v>
      </c>
      <c r="V468" t="s">
        <v>390</v>
      </c>
      <c r="W468" t="s">
        <v>235</v>
      </c>
      <c r="X468" t="s">
        <v>229</v>
      </c>
      <c r="Y468" t="s">
        <v>107</v>
      </c>
      <c r="AD468" t="s">
        <v>104</v>
      </c>
      <c r="AE468">
        <v>1900</v>
      </c>
      <c r="AF468">
        <v>42394149</v>
      </c>
      <c r="AG468" s="73">
        <v>45369.602083333331</v>
      </c>
      <c r="AH468" t="s">
        <v>226</v>
      </c>
      <c r="AI468" t="s">
        <v>390</v>
      </c>
      <c r="AJ468" t="s">
        <v>235</v>
      </c>
      <c r="AK468" t="s">
        <v>229</v>
      </c>
      <c r="AL468" t="s">
        <v>107</v>
      </c>
      <c r="AP468" t="s">
        <v>230</v>
      </c>
      <c r="AQ468" t="s">
        <v>231</v>
      </c>
      <c r="AT468" t="s">
        <v>232</v>
      </c>
      <c r="AU468">
        <v>-99</v>
      </c>
      <c r="AV468" t="s">
        <v>104</v>
      </c>
      <c r="AW468">
        <v>1900</v>
      </c>
      <c r="AX468">
        <v>42394149</v>
      </c>
      <c r="AY468" s="73">
        <v>45369.602083333331</v>
      </c>
      <c r="AZ468" t="s">
        <v>226</v>
      </c>
      <c r="BA468" t="s">
        <v>390</v>
      </c>
      <c r="BB468" t="s">
        <v>235</v>
      </c>
      <c r="BC468" t="s">
        <v>229</v>
      </c>
      <c r="BD468" t="s">
        <v>107</v>
      </c>
      <c r="BI468" t="s">
        <v>233</v>
      </c>
      <c r="BJ468" t="s">
        <v>0</v>
      </c>
      <c r="BK468">
        <v>42394135</v>
      </c>
      <c r="BN468" t="s">
        <v>104</v>
      </c>
      <c r="BO468">
        <v>42394141</v>
      </c>
      <c r="BR468">
        <v>1900</v>
      </c>
      <c r="BS468">
        <v>42394149</v>
      </c>
      <c r="BT468" s="73">
        <v>45369.602083333331</v>
      </c>
      <c r="BU468" t="s">
        <v>226</v>
      </c>
      <c r="BV468" t="s">
        <v>390</v>
      </c>
      <c r="BW468" t="s">
        <v>235</v>
      </c>
      <c r="CH468" t="s">
        <v>229</v>
      </c>
      <c r="CI468" t="s">
        <v>107</v>
      </c>
      <c r="CJ468" t="s">
        <v>226</v>
      </c>
      <c r="CK468" t="s">
        <v>390</v>
      </c>
      <c r="CL468" t="s">
        <v>235</v>
      </c>
      <c r="CM468" t="s">
        <v>236</v>
      </c>
      <c r="CN468" t="s">
        <v>104</v>
      </c>
      <c r="CO468">
        <v>1900</v>
      </c>
      <c r="CP468">
        <v>42394149</v>
      </c>
      <c r="CQ468" s="73">
        <v>45369.602083333331</v>
      </c>
      <c r="CR468" t="s">
        <v>229</v>
      </c>
      <c r="CS468" t="s">
        <v>107</v>
      </c>
      <c r="CU468" t="s">
        <v>225</v>
      </c>
    </row>
    <row r="469" spans="1:99">
      <c r="A469" t="s">
        <v>111</v>
      </c>
      <c r="B469" t="s">
        <v>77</v>
      </c>
      <c r="J469" t="s">
        <v>225</v>
      </c>
      <c r="K469" t="s">
        <v>225</v>
      </c>
      <c r="M469" s="73">
        <v>45369.602083333331</v>
      </c>
      <c r="N469">
        <v>42394148</v>
      </c>
      <c r="O469">
        <v>1</v>
      </c>
      <c r="P469" t="s">
        <v>45</v>
      </c>
      <c r="Q469">
        <v>1</v>
      </c>
      <c r="R469" t="s">
        <v>45</v>
      </c>
      <c r="U469" t="s">
        <v>226</v>
      </c>
      <c r="V469" t="s">
        <v>390</v>
      </c>
      <c r="W469" t="s">
        <v>237</v>
      </c>
      <c r="X469" t="s">
        <v>229</v>
      </c>
      <c r="Y469" t="s">
        <v>111</v>
      </c>
      <c r="AD469" t="s">
        <v>45</v>
      </c>
      <c r="AE469">
        <v>1</v>
      </c>
      <c r="AF469">
        <v>42394148</v>
      </c>
      <c r="AG469" s="73">
        <v>45369.602083333331</v>
      </c>
      <c r="AH469" t="s">
        <v>226</v>
      </c>
      <c r="AI469" t="s">
        <v>390</v>
      </c>
      <c r="AJ469" t="s">
        <v>237</v>
      </c>
      <c r="AK469" t="s">
        <v>229</v>
      </c>
      <c r="AL469" t="s">
        <v>111</v>
      </c>
      <c r="AP469" t="s">
        <v>230</v>
      </c>
      <c r="AQ469" t="s">
        <v>231</v>
      </c>
      <c r="AT469" t="s">
        <v>232</v>
      </c>
      <c r="AU469">
        <v>-99</v>
      </c>
      <c r="AV469" t="s">
        <v>45</v>
      </c>
      <c r="AW469">
        <v>1</v>
      </c>
      <c r="AX469">
        <v>42394148</v>
      </c>
      <c r="AY469" s="73">
        <v>45369.602083333331</v>
      </c>
      <c r="AZ469" t="s">
        <v>226</v>
      </c>
      <c r="BA469" t="s">
        <v>390</v>
      </c>
      <c r="BB469" t="s">
        <v>237</v>
      </c>
      <c r="BC469" t="s">
        <v>229</v>
      </c>
      <c r="BD469" t="s">
        <v>111</v>
      </c>
      <c r="BI469" t="s">
        <v>233</v>
      </c>
      <c r="BJ469" t="s">
        <v>0</v>
      </c>
      <c r="BK469">
        <v>42394135</v>
      </c>
      <c r="BN469" t="s">
        <v>45</v>
      </c>
      <c r="BO469">
        <v>42394143</v>
      </c>
      <c r="BR469">
        <v>1</v>
      </c>
      <c r="BS469">
        <v>42394148</v>
      </c>
      <c r="BT469" s="73">
        <v>45369.602083333331</v>
      </c>
      <c r="BU469" t="s">
        <v>226</v>
      </c>
      <c r="BV469" t="s">
        <v>390</v>
      </c>
      <c r="BW469" t="s">
        <v>237</v>
      </c>
      <c r="CH469" t="s">
        <v>229</v>
      </c>
      <c r="CI469" t="s">
        <v>111</v>
      </c>
      <c r="CJ469" t="s">
        <v>226</v>
      </c>
      <c r="CK469" t="s">
        <v>390</v>
      </c>
      <c r="CL469" t="s">
        <v>237</v>
      </c>
      <c r="CM469" t="s">
        <v>236</v>
      </c>
      <c r="CN469" t="s">
        <v>45</v>
      </c>
      <c r="CO469">
        <v>1</v>
      </c>
      <c r="CP469">
        <v>42394148</v>
      </c>
      <c r="CQ469" s="73">
        <v>45369.602083333331</v>
      </c>
      <c r="CR469" t="s">
        <v>229</v>
      </c>
      <c r="CS469" t="s">
        <v>111</v>
      </c>
      <c r="CU469" t="s">
        <v>225</v>
      </c>
    </row>
    <row r="470" spans="1:99">
      <c r="A470" t="s">
        <v>46</v>
      </c>
      <c r="B470" t="s">
        <v>92</v>
      </c>
      <c r="J470" t="s">
        <v>225</v>
      </c>
      <c r="K470" t="s">
        <v>225</v>
      </c>
      <c r="M470" s="73">
        <v>45369.599699074075</v>
      </c>
      <c r="N470">
        <v>42385146</v>
      </c>
      <c r="O470">
        <v>-100</v>
      </c>
      <c r="P470" t="s">
        <v>45</v>
      </c>
      <c r="Q470">
        <v>-100</v>
      </c>
      <c r="R470" t="s">
        <v>45</v>
      </c>
      <c r="U470" t="s">
        <v>226</v>
      </c>
      <c r="V470" t="s">
        <v>391</v>
      </c>
      <c r="W470" t="s">
        <v>228</v>
      </c>
      <c r="X470" t="s">
        <v>229</v>
      </c>
      <c r="Y470" t="s">
        <v>46</v>
      </c>
      <c r="AD470" t="s">
        <v>45</v>
      </c>
      <c r="AE470">
        <v>-100</v>
      </c>
      <c r="AF470">
        <v>42385146</v>
      </c>
      <c r="AG470" s="73">
        <v>45369.599699074075</v>
      </c>
      <c r="AH470" t="s">
        <v>226</v>
      </c>
      <c r="AI470" t="s">
        <v>391</v>
      </c>
      <c r="AJ470" t="s">
        <v>228</v>
      </c>
      <c r="AK470" t="s">
        <v>229</v>
      </c>
      <c r="AL470" t="s">
        <v>46</v>
      </c>
      <c r="AP470" t="s">
        <v>230</v>
      </c>
      <c r="AQ470" t="s">
        <v>231</v>
      </c>
      <c r="AT470" t="s">
        <v>232</v>
      </c>
      <c r="AU470">
        <v>-99</v>
      </c>
      <c r="AV470" t="s">
        <v>45</v>
      </c>
      <c r="AW470">
        <v>-100</v>
      </c>
      <c r="AX470">
        <v>42385146</v>
      </c>
      <c r="AY470" s="73">
        <v>45369.599699074075</v>
      </c>
      <c r="AZ470" t="s">
        <v>226</v>
      </c>
      <c r="BA470" t="s">
        <v>391</v>
      </c>
      <c r="BB470" t="s">
        <v>228</v>
      </c>
      <c r="BC470" t="s">
        <v>229</v>
      </c>
      <c r="BD470" t="s">
        <v>46</v>
      </c>
      <c r="BI470" t="s">
        <v>233</v>
      </c>
      <c r="BJ470" t="s">
        <v>0</v>
      </c>
      <c r="BK470">
        <v>42385134</v>
      </c>
      <c r="BN470" t="s">
        <v>45</v>
      </c>
      <c r="BR470">
        <v>-100</v>
      </c>
      <c r="BS470">
        <v>42385146</v>
      </c>
      <c r="BT470" s="73">
        <v>45369.599699074075</v>
      </c>
      <c r="BU470" t="s">
        <v>226</v>
      </c>
      <c r="BV470" t="s">
        <v>391</v>
      </c>
      <c r="BW470" t="s">
        <v>228</v>
      </c>
      <c r="CH470" t="s">
        <v>229</v>
      </c>
      <c r="CI470" t="s">
        <v>46</v>
      </c>
      <c r="CJ470" t="s">
        <v>226</v>
      </c>
      <c r="CK470" t="s">
        <v>391</v>
      </c>
      <c r="CL470" t="s">
        <v>228</v>
      </c>
      <c r="CM470" t="s">
        <v>234</v>
      </c>
      <c r="CN470" t="s">
        <v>45</v>
      </c>
      <c r="CO470">
        <v>-100</v>
      </c>
      <c r="CP470">
        <v>42385146</v>
      </c>
      <c r="CQ470" s="73">
        <v>45369.599699074075</v>
      </c>
      <c r="CR470" t="s">
        <v>229</v>
      </c>
      <c r="CS470" t="s">
        <v>46</v>
      </c>
      <c r="CU470" t="s">
        <v>225</v>
      </c>
    </row>
    <row r="471" spans="1:99">
      <c r="A471" t="s">
        <v>93</v>
      </c>
      <c r="B471" t="s">
        <v>98</v>
      </c>
      <c r="J471" t="s">
        <v>225</v>
      </c>
      <c r="K471" t="s">
        <v>225</v>
      </c>
      <c r="M471" s="73">
        <v>45369.599699074075</v>
      </c>
      <c r="N471">
        <v>42385145</v>
      </c>
      <c r="O471">
        <v>-5</v>
      </c>
      <c r="P471" t="s">
        <v>73</v>
      </c>
      <c r="Q471">
        <v>-5</v>
      </c>
      <c r="R471" t="s">
        <v>73</v>
      </c>
      <c r="U471" t="s">
        <v>226</v>
      </c>
      <c r="V471" t="s">
        <v>391</v>
      </c>
      <c r="W471" t="s">
        <v>228</v>
      </c>
      <c r="X471" t="s">
        <v>229</v>
      </c>
      <c r="Y471" t="s">
        <v>93</v>
      </c>
      <c r="AD471" t="s">
        <v>73</v>
      </c>
      <c r="AE471">
        <v>-5</v>
      </c>
      <c r="AF471">
        <v>42385145</v>
      </c>
      <c r="AG471" s="73">
        <v>45369.599699074075</v>
      </c>
      <c r="AH471" t="s">
        <v>226</v>
      </c>
      <c r="AI471" t="s">
        <v>391</v>
      </c>
      <c r="AJ471" t="s">
        <v>228</v>
      </c>
      <c r="AK471" t="s">
        <v>229</v>
      </c>
      <c r="AL471" t="s">
        <v>93</v>
      </c>
      <c r="AP471" t="s">
        <v>230</v>
      </c>
      <c r="AQ471" t="s">
        <v>231</v>
      </c>
      <c r="AT471" t="s">
        <v>232</v>
      </c>
      <c r="AU471">
        <v>-99</v>
      </c>
      <c r="AV471" t="s">
        <v>73</v>
      </c>
      <c r="AW471">
        <v>-5</v>
      </c>
      <c r="AX471">
        <v>42385145</v>
      </c>
      <c r="AY471" s="73">
        <v>45369.599699074075</v>
      </c>
      <c r="AZ471" t="s">
        <v>226</v>
      </c>
      <c r="BA471" t="s">
        <v>391</v>
      </c>
      <c r="BB471" t="s">
        <v>228</v>
      </c>
      <c r="BC471" t="s">
        <v>229</v>
      </c>
      <c r="BD471" t="s">
        <v>93</v>
      </c>
      <c r="BI471" t="s">
        <v>233</v>
      </c>
      <c r="BJ471" t="s">
        <v>0</v>
      </c>
      <c r="BK471">
        <v>42385134</v>
      </c>
      <c r="BN471" t="s">
        <v>73</v>
      </c>
      <c r="BR471">
        <v>-5</v>
      </c>
      <c r="BS471">
        <v>42385145</v>
      </c>
      <c r="BT471" s="73">
        <v>45369.599699074075</v>
      </c>
      <c r="BU471" t="s">
        <v>226</v>
      </c>
      <c r="BV471" t="s">
        <v>391</v>
      </c>
      <c r="BW471" t="s">
        <v>228</v>
      </c>
      <c r="CH471" t="s">
        <v>229</v>
      </c>
      <c r="CI471" t="s">
        <v>93</v>
      </c>
      <c r="CJ471" t="s">
        <v>226</v>
      </c>
      <c r="CK471" t="s">
        <v>391</v>
      </c>
      <c r="CL471" t="s">
        <v>228</v>
      </c>
      <c r="CM471" t="s">
        <v>234</v>
      </c>
      <c r="CN471" t="s">
        <v>73</v>
      </c>
      <c r="CO471">
        <v>-5</v>
      </c>
      <c r="CP471">
        <v>42385145</v>
      </c>
      <c r="CQ471" s="73">
        <v>45369.599699074075</v>
      </c>
      <c r="CR471" t="s">
        <v>229</v>
      </c>
      <c r="CS471" t="s">
        <v>93</v>
      </c>
      <c r="CU471" t="s">
        <v>225</v>
      </c>
    </row>
    <row r="472" spans="1:99">
      <c r="A472" t="s">
        <v>108</v>
      </c>
      <c r="B472" t="s">
        <v>98</v>
      </c>
      <c r="J472" t="s">
        <v>225</v>
      </c>
      <c r="K472" t="s">
        <v>225</v>
      </c>
      <c r="M472" s="73">
        <v>45369.599699074075</v>
      </c>
      <c r="N472">
        <v>42385144</v>
      </c>
      <c r="O472">
        <v>100</v>
      </c>
      <c r="P472" t="s">
        <v>104</v>
      </c>
      <c r="Q472">
        <v>100</v>
      </c>
      <c r="R472" t="s">
        <v>104</v>
      </c>
      <c r="S472">
        <v>5</v>
      </c>
      <c r="T472" t="s">
        <v>73</v>
      </c>
      <c r="U472" t="s">
        <v>226</v>
      </c>
      <c r="V472" t="s">
        <v>391</v>
      </c>
      <c r="W472" t="s">
        <v>235</v>
      </c>
      <c r="X472" t="s">
        <v>229</v>
      </c>
      <c r="Y472" t="s">
        <v>108</v>
      </c>
      <c r="AD472" t="s">
        <v>104</v>
      </c>
      <c r="AE472">
        <v>100</v>
      </c>
      <c r="AF472">
        <v>42385144</v>
      </c>
      <c r="AG472" s="73">
        <v>45369.599699074075</v>
      </c>
      <c r="AH472" t="s">
        <v>226</v>
      </c>
      <c r="AI472" t="s">
        <v>391</v>
      </c>
      <c r="AJ472" t="s">
        <v>235</v>
      </c>
      <c r="AK472" t="s">
        <v>229</v>
      </c>
      <c r="AL472" t="s">
        <v>108</v>
      </c>
      <c r="AP472" t="s">
        <v>230</v>
      </c>
      <c r="AQ472" t="s">
        <v>231</v>
      </c>
      <c r="AT472" t="s">
        <v>232</v>
      </c>
      <c r="AU472">
        <v>-99</v>
      </c>
      <c r="AV472" t="s">
        <v>104</v>
      </c>
      <c r="AW472">
        <v>100</v>
      </c>
      <c r="AX472">
        <v>42385144</v>
      </c>
      <c r="AY472" s="73">
        <v>45369.599699074075</v>
      </c>
      <c r="AZ472" t="s">
        <v>226</v>
      </c>
      <c r="BA472" t="s">
        <v>391</v>
      </c>
      <c r="BB472" t="s">
        <v>235</v>
      </c>
      <c r="BC472" t="s">
        <v>229</v>
      </c>
      <c r="BD472" t="s">
        <v>108</v>
      </c>
      <c r="BI472" t="s">
        <v>233</v>
      </c>
      <c r="BJ472" t="s">
        <v>0</v>
      </c>
      <c r="BK472">
        <v>42385134</v>
      </c>
      <c r="BN472" t="s">
        <v>104</v>
      </c>
      <c r="BO472">
        <v>42385140</v>
      </c>
      <c r="BR472">
        <v>100</v>
      </c>
      <c r="BS472">
        <v>42385144</v>
      </c>
      <c r="BT472" s="73">
        <v>45369.599699074075</v>
      </c>
      <c r="BU472" t="s">
        <v>226</v>
      </c>
      <c r="BV472" t="s">
        <v>391</v>
      </c>
      <c r="BW472" t="s">
        <v>235</v>
      </c>
      <c r="CH472" t="s">
        <v>229</v>
      </c>
      <c r="CI472" t="s">
        <v>108</v>
      </c>
      <c r="CJ472" t="s">
        <v>226</v>
      </c>
      <c r="CK472" t="s">
        <v>391</v>
      </c>
      <c r="CL472" t="s">
        <v>235</v>
      </c>
      <c r="CM472" t="s">
        <v>236</v>
      </c>
      <c r="CN472" t="s">
        <v>104</v>
      </c>
      <c r="CO472">
        <v>100</v>
      </c>
      <c r="CP472">
        <v>42385144</v>
      </c>
      <c r="CQ472" s="73">
        <v>45369.599699074075</v>
      </c>
      <c r="CR472" t="s">
        <v>229</v>
      </c>
      <c r="CS472" t="s">
        <v>108</v>
      </c>
      <c r="CU472" t="s">
        <v>225</v>
      </c>
    </row>
    <row r="473" spans="1:99">
      <c r="A473" t="s">
        <v>42</v>
      </c>
      <c r="B473" t="s">
        <v>92</v>
      </c>
      <c r="J473" t="s">
        <v>225</v>
      </c>
      <c r="K473" t="s">
        <v>225</v>
      </c>
      <c r="M473" s="73">
        <v>45369.597615740742</v>
      </c>
      <c r="N473">
        <v>42385024</v>
      </c>
      <c r="O473">
        <v>-1710</v>
      </c>
      <c r="P473" t="s">
        <v>45</v>
      </c>
      <c r="Q473">
        <v>-1710</v>
      </c>
      <c r="R473" t="s">
        <v>45</v>
      </c>
      <c r="U473" t="s">
        <v>226</v>
      </c>
      <c r="V473" t="s">
        <v>392</v>
      </c>
      <c r="W473" t="s">
        <v>228</v>
      </c>
      <c r="X473" t="s">
        <v>229</v>
      </c>
      <c r="Y473" t="s">
        <v>42</v>
      </c>
      <c r="AD473" t="s">
        <v>45</v>
      </c>
      <c r="AE473">
        <v>-1710</v>
      </c>
      <c r="AF473">
        <v>42385024</v>
      </c>
      <c r="AG473" s="73">
        <v>45369.597615740742</v>
      </c>
      <c r="AH473" t="s">
        <v>226</v>
      </c>
      <c r="AI473" t="s">
        <v>392</v>
      </c>
      <c r="AJ473" t="s">
        <v>228</v>
      </c>
      <c r="AK473" t="s">
        <v>229</v>
      </c>
      <c r="AL473" t="s">
        <v>42</v>
      </c>
      <c r="AP473" t="s">
        <v>230</v>
      </c>
      <c r="AQ473" t="s">
        <v>231</v>
      </c>
      <c r="AT473" t="s">
        <v>232</v>
      </c>
      <c r="AU473">
        <v>-99</v>
      </c>
      <c r="AV473" t="s">
        <v>45</v>
      </c>
      <c r="AW473">
        <v>-1710</v>
      </c>
      <c r="AX473">
        <v>42385024</v>
      </c>
      <c r="AY473" s="73">
        <v>45369.597615740742</v>
      </c>
      <c r="AZ473" t="s">
        <v>226</v>
      </c>
      <c r="BA473" t="s">
        <v>392</v>
      </c>
      <c r="BB473" t="s">
        <v>228</v>
      </c>
      <c r="BC473" t="s">
        <v>229</v>
      </c>
      <c r="BD473" t="s">
        <v>42</v>
      </c>
      <c r="BI473" t="s">
        <v>233</v>
      </c>
      <c r="BJ473" t="s">
        <v>0</v>
      </c>
      <c r="BK473">
        <v>42384995</v>
      </c>
      <c r="BN473" t="s">
        <v>45</v>
      </c>
      <c r="BR473">
        <v>-1710</v>
      </c>
      <c r="BS473">
        <v>42385024</v>
      </c>
      <c r="BT473" s="73">
        <v>45369.597615740742</v>
      </c>
      <c r="BU473" t="s">
        <v>226</v>
      </c>
      <c r="BV473" t="s">
        <v>392</v>
      </c>
      <c r="BW473" t="s">
        <v>228</v>
      </c>
      <c r="CH473" t="s">
        <v>229</v>
      </c>
      <c r="CI473" t="s">
        <v>42</v>
      </c>
      <c r="CJ473" t="s">
        <v>226</v>
      </c>
      <c r="CK473" t="s">
        <v>392</v>
      </c>
      <c r="CL473" t="s">
        <v>228</v>
      </c>
      <c r="CM473" t="s">
        <v>234</v>
      </c>
      <c r="CN473" t="s">
        <v>45</v>
      </c>
      <c r="CO473">
        <v>-1710</v>
      </c>
      <c r="CP473">
        <v>42385024</v>
      </c>
      <c r="CQ473" s="73">
        <v>45369.597615740742</v>
      </c>
      <c r="CR473" t="s">
        <v>229</v>
      </c>
      <c r="CS473" t="s">
        <v>42</v>
      </c>
      <c r="CU473" t="s">
        <v>225</v>
      </c>
    </row>
    <row r="474" spans="1:99">
      <c r="A474" t="s">
        <v>99</v>
      </c>
      <c r="B474" t="s">
        <v>98</v>
      </c>
      <c r="J474" t="s">
        <v>225</v>
      </c>
      <c r="K474" t="s">
        <v>225</v>
      </c>
      <c r="M474" s="73">
        <v>45369.597615740742</v>
      </c>
      <c r="N474">
        <v>42385023</v>
      </c>
      <c r="O474">
        <v>-85.5</v>
      </c>
      <c r="P474" t="s">
        <v>73</v>
      </c>
      <c r="Q474">
        <v>-85.5</v>
      </c>
      <c r="R474" t="s">
        <v>73</v>
      </c>
      <c r="U474" t="s">
        <v>226</v>
      </c>
      <c r="V474" t="s">
        <v>392</v>
      </c>
      <c r="W474" t="s">
        <v>228</v>
      </c>
      <c r="X474" t="s">
        <v>229</v>
      </c>
      <c r="Y474" t="s">
        <v>99</v>
      </c>
      <c r="AD474" t="s">
        <v>73</v>
      </c>
      <c r="AE474">
        <v>-85.5</v>
      </c>
      <c r="AF474">
        <v>42385023</v>
      </c>
      <c r="AG474" s="73">
        <v>45369.597615740742</v>
      </c>
      <c r="AH474" t="s">
        <v>226</v>
      </c>
      <c r="AI474" t="s">
        <v>392</v>
      </c>
      <c r="AJ474" t="s">
        <v>228</v>
      </c>
      <c r="AK474" t="s">
        <v>229</v>
      </c>
      <c r="AL474" t="s">
        <v>99</v>
      </c>
      <c r="AP474" t="s">
        <v>230</v>
      </c>
      <c r="AQ474" t="s">
        <v>231</v>
      </c>
      <c r="AT474" t="s">
        <v>232</v>
      </c>
      <c r="AU474">
        <v>-99</v>
      </c>
      <c r="AV474" t="s">
        <v>73</v>
      </c>
      <c r="AW474">
        <v>-85.5</v>
      </c>
      <c r="AX474">
        <v>42385023</v>
      </c>
      <c r="AY474" s="73">
        <v>45369.597615740742</v>
      </c>
      <c r="AZ474" t="s">
        <v>226</v>
      </c>
      <c r="BA474" t="s">
        <v>392</v>
      </c>
      <c r="BB474" t="s">
        <v>228</v>
      </c>
      <c r="BC474" t="s">
        <v>229</v>
      </c>
      <c r="BD474" t="s">
        <v>99</v>
      </c>
      <c r="BI474" t="s">
        <v>233</v>
      </c>
      <c r="BJ474" t="s">
        <v>0</v>
      </c>
      <c r="BK474">
        <v>42384995</v>
      </c>
      <c r="BN474" t="s">
        <v>73</v>
      </c>
      <c r="BR474">
        <v>-85.5</v>
      </c>
      <c r="BS474">
        <v>42385023</v>
      </c>
      <c r="BT474" s="73">
        <v>45369.597615740742</v>
      </c>
      <c r="BU474" t="s">
        <v>226</v>
      </c>
      <c r="BV474" t="s">
        <v>392</v>
      </c>
      <c r="BW474" t="s">
        <v>228</v>
      </c>
      <c r="CH474" t="s">
        <v>229</v>
      </c>
      <c r="CI474" t="s">
        <v>99</v>
      </c>
      <c r="CJ474" t="s">
        <v>226</v>
      </c>
      <c r="CK474" t="s">
        <v>392</v>
      </c>
      <c r="CL474" t="s">
        <v>228</v>
      </c>
      <c r="CM474" t="s">
        <v>234</v>
      </c>
      <c r="CN474" t="s">
        <v>73</v>
      </c>
      <c r="CO474">
        <v>-85.5</v>
      </c>
      <c r="CP474">
        <v>42385023</v>
      </c>
      <c r="CQ474" s="73">
        <v>45369.597615740742</v>
      </c>
      <c r="CR474" t="s">
        <v>229</v>
      </c>
      <c r="CS474" t="s">
        <v>99</v>
      </c>
      <c r="CU474" t="s">
        <v>225</v>
      </c>
    </row>
    <row r="475" spans="1:99">
      <c r="A475" t="s">
        <v>103</v>
      </c>
      <c r="B475" t="s">
        <v>98</v>
      </c>
      <c r="J475" t="s">
        <v>225</v>
      </c>
      <c r="K475" t="s">
        <v>225</v>
      </c>
      <c r="M475" s="73">
        <v>45369.597615740742</v>
      </c>
      <c r="N475">
        <v>42385022</v>
      </c>
      <c r="O475">
        <v>1710</v>
      </c>
      <c r="P475" t="s">
        <v>104</v>
      </c>
      <c r="Q475">
        <v>1710</v>
      </c>
      <c r="R475" t="s">
        <v>104</v>
      </c>
      <c r="S475">
        <v>85.5</v>
      </c>
      <c r="T475" t="s">
        <v>73</v>
      </c>
      <c r="U475" t="s">
        <v>226</v>
      </c>
      <c r="V475" t="s">
        <v>392</v>
      </c>
      <c r="W475" t="s">
        <v>235</v>
      </c>
      <c r="X475" t="s">
        <v>229</v>
      </c>
      <c r="Y475" t="s">
        <v>103</v>
      </c>
      <c r="AD475" t="s">
        <v>104</v>
      </c>
      <c r="AE475">
        <v>1710</v>
      </c>
      <c r="AF475">
        <v>42385022</v>
      </c>
      <c r="AG475" s="73">
        <v>45369.597615740742</v>
      </c>
      <c r="AH475" t="s">
        <v>226</v>
      </c>
      <c r="AI475" t="s">
        <v>392</v>
      </c>
      <c r="AJ475" t="s">
        <v>235</v>
      </c>
      <c r="AK475" t="s">
        <v>229</v>
      </c>
      <c r="AL475" t="s">
        <v>103</v>
      </c>
      <c r="AP475" t="s">
        <v>230</v>
      </c>
      <c r="AQ475" t="s">
        <v>231</v>
      </c>
      <c r="AT475" t="s">
        <v>232</v>
      </c>
      <c r="AU475">
        <v>-99</v>
      </c>
      <c r="AV475" t="s">
        <v>104</v>
      </c>
      <c r="AW475">
        <v>1710</v>
      </c>
      <c r="AX475">
        <v>42385022</v>
      </c>
      <c r="AY475" s="73">
        <v>45369.597615740742</v>
      </c>
      <c r="AZ475" t="s">
        <v>226</v>
      </c>
      <c r="BA475" t="s">
        <v>392</v>
      </c>
      <c r="BB475" t="s">
        <v>235</v>
      </c>
      <c r="BC475" t="s">
        <v>229</v>
      </c>
      <c r="BD475" t="s">
        <v>103</v>
      </c>
      <c r="BI475" t="s">
        <v>233</v>
      </c>
      <c r="BJ475" t="s">
        <v>0</v>
      </c>
      <c r="BK475">
        <v>42384995</v>
      </c>
      <c r="BN475" t="s">
        <v>104</v>
      </c>
      <c r="BO475">
        <v>42385009</v>
      </c>
      <c r="BR475">
        <v>1710</v>
      </c>
      <c r="BS475">
        <v>42385022</v>
      </c>
      <c r="BT475" s="73">
        <v>45369.597615740742</v>
      </c>
      <c r="BU475" t="s">
        <v>226</v>
      </c>
      <c r="BV475" t="s">
        <v>392</v>
      </c>
      <c r="BW475" t="s">
        <v>235</v>
      </c>
      <c r="CH475" t="s">
        <v>229</v>
      </c>
      <c r="CI475" t="s">
        <v>103</v>
      </c>
      <c r="CJ475" t="s">
        <v>226</v>
      </c>
      <c r="CK475" t="s">
        <v>392</v>
      </c>
      <c r="CL475" t="s">
        <v>235</v>
      </c>
      <c r="CM475" t="s">
        <v>236</v>
      </c>
      <c r="CN475" t="s">
        <v>104</v>
      </c>
      <c r="CO475">
        <v>1710</v>
      </c>
      <c r="CP475">
        <v>42385022</v>
      </c>
      <c r="CQ475" s="73">
        <v>45369.597615740742</v>
      </c>
      <c r="CR475" t="s">
        <v>229</v>
      </c>
      <c r="CS475" t="s">
        <v>103</v>
      </c>
      <c r="CU475" t="s">
        <v>225</v>
      </c>
    </row>
    <row r="476" spans="1:99">
      <c r="A476" t="s">
        <v>46</v>
      </c>
      <c r="B476" t="s">
        <v>92</v>
      </c>
      <c r="J476" t="s">
        <v>225</v>
      </c>
      <c r="K476" t="s">
        <v>225</v>
      </c>
      <c r="M476" s="73">
        <v>45369.583333333336</v>
      </c>
      <c r="N476">
        <v>42394084</v>
      </c>
      <c r="O476">
        <v>-612</v>
      </c>
      <c r="P476" t="s">
        <v>45</v>
      </c>
      <c r="Q476">
        <v>-612</v>
      </c>
      <c r="R476" t="s">
        <v>45</v>
      </c>
      <c r="U476" t="s">
        <v>226</v>
      </c>
      <c r="V476" t="s">
        <v>393</v>
      </c>
      <c r="W476" t="s">
        <v>228</v>
      </c>
      <c r="X476" t="s">
        <v>229</v>
      </c>
      <c r="Y476" t="s">
        <v>46</v>
      </c>
      <c r="AD476" t="s">
        <v>45</v>
      </c>
      <c r="AE476">
        <v>-612</v>
      </c>
      <c r="AF476">
        <v>42394084</v>
      </c>
      <c r="AG476" s="73">
        <v>45369.583333333336</v>
      </c>
      <c r="AH476" t="s">
        <v>226</v>
      </c>
      <c r="AI476" t="s">
        <v>393</v>
      </c>
      <c r="AJ476" t="s">
        <v>228</v>
      </c>
      <c r="AK476" t="s">
        <v>229</v>
      </c>
      <c r="AL476" t="s">
        <v>46</v>
      </c>
      <c r="AP476" t="s">
        <v>230</v>
      </c>
      <c r="AQ476" t="s">
        <v>231</v>
      </c>
      <c r="AT476" t="s">
        <v>232</v>
      </c>
      <c r="AU476">
        <v>-99</v>
      </c>
      <c r="AV476" t="s">
        <v>45</v>
      </c>
      <c r="AW476">
        <v>-612</v>
      </c>
      <c r="AX476">
        <v>42394084</v>
      </c>
      <c r="AY476" s="73">
        <v>45369.583333333336</v>
      </c>
      <c r="AZ476" t="s">
        <v>226</v>
      </c>
      <c r="BA476" t="s">
        <v>393</v>
      </c>
      <c r="BB476" t="s">
        <v>228</v>
      </c>
      <c r="BC476" t="s">
        <v>229</v>
      </c>
      <c r="BD476" t="s">
        <v>46</v>
      </c>
      <c r="BI476" t="s">
        <v>233</v>
      </c>
      <c r="BJ476" t="s">
        <v>0</v>
      </c>
      <c r="BK476">
        <v>42394068</v>
      </c>
      <c r="BN476" t="s">
        <v>45</v>
      </c>
      <c r="BR476">
        <v>-612</v>
      </c>
      <c r="BS476">
        <v>42394084</v>
      </c>
      <c r="BT476" s="73">
        <v>45369.583333333336</v>
      </c>
      <c r="BU476" t="s">
        <v>226</v>
      </c>
      <c r="BV476" t="s">
        <v>393</v>
      </c>
      <c r="BW476" t="s">
        <v>228</v>
      </c>
      <c r="CH476" t="s">
        <v>229</v>
      </c>
      <c r="CI476" t="s">
        <v>46</v>
      </c>
      <c r="CJ476" t="s">
        <v>226</v>
      </c>
      <c r="CK476" t="s">
        <v>393</v>
      </c>
      <c r="CL476" t="s">
        <v>228</v>
      </c>
      <c r="CM476" t="s">
        <v>234</v>
      </c>
      <c r="CN476" t="s">
        <v>45</v>
      </c>
      <c r="CO476">
        <v>-612</v>
      </c>
      <c r="CP476">
        <v>42394084</v>
      </c>
      <c r="CQ476" s="73">
        <v>45369.583333333336</v>
      </c>
      <c r="CR476" t="s">
        <v>229</v>
      </c>
      <c r="CS476" t="s">
        <v>46</v>
      </c>
      <c r="CU476" t="s">
        <v>225</v>
      </c>
    </row>
    <row r="477" spans="1:99">
      <c r="A477" t="s">
        <v>111</v>
      </c>
      <c r="B477" t="s">
        <v>77</v>
      </c>
      <c r="J477" t="s">
        <v>225</v>
      </c>
      <c r="K477" t="s">
        <v>225</v>
      </c>
      <c r="M477" s="73">
        <v>45369.583333333336</v>
      </c>
      <c r="N477">
        <v>42394083</v>
      </c>
      <c r="O477">
        <v>-1</v>
      </c>
      <c r="P477" t="s">
        <v>45</v>
      </c>
      <c r="Q477">
        <v>-1</v>
      </c>
      <c r="R477" t="s">
        <v>45</v>
      </c>
      <c r="U477" t="s">
        <v>226</v>
      </c>
      <c r="V477" t="s">
        <v>393</v>
      </c>
      <c r="W477" t="s">
        <v>299</v>
      </c>
      <c r="X477" t="s">
        <v>229</v>
      </c>
      <c r="Y477" t="s">
        <v>111</v>
      </c>
      <c r="AD477" t="s">
        <v>45</v>
      </c>
      <c r="AE477">
        <v>-1</v>
      </c>
      <c r="AF477">
        <v>42394083</v>
      </c>
      <c r="AG477" s="73">
        <v>45369.583333333336</v>
      </c>
      <c r="AH477" t="s">
        <v>226</v>
      </c>
      <c r="AI477" t="s">
        <v>393</v>
      </c>
      <c r="AJ477" t="s">
        <v>299</v>
      </c>
      <c r="AK477" t="s">
        <v>229</v>
      </c>
      <c r="AL477" t="s">
        <v>111</v>
      </c>
      <c r="AP477" t="s">
        <v>230</v>
      </c>
      <c r="AQ477" t="s">
        <v>231</v>
      </c>
      <c r="AT477" t="s">
        <v>232</v>
      </c>
      <c r="AU477">
        <v>42393385</v>
      </c>
      <c r="AV477" t="s">
        <v>45</v>
      </c>
      <c r="AW477">
        <v>-1</v>
      </c>
      <c r="AX477">
        <v>42394083</v>
      </c>
      <c r="AY477" s="73">
        <v>45369.583333333336</v>
      </c>
      <c r="AZ477" t="s">
        <v>226</v>
      </c>
      <c r="BA477" t="s">
        <v>393</v>
      </c>
      <c r="BB477" t="s">
        <v>299</v>
      </c>
      <c r="BC477" t="s">
        <v>229</v>
      </c>
      <c r="BD477" t="s">
        <v>111</v>
      </c>
      <c r="BI477" t="s">
        <v>233</v>
      </c>
      <c r="BJ477" t="s">
        <v>0</v>
      </c>
      <c r="BK477">
        <v>42394068</v>
      </c>
      <c r="BN477" t="s">
        <v>45</v>
      </c>
      <c r="BO477">
        <v>42394076</v>
      </c>
      <c r="BR477">
        <v>-1</v>
      </c>
      <c r="BS477">
        <v>42394083</v>
      </c>
      <c r="BT477" s="73">
        <v>45369.583333333336</v>
      </c>
      <c r="BU477" t="s">
        <v>226</v>
      </c>
      <c r="BV477" t="s">
        <v>393</v>
      </c>
      <c r="BW477" t="s">
        <v>299</v>
      </c>
      <c r="CH477" t="s">
        <v>229</v>
      </c>
      <c r="CI477" t="s">
        <v>111</v>
      </c>
      <c r="CJ477" t="s">
        <v>226</v>
      </c>
      <c r="CK477" t="s">
        <v>393</v>
      </c>
      <c r="CL477" t="s">
        <v>299</v>
      </c>
      <c r="CM477" t="s">
        <v>300</v>
      </c>
      <c r="CN477" t="s">
        <v>45</v>
      </c>
      <c r="CO477">
        <v>-1</v>
      </c>
      <c r="CP477">
        <v>42394083</v>
      </c>
      <c r="CQ477" s="73">
        <v>45369.583333333336</v>
      </c>
      <c r="CR477" t="s">
        <v>229</v>
      </c>
      <c r="CS477" t="s">
        <v>111</v>
      </c>
      <c r="CU477" t="s">
        <v>225</v>
      </c>
    </row>
    <row r="478" spans="1:99">
      <c r="A478" t="s">
        <v>46</v>
      </c>
      <c r="B478" t="s">
        <v>92</v>
      </c>
      <c r="J478" t="s">
        <v>225</v>
      </c>
      <c r="K478" t="s">
        <v>225</v>
      </c>
      <c r="M478" s="73">
        <v>45369.583333333336</v>
      </c>
      <c r="N478">
        <v>42394082</v>
      </c>
      <c r="O478">
        <v>611</v>
      </c>
      <c r="P478" t="s">
        <v>45</v>
      </c>
      <c r="Q478">
        <v>611</v>
      </c>
      <c r="R478" t="s">
        <v>45</v>
      </c>
      <c r="U478" t="s">
        <v>226</v>
      </c>
      <c r="V478" t="s">
        <v>393</v>
      </c>
      <c r="W478" t="s">
        <v>251</v>
      </c>
      <c r="X478" t="s">
        <v>229</v>
      </c>
      <c r="Y478" t="s">
        <v>46</v>
      </c>
      <c r="AD478" t="s">
        <v>45</v>
      </c>
      <c r="AE478">
        <v>611</v>
      </c>
      <c r="AF478">
        <v>42394082</v>
      </c>
      <c r="AG478" s="73">
        <v>45369.583333333336</v>
      </c>
      <c r="AH478" t="s">
        <v>226</v>
      </c>
      <c r="AI478" t="s">
        <v>393</v>
      </c>
      <c r="AJ478" t="s">
        <v>251</v>
      </c>
      <c r="AK478" t="s">
        <v>229</v>
      </c>
      <c r="AL478" t="s">
        <v>46</v>
      </c>
      <c r="AP478" t="s">
        <v>230</v>
      </c>
      <c r="AQ478" t="s">
        <v>231</v>
      </c>
      <c r="AT478" t="s">
        <v>232</v>
      </c>
      <c r="AU478">
        <v>42393388</v>
      </c>
      <c r="AV478" t="s">
        <v>45</v>
      </c>
      <c r="AW478">
        <v>611</v>
      </c>
      <c r="AX478">
        <v>42394082</v>
      </c>
      <c r="AY478" s="73">
        <v>45369.583333333336</v>
      </c>
      <c r="AZ478" t="s">
        <v>226</v>
      </c>
      <c r="BA478" t="s">
        <v>393</v>
      </c>
      <c r="BB478" t="s">
        <v>251</v>
      </c>
      <c r="BC478" t="s">
        <v>229</v>
      </c>
      <c r="BD478" t="s">
        <v>46</v>
      </c>
      <c r="BI478" t="s">
        <v>233</v>
      </c>
      <c r="BJ478" t="s">
        <v>0</v>
      </c>
      <c r="BK478">
        <v>42394068</v>
      </c>
      <c r="BN478" t="s">
        <v>45</v>
      </c>
      <c r="BR478">
        <v>611</v>
      </c>
      <c r="BS478">
        <v>42394082</v>
      </c>
      <c r="BT478" s="73">
        <v>45369.583333333336</v>
      </c>
      <c r="BU478" t="s">
        <v>226</v>
      </c>
      <c r="BV478" t="s">
        <v>393</v>
      </c>
      <c r="BW478" t="s">
        <v>251</v>
      </c>
      <c r="CH478" t="s">
        <v>229</v>
      </c>
      <c r="CI478" t="s">
        <v>46</v>
      </c>
      <c r="CJ478" t="s">
        <v>226</v>
      </c>
      <c r="CK478" t="s">
        <v>393</v>
      </c>
      <c r="CL478" t="s">
        <v>251</v>
      </c>
      <c r="CM478" t="s">
        <v>252</v>
      </c>
      <c r="CN478" t="s">
        <v>45</v>
      </c>
      <c r="CO478">
        <v>611</v>
      </c>
      <c r="CP478">
        <v>42394082</v>
      </c>
      <c r="CQ478" s="73">
        <v>45369.583333333336</v>
      </c>
      <c r="CR478" t="s">
        <v>229</v>
      </c>
      <c r="CS478" t="s">
        <v>46</v>
      </c>
      <c r="CU478" t="s">
        <v>225</v>
      </c>
    </row>
    <row r="479" spans="1:99">
      <c r="A479" t="s">
        <v>111</v>
      </c>
      <c r="B479" t="s">
        <v>77</v>
      </c>
      <c r="J479" t="s">
        <v>225</v>
      </c>
      <c r="K479" t="s">
        <v>225</v>
      </c>
      <c r="M479" s="73">
        <v>45369.583333333336</v>
      </c>
      <c r="N479">
        <v>42394081</v>
      </c>
      <c r="O479">
        <v>2</v>
      </c>
      <c r="P479" t="s">
        <v>45</v>
      </c>
      <c r="Q479">
        <v>2</v>
      </c>
      <c r="R479" t="s">
        <v>45</v>
      </c>
      <c r="U479" t="s">
        <v>226</v>
      </c>
      <c r="V479" t="s">
        <v>393</v>
      </c>
      <c r="W479" t="s">
        <v>237</v>
      </c>
      <c r="X479" t="s">
        <v>229</v>
      </c>
      <c r="Y479" t="s">
        <v>111</v>
      </c>
      <c r="AD479" t="s">
        <v>45</v>
      </c>
      <c r="AE479">
        <v>2</v>
      </c>
      <c r="AF479">
        <v>42394081</v>
      </c>
      <c r="AG479" s="73">
        <v>45369.583333333336</v>
      </c>
      <c r="AH479" t="s">
        <v>226</v>
      </c>
      <c r="AI479" t="s">
        <v>393</v>
      </c>
      <c r="AJ479" t="s">
        <v>237</v>
      </c>
      <c r="AK479" t="s">
        <v>229</v>
      </c>
      <c r="AL479" t="s">
        <v>111</v>
      </c>
      <c r="AP479" t="s">
        <v>230</v>
      </c>
      <c r="AQ479" t="s">
        <v>231</v>
      </c>
      <c r="AT479" t="s">
        <v>232</v>
      </c>
      <c r="AU479">
        <v>-99</v>
      </c>
      <c r="AV479" t="s">
        <v>45</v>
      </c>
      <c r="AW479">
        <v>2</v>
      </c>
      <c r="AX479">
        <v>42394081</v>
      </c>
      <c r="AY479" s="73">
        <v>45369.583333333336</v>
      </c>
      <c r="AZ479" t="s">
        <v>226</v>
      </c>
      <c r="BA479" t="s">
        <v>393</v>
      </c>
      <c r="BB479" t="s">
        <v>237</v>
      </c>
      <c r="BC479" t="s">
        <v>229</v>
      </c>
      <c r="BD479" t="s">
        <v>111</v>
      </c>
      <c r="BI479" t="s">
        <v>233</v>
      </c>
      <c r="BJ479" t="s">
        <v>0</v>
      </c>
      <c r="BK479">
        <v>42394068</v>
      </c>
      <c r="BN479" t="s">
        <v>45</v>
      </c>
      <c r="BO479">
        <v>42394074</v>
      </c>
      <c r="BR479">
        <v>2</v>
      </c>
      <c r="BS479">
        <v>42394081</v>
      </c>
      <c r="BT479" s="73">
        <v>45369.583333333336</v>
      </c>
      <c r="BU479" t="s">
        <v>226</v>
      </c>
      <c r="BV479" t="s">
        <v>393</v>
      </c>
      <c r="BW479" t="s">
        <v>237</v>
      </c>
      <c r="CH479" t="s">
        <v>229</v>
      </c>
      <c r="CI479" t="s">
        <v>111</v>
      </c>
      <c r="CJ479" t="s">
        <v>226</v>
      </c>
      <c r="CK479" t="s">
        <v>393</v>
      </c>
      <c r="CL479" t="s">
        <v>237</v>
      </c>
      <c r="CM479" t="s">
        <v>236</v>
      </c>
      <c r="CN479" t="s">
        <v>45</v>
      </c>
      <c r="CO479">
        <v>2</v>
      </c>
      <c r="CP479">
        <v>42394081</v>
      </c>
      <c r="CQ479" s="73">
        <v>45369.583333333336</v>
      </c>
      <c r="CR479" t="s">
        <v>229</v>
      </c>
      <c r="CS479" t="s">
        <v>111</v>
      </c>
      <c r="CU479" t="s">
        <v>225</v>
      </c>
    </row>
    <row r="480" spans="1:99">
      <c r="A480" t="s">
        <v>46</v>
      </c>
      <c r="B480" t="s">
        <v>92</v>
      </c>
      <c r="J480" t="s">
        <v>225</v>
      </c>
      <c r="K480" t="s">
        <v>225</v>
      </c>
      <c r="M480" s="73">
        <v>45369.583333333336</v>
      </c>
      <c r="N480">
        <v>42393388</v>
      </c>
      <c r="O480">
        <v>-611</v>
      </c>
      <c r="P480" t="s">
        <v>45</v>
      </c>
      <c r="Q480">
        <v>-611</v>
      </c>
      <c r="R480" t="s">
        <v>45</v>
      </c>
      <c r="U480" t="s">
        <v>226</v>
      </c>
      <c r="V480" t="s">
        <v>393</v>
      </c>
      <c r="W480" t="s">
        <v>228</v>
      </c>
      <c r="X480" t="s">
        <v>229</v>
      </c>
      <c r="Y480" t="s">
        <v>46</v>
      </c>
      <c r="AD480" t="s">
        <v>45</v>
      </c>
      <c r="AE480">
        <v>-611</v>
      </c>
      <c r="AF480">
        <v>42393388</v>
      </c>
      <c r="AG480" s="73">
        <v>45369.583333333336</v>
      </c>
      <c r="AH480" t="s">
        <v>226</v>
      </c>
      <c r="AI480" t="s">
        <v>393</v>
      </c>
      <c r="AJ480" t="s">
        <v>228</v>
      </c>
      <c r="AK480" t="s">
        <v>229</v>
      </c>
      <c r="AL480" t="s">
        <v>46</v>
      </c>
      <c r="AP480" t="s">
        <v>230</v>
      </c>
      <c r="AQ480" t="s">
        <v>231</v>
      </c>
      <c r="AT480" t="s">
        <v>232</v>
      </c>
      <c r="AU480">
        <v>-99</v>
      </c>
      <c r="AV480" t="s">
        <v>45</v>
      </c>
      <c r="AW480">
        <v>-611</v>
      </c>
      <c r="AX480">
        <v>42393388</v>
      </c>
      <c r="AY480" s="73">
        <v>45369.583333333336</v>
      </c>
      <c r="AZ480" t="s">
        <v>226</v>
      </c>
      <c r="BA480" t="s">
        <v>393</v>
      </c>
      <c r="BB480" t="s">
        <v>228</v>
      </c>
      <c r="BC480" t="s">
        <v>229</v>
      </c>
      <c r="BD480" t="s">
        <v>46</v>
      </c>
      <c r="BI480" t="s">
        <v>233</v>
      </c>
      <c r="BJ480" t="s">
        <v>0</v>
      </c>
      <c r="BK480">
        <v>42393372</v>
      </c>
      <c r="BN480" t="s">
        <v>45</v>
      </c>
      <c r="BR480">
        <v>-611</v>
      </c>
      <c r="BS480">
        <v>42393388</v>
      </c>
      <c r="BT480" s="73">
        <v>45369.583333333336</v>
      </c>
      <c r="BU480" t="s">
        <v>226</v>
      </c>
      <c r="BV480" t="s">
        <v>393</v>
      </c>
      <c r="BW480" t="s">
        <v>228</v>
      </c>
      <c r="CH480" t="s">
        <v>229</v>
      </c>
      <c r="CI480" t="s">
        <v>46</v>
      </c>
      <c r="CJ480" t="s">
        <v>226</v>
      </c>
      <c r="CK480" t="s">
        <v>393</v>
      </c>
      <c r="CL480" t="s">
        <v>228</v>
      </c>
      <c r="CM480" t="s">
        <v>234</v>
      </c>
      <c r="CN480" t="s">
        <v>45</v>
      </c>
      <c r="CO480">
        <v>-611</v>
      </c>
      <c r="CP480">
        <v>42393388</v>
      </c>
      <c r="CQ480" s="73">
        <v>45369.583333333336</v>
      </c>
      <c r="CR480" t="s">
        <v>229</v>
      </c>
      <c r="CS480" t="s">
        <v>46</v>
      </c>
      <c r="CU480" t="s">
        <v>225</v>
      </c>
    </row>
    <row r="481" spans="1:99">
      <c r="A481" t="s">
        <v>93</v>
      </c>
      <c r="B481" t="s">
        <v>98</v>
      </c>
      <c r="J481" t="s">
        <v>225</v>
      </c>
      <c r="K481" t="s">
        <v>225</v>
      </c>
      <c r="M481" s="73">
        <v>45369.583333333336</v>
      </c>
      <c r="N481">
        <v>42393387</v>
      </c>
      <c r="O481">
        <v>-30.5</v>
      </c>
      <c r="P481" t="s">
        <v>73</v>
      </c>
      <c r="Q481">
        <v>-30.5</v>
      </c>
      <c r="R481" t="s">
        <v>73</v>
      </c>
      <c r="U481" t="s">
        <v>226</v>
      </c>
      <c r="V481" t="s">
        <v>393</v>
      </c>
      <c r="W481" t="s">
        <v>228</v>
      </c>
      <c r="X481" t="s">
        <v>229</v>
      </c>
      <c r="Y481" t="s">
        <v>93</v>
      </c>
      <c r="AD481" t="s">
        <v>73</v>
      </c>
      <c r="AE481">
        <v>-30.5</v>
      </c>
      <c r="AF481">
        <v>42393387</v>
      </c>
      <c r="AG481" s="73">
        <v>45369.583333333336</v>
      </c>
      <c r="AH481" t="s">
        <v>226</v>
      </c>
      <c r="AI481" t="s">
        <v>393</v>
      </c>
      <c r="AJ481" t="s">
        <v>228</v>
      </c>
      <c r="AK481" t="s">
        <v>229</v>
      </c>
      <c r="AL481" t="s">
        <v>93</v>
      </c>
      <c r="AP481" t="s">
        <v>230</v>
      </c>
      <c r="AQ481" t="s">
        <v>231</v>
      </c>
      <c r="AT481" t="s">
        <v>232</v>
      </c>
      <c r="AU481">
        <v>-99</v>
      </c>
      <c r="AV481" t="s">
        <v>73</v>
      </c>
      <c r="AW481">
        <v>-30.5</v>
      </c>
      <c r="AX481">
        <v>42393387</v>
      </c>
      <c r="AY481" s="73">
        <v>45369.583333333336</v>
      </c>
      <c r="AZ481" t="s">
        <v>226</v>
      </c>
      <c r="BA481" t="s">
        <v>393</v>
      </c>
      <c r="BB481" t="s">
        <v>228</v>
      </c>
      <c r="BC481" t="s">
        <v>229</v>
      </c>
      <c r="BD481" t="s">
        <v>93</v>
      </c>
      <c r="BI481" t="s">
        <v>233</v>
      </c>
      <c r="BJ481" t="s">
        <v>0</v>
      </c>
      <c r="BK481">
        <v>42393372</v>
      </c>
      <c r="BN481" t="s">
        <v>73</v>
      </c>
      <c r="BR481">
        <v>-30.5</v>
      </c>
      <c r="BS481">
        <v>42393387</v>
      </c>
      <c r="BT481" s="73">
        <v>45369.583333333336</v>
      </c>
      <c r="BU481" t="s">
        <v>226</v>
      </c>
      <c r="BV481" t="s">
        <v>393</v>
      </c>
      <c r="BW481" t="s">
        <v>228</v>
      </c>
      <c r="CH481" t="s">
        <v>229</v>
      </c>
      <c r="CI481" t="s">
        <v>93</v>
      </c>
      <c r="CJ481" t="s">
        <v>226</v>
      </c>
      <c r="CK481" t="s">
        <v>393</v>
      </c>
      <c r="CL481" t="s">
        <v>228</v>
      </c>
      <c r="CM481" t="s">
        <v>234</v>
      </c>
      <c r="CN481" t="s">
        <v>73</v>
      </c>
      <c r="CO481">
        <v>-30.5</v>
      </c>
      <c r="CP481">
        <v>42393387</v>
      </c>
      <c r="CQ481" s="73">
        <v>45369.583333333336</v>
      </c>
      <c r="CR481" t="s">
        <v>229</v>
      </c>
      <c r="CS481" t="s">
        <v>93</v>
      </c>
      <c r="CU481" t="s">
        <v>225</v>
      </c>
    </row>
    <row r="482" spans="1:99">
      <c r="A482" t="s">
        <v>108</v>
      </c>
      <c r="B482" t="s">
        <v>98</v>
      </c>
      <c r="J482" t="s">
        <v>225</v>
      </c>
      <c r="K482" t="s">
        <v>225</v>
      </c>
      <c r="M482" s="73">
        <v>45369.583333333336</v>
      </c>
      <c r="N482">
        <v>42393386</v>
      </c>
      <c r="O482">
        <v>610</v>
      </c>
      <c r="P482" t="s">
        <v>104</v>
      </c>
      <c r="Q482">
        <v>610</v>
      </c>
      <c r="R482" t="s">
        <v>104</v>
      </c>
      <c r="S482">
        <v>30.5</v>
      </c>
      <c r="T482" t="s">
        <v>73</v>
      </c>
      <c r="U482" t="s">
        <v>226</v>
      </c>
      <c r="V482" t="s">
        <v>393</v>
      </c>
      <c r="W482" t="s">
        <v>235</v>
      </c>
      <c r="X482" t="s">
        <v>229</v>
      </c>
      <c r="Y482" t="s">
        <v>108</v>
      </c>
      <c r="AD482" t="s">
        <v>104</v>
      </c>
      <c r="AE482">
        <v>610</v>
      </c>
      <c r="AF482">
        <v>42393386</v>
      </c>
      <c r="AG482" s="73">
        <v>45369.583333333336</v>
      </c>
      <c r="AH482" t="s">
        <v>226</v>
      </c>
      <c r="AI482" t="s">
        <v>393</v>
      </c>
      <c r="AJ482" t="s">
        <v>235</v>
      </c>
      <c r="AK482" t="s">
        <v>229</v>
      </c>
      <c r="AL482" t="s">
        <v>108</v>
      </c>
      <c r="AP482" t="s">
        <v>230</v>
      </c>
      <c r="AQ482" t="s">
        <v>231</v>
      </c>
      <c r="AT482" t="s">
        <v>232</v>
      </c>
      <c r="AU482">
        <v>-99</v>
      </c>
      <c r="AV482" t="s">
        <v>104</v>
      </c>
      <c r="AW482">
        <v>610</v>
      </c>
      <c r="AX482">
        <v>42393386</v>
      </c>
      <c r="AY482" s="73">
        <v>45369.583333333336</v>
      </c>
      <c r="AZ482" t="s">
        <v>226</v>
      </c>
      <c r="BA482" t="s">
        <v>393</v>
      </c>
      <c r="BB482" t="s">
        <v>235</v>
      </c>
      <c r="BC482" t="s">
        <v>229</v>
      </c>
      <c r="BD482" t="s">
        <v>108</v>
      </c>
      <c r="BI482" t="s">
        <v>233</v>
      </c>
      <c r="BJ482" t="s">
        <v>0</v>
      </c>
      <c r="BK482">
        <v>42393372</v>
      </c>
      <c r="BN482" t="s">
        <v>104</v>
      </c>
      <c r="BO482">
        <v>42393378</v>
      </c>
      <c r="BR482">
        <v>610</v>
      </c>
      <c r="BS482">
        <v>42393386</v>
      </c>
      <c r="BT482" s="73">
        <v>45369.583333333336</v>
      </c>
      <c r="BU482" t="s">
        <v>226</v>
      </c>
      <c r="BV482" t="s">
        <v>393</v>
      </c>
      <c r="BW482" t="s">
        <v>235</v>
      </c>
      <c r="CH482" t="s">
        <v>229</v>
      </c>
      <c r="CI482" t="s">
        <v>108</v>
      </c>
      <c r="CJ482" t="s">
        <v>226</v>
      </c>
      <c r="CK482" t="s">
        <v>393</v>
      </c>
      <c r="CL482" t="s">
        <v>235</v>
      </c>
      <c r="CM482" t="s">
        <v>236</v>
      </c>
      <c r="CN482" t="s">
        <v>104</v>
      </c>
      <c r="CO482">
        <v>610</v>
      </c>
      <c r="CP482">
        <v>42393386</v>
      </c>
      <c r="CQ482" s="73">
        <v>45369.583333333336</v>
      </c>
      <c r="CR482" t="s">
        <v>229</v>
      </c>
      <c r="CS482" t="s">
        <v>108</v>
      </c>
      <c r="CU482" t="s">
        <v>225</v>
      </c>
    </row>
    <row r="483" spans="1:99">
      <c r="A483" t="s">
        <v>111</v>
      </c>
      <c r="B483" t="s">
        <v>77</v>
      </c>
      <c r="J483" t="s">
        <v>225</v>
      </c>
      <c r="K483" t="s">
        <v>225</v>
      </c>
      <c r="M483" s="73">
        <v>45369.583333333336</v>
      </c>
      <c r="N483">
        <v>42393385</v>
      </c>
      <c r="O483">
        <v>1</v>
      </c>
      <c r="P483" t="s">
        <v>45</v>
      </c>
      <c r="Q483">
        <v>1</v>
      </c>
      <c r="R483" t="s">
        <v>45</v>
      </c>
      <c r="U483" t="s">
        <v>226</v>
      </c>
      <c r="V483" t="s">
        <v>393</v>
      </c>
      <c r="W483" t="s">
        <v>237</v>
      </c>
      <c r="X483" t="s">
        <v>229</v>
      </c>
      <c r="Y483" t="s">
        <v>111</v>
      </c>
      <c r="AD483" t="s">
        <v>45</v>
      </c>
      <c r="AE483">
        <v>1</v>
      </c>
      <c r="AF483">
        <v>42393385</v>
      </c>
      <c r="AG483" s="73">
        <v>45369.583333333336</v>
      </c>
      <c r="AH483" t="s">
        <v>226</v>
      </c>
      <c r="AI483" t="s">
        <v>393</v>
      </c>
      <c r="AJ483" t="s">
        <v>237</v>
      </c>
      <c r="AK483" t="s">
        <v>229</v>
      </c>
      <c r="AL483" t="s">
        <v>111</v>
      </c>
      <c r="AP483" t="s">
        <v>230</v>
      </c>
      <c r="AQ483" t="s">
        <v>231</v>
      </c>
      <c r="AT483" t="s">
        <v>232</v>
      </c>
      <c r="AU483">
        <v>-99</v>
      </c>
      <c r="AV483" t="s">
        <v>45</v>
      </c>
      <c r="AW483">
        <v>1</v>
      </c>
      <c r="AX483">
        <v>42393385</v>
      </c>
      <c r="AY483" s="73">
        <v>45369.583333333336</v>
      </c>
      <c r="AZ483" t="s">
        <v>226</v>
      </c>
      <c r="BA483" t="s">
        <v>393</v>
      </c>
      <c r="BB483" t="s">
        <v>237</v>
      </c>
      <c r="BC483" t="s">
        <v>229</v>
      </c>
      <c r="BD483" t="s">
        <v>111</v>
      </c>
      <c r="BI483" t="s">
        <v>233</v>
      </c>
      <c r="BJ483" t="s">
        <v>0</v>
      </c>
      <c r="BK483">
        <v>42393372</v>
      </c>
      <c r="BN483" t="s">
        <v>45</v>
      </c>
      <c r="BO483">
        <v>42393380</v>
      </c>
      <c r="BR483">
        <v>1</v>
      </c>
      <c r="BS483">
        <v>42393385</v>
      </c>
      <c r="BT483" s="73">
        <v>45369.583333333336</v>
      </c>
      <c r="BU483" t="s">
        <v>226</v>
      </c>
      <c r="BV483" t="s">
        <v>393</v>
      </c>
      <c r="BW483" t="s">
        <v>237</v>
      </c>
      <c r="CH483" t="s">
        <v>229</v>
      </c>
      <c r="CI483" t="s">
        <v>111</v>
      </c>
      <c r="CJ483" t="s">
        <v>226</v>
      </c>
      <c r="CK483" t="s">
        <v>393</v>
      </c>
      <c r="CL483" t="s">
        <v>237</v>
      </c>
      <c r="CM483" t="s">
        <v>236</v>
      </c>
      <c r="CN483" t="s">
        <v>45</v>
      </c>
      <c r="CO483">
        <v>1</v>
      </c>
      <c r="CP483">
        <v>42393385</v>
      </c>
      <c r="CQ483" s="73">
        <v>45369.583333333336</v>
      </c>
      <c r="CR483" t="s">
        <v>229</v>
      </c>
      <c r="CS483" t="s">
        <v>111</v>
      </c>
      <c r="CU483" t="s">
        <v>225</v>
      </c>
    </row>
    <row r="484" spans="1:99">
      <c r="A484" t="s">
        <v>42</v>
      </c>
      <c r="B484" t="s">
        <v>92</v>
      </c>
      <c r="J484" t="s">
        <v>225</v>
      </c>
      <c r="K484" t="s">
        <v>225</v>
      </c>
      <c r="M484" s="73">
        <v>45368.938888888886</v>
      </c>
      <c r="N484">
        <v>42378911</v>
      </c>
      <c r="O484">
        <v>-5654</v>
      </c>
      <c r="P484" t="s">
        <v>45</v>
      </c>
      <c r="Q484">
        <v>-5654</v>
      </c>
      <c r="R484" t="s">
        <v>45</v>
      </c>
      <c r="U484" t="s">
        <v>226</v>
      </c>
      <c r="V484" t="s">
        <v>394</v>
      </c>
      <c r="W484" t="s">
        <v>228</v>
      </c>
      <c r="X484" t="s">
        <v>229</v>
      </c>
      <c r="Y484" t="s">
        <v>42</v>
      </c>
      <c r="AD484" t="s">
        <v>45</v>
      </c>
      <c r="AE484">
        <v>-5654</v>
      </c>
      <c r="AF484">
        <v>42378911</v>
      </c>
      <c r="AG484" s="73">
        <v>45368.938888888886</v>
      </c>
      <c r="AH484" t="s">
        <v>226</v>
      </c>
      <c r="AI484" t="s">
        <v>394</v>
      </c>
      <c r="AJ484" t="s">
        <v>228</v>
      </c>
      <c r="AK484" t="s">
        <v>229</v>
      </c>
      <c r="AL484" t="s">
        <v>42</v>
      </c>
      <c r="AP484" t="s">
        <v>230</v>
      </c>
      <c r="AQ484" t="s">
        <v>231</v>
      </c>
      <c r="AT484" t="s">
        <v>232</v>
      </c>
      <c r="AU484">
        <v>-99</v>
      </c>
      <c r="AV484" t="s">
        <v>45</v>
      </c>
      <c r="AW484">
        <v>-5654</v>
      </c>
      <c r="AX484">
        <v>42378911</v>
      </c>
      <c r="AY484" s="73">
        <v>45368.938888888886</v>
      </c>
      <c r="AZ484" t="s">
        <v>226</v>
      </c>
      <c r="BA484" t="s">
        <v>394</v>
      </c>
      <c r="BB484" t="s">
        <v>228</v>
      </c>
      <c r="BC484" t="s">
        <v>229</v>
      </c>
      <c r="BD484" t="s">
        <v>42</v>
      </c>
      <c r="BI484" t="s">
        <v>233</v>
      </c>
      <c r="BJ484" t="s">
        <v>0</v>
      </c>
      <c r="BK484">
        <v>42378895</v>
      </c>
      <c r="BN484" t="s">
        <v>45</v>
      </c>
      <c r="BR484">
        <v>-5654</v>
      </c>
      <c r="BS484">
        <v>42378911</v>
      </c>
      <c r="BT484" s="73">
        <v>45368.938888888886</v>
      </c>
      <c r="BU484" t="s">
        <v>226</v>
      </c>
      <c r="BV484" t="s">
        <v>394</v>
      </c>
      <c r="BW484" t="s">
        <v>228</v>
      </c>
      <c r="CH484" t="s">
        <v>229</v>
      </c>
      <c r="CI484" t="s">
        <v>42</v>
      </c>
      <c r="CJ484" t="s">
        <v>226</v>
      </c>
      <c r="CK484" t="s">
        <v>394</v>
      </c>
      <c r="CL484" t="s">
        <v>228</v>
      </c>
      <c r="CM484" t="s">
        <v>234</v>
      </c>
      <c r="CN484" t="s">
        <v>45</v>
      </c>
      <c r="CO484">
        <v>-5654</v>
      </c>
      <c r="CP484">
        <v>42378911</v>
      </c>
      <c r="CQ484" s="73">
        <v>45368.938888888886</v>
      </c>
      <c r="CR484" t="s">
        <v>229</v>
      </c>
      <c r="CS484" t="s">
        <v>42</v>
      </c>
      <c r="CU484" t="s">
        <v>225</v>
      </c>
    </row>
    <row r="485" spans="1:99">
      <c r="A485" t="s">
        <v>99</v>
      </c>
      <c r="B485" t="s">
        <v>98</v>
      </c>
      <c r="J485" t="s">
        <v>225</v>
      </c>
      <c r="K485" t="s">
        <v>225</v>
      </c>
      <c r="M485" s="73">
        <v>45368.938888888886</v>
      </c>
      <c r="N485">
        <v>42378910</v>
      </c>
      <c r="O485">
        <v>-282.5</v>
      </c>
      <c r="P485" t="s">
        <v>73</v>
      </c>
      <c r="Q485">
        <v>-282.5</v>
      </c>
      <c r="R485" t="s">
        <v>73</v>
      </c>
      <c r="U485" t="s">
        <v>226</v>
      </c>
      <c r="V485" t="s">
        <v>394</v>
      </c>
      <c r="W485" t="s">
        <v>228</v>
      </c>
      <c r="X485" t="s">
        <v>229</v>
      </c>
      <c r="Y485" t="s">
        <v>99</v>
      </c>
      <c r="AD485" t="s">
        <v>73</v>
      </c>
      <c r="AE485">
        <v>-282.5</v>
      </c>
      <c r="AF485">
        <v>42378910</v>
      </c>
      <c r="AG485" s="73">
        <v>45368.938888888886</v>
      </c>
      <c r="AH485" t="s">
        <v>226</v>
      </c>
      <c r="AI485" t="s">
        <v>394</v>
      </c>
      <c r="AJ485" t="s">
        <v>228</v>
      </c>
      <c r="AK485" t="s">
        <v>229</v>
      </c>
      <c r="AL485" t="s">
        <v>99</v>
      </c>
      <c r="AP485" t="s">
        <v>230</v>
      </c>
      <c r="AQ485" t="s">
        <v>231</v>
      </c>
      <c r="AT485" t="s">
        <v>232</v>
      </c>
      <c r="AU485">
        <v>-99</v>
      </c>
      <c r="AV485" t="s">
        <v>73</v>
      </c>
      <c r="AW485">
        <v>-282.5</v>
      </c>
      <c r="AX485">
        <v>42378910</v>
      </c>
      <c r="AY485" s="73">
        <v>45368.938888888886</v>
      </c>
      <c r="AZ485" t="s">
        <v>226</v>
      </c>
      <c r="BA485" t="s">
        <v>394</v>
      </c>
      <c r="BB485" t="s">
        <v>228</v>
      </c>
      <c r="BC485" t="s">
        <v>229</v>
      </c>
      <c r="BD485" t="s">
        <v>99</v>
      </c>
      <c r="BI485" t="s">
        <v>233</v>
      </c>
      <c r="BJ485" t="s">
        <v>0</v>
      </c>
      <c r="BK485">
        <v>42378895</v>
      </c>
      <c r="BN485" t="s">
        <v>73</v>
      </c>
      <c r="BR485">
        <v>-282.5</v>
      </c>
      <c r="BS485">
        <v>42378910</v>
      </c>
      <c r="BT485" s="73">
        <v>45368.938888888886</v>
      </c>
      <c r="BU485" t="s">
        <v>226</v>
      </c>
      <c r="BV485" t="s">
        <v>394</v>
      </c>
      <c r="BW485" t="s">
        <v>228</v>
      </c>
      <c r="CH485" t="s">
        <v>229</v>
      </c>
      <c r="CI485" t="s">
        <v>99</v>
      </c>
      <c r="CJ485" t="s">
        <v>226</v>
      </c>
      <c r="CK485" t="s">
        <v>394</v>
      </c>
      <c r="CL485" t="s">
        <v>228</v>
      </c>
      <c r="CM485" t="s">
        <v>234</v>
      </c>
      <c r="CN485" t="s">
        <v>73</v>
      </c>
      <c r="CO485">
        <v>-282.5</v>
      </c>
      <c r="CP485">
        <v>42378910</v>
      </c>
      <c r="CQ485" s="73">
        <v>45368.938888888886</v>
      </c>
      <c r="CR485" t="s">
        <v>229</v>
      </c>
      <c r="CS485" t="s">
        <v>99</v>
      </c>
      <c r="CU485" t="s">
        <v>225</v>
      </c>
    </row>
    <row r="486" spans="1:99">
      <c r="A486" t="s">
        <v>103</v>
      </c>
      <c r="B486" t="s">
        <v>98</v>
      </c>
      <c r="J486" t="s">
        <v>225</v>
      </c>
      <c r="K486" t="s">
        <v>225</v>
      </c>
      <c r="M486" s="73">
        <v>45368.938888888886</v>
      </c>
      <c r="N486">
        <v>42378909</v>
      </c>
      <c r="O486">
        <v>5650</v>
      </c>
      <c r="P486" t="s">
        <v>104</v>
      </c>
      <c r="Q486">
        <v>5650</v>
      </c>
      <c r="R486" t="s">
        <v>104</v>
      </c>
      <c r="S486">
        <v>282.5</v>
      </c>
      <c r="T486" t="s">
        <v>73</v>
      </c>
      <c r="U486" t="s">
        <v>226</v>
      </c>
      <c r="V486" t="s">
        <v>394</v>
      </c>
      <c r="W486" t="s">
        <v>235</v>
      </c>
      <c r="X486" t="s">
        <v>229</v>
      </c>
      <c r="Y486" t="s">
        <v>103</v>
      </c>
      <c r="AD486" t="s">
        <v>104</v>
      </c>
      <c r="AE486">
        <v>5650</v>
      </c>
      <c r="AF486">
        <v>42378909</v>
      </c>
      <c r="AG486" s="73">
        <v>45368.938888888886</v>
      </c>
      <c r="AH486" t="s">
        <v>226</v>
      </c>
      <c r="AI486" t="s">
        <v>394</v>
      </c>
      <c r="AJ486" t="s">
        <v>235</v>
      </c>
      <c r="AK486" t="s">
        <v>229</v>
      </c>
      <c r="AL486" t="s">
        <v>103</v>
      </c>
      <c r="AP486" t="s">
        <v>230</v>
      </c>
      <c r="AQ486" t="s">
        <v>231</v>
      </c>
      <c r="AT486" t="s">
        <v>232</v>
      </c>
      <c r="AU486">
        <v>-99</v>
      </c>
      <c r="AV486" t="s">
        <v>104</v>
      </c>
      <c r="AW486">
        <v>5650</v>
      </c>
      <c r="AX486">
        <v>42378909</v>
      </c>
      <c r="AY486" s="73">
        <v>45368.938888888886</v>
      </c>
      <c r="AZ486" t="s">
        <v>226</v>
      </c>
      <c r="BA486" t="s">
        <v>394</v>
      </c>
      <c r="BB486" t="s">
        <v>235</v>
      </c>
      <c r="BC486" t="s">
        <v>229</v>
      </c>
      <c r="BD486" t="s">
        <v>103</v>
      </c>
      <c r="BI486" t="s">
        <v>233</v>
      </c>
      <c r="BJ486" t="s">
        <v>0</v>
      </c>
      <c r="BK486">
        <v>42378895</v>
      </c>
      <c r="BN486" t="s">
        <v>104</v>
      </c>
      <c r="BO486">
        <v>42378901</v>
      </c>
      <c r="BR486">
        <v>5650</v>
      </c>
      <c r="BS486">
        <v>42378909</v>
      </c>
      <c r="BT486" s="73">
        <v>45368.938888888886</v>
      </c>
      <c r="BU486" t="s">
        <v>226</v>
      </c>
      <c r="BV486" t="s">
        <v>394</v>
      </c>
      <c r="BW486" t="s">
        <v>235</v>
      </c>
      <c r="CH486" t="s">
        <v>229</v>
      </c>
      <c r="CI486" t="s">
        <v>103</v>
      </c>
      <c r="CJ486" t="s">
        <v>226</v>
      </c>
      <c r="CK486" t="s">
        <v>394</v>
      </c>
      <c r="CL486" t="s">
        <v>235</v>
      </c>
      <c r="CM486" t="s">
        <v>236</v>
      </c>
      <c r="CN486" t="s">
        <v>104</v>
      </c>
      <c r="CO486">
        <v>5650</v>
      </c>
      <c r="CP486">
        <v>42378909</v>
      </c>
      <c r="CQ486" s="73">
        <v>45368.938888888886</v>
      </c>
      <c r="CR486" t="s">
        <v>229</v>
      </c>
      <c r="CS486" t="s">
        <v>103</v>
      </c>
      <c r="CU486" t="s">
        <v>225</v>
      </c>
    </row>
    <row r="487" spans="1:99">
      <c r="A487" t="s">
        <v>111</v>
      </c>
      <c r="B487" t="s">
        <v>77</v>
      </c>
      <c r="J487" t="s">
        <v>225</v>
      </c>
      <c r="K487" t="s">
        <v>225</v>
      </c>
      <c r="M487" s="73">
        <v>45368.938888888886</v>
      </c>
      <c r="N487">
        <v>42378908</v>
      </c>
      <c r="O487">
        <v>4</v>
      </c>
      <c r="P487" t="s">
        <v>45</v>
      </c>
      <c r="Q487">
        <v>4</v>
      </c>
      <c r="R487" t="s">
        <v>45</v>
      </c>
      <c r="U487" t="s">
        <v>226</v>
      </c>
      <c r="V487" t="s">
        <v>394</v>
      </c>
      <c r="W487" t="s">
        <v>237</v>
      </c>
      <c r="X487" t="s">
        <v>229</v>
      </c>
      <c r="Y487" t="s">
        <v>111</v>
      </c>
      <c r="AD487" t="s">
        <v>45</v>
      </c>
      <c r="AE487">
        <v>4</v>
      </c>
      <c r="AF487">
        <v>42378908</v>
      </c>
      <c r="AG487" s="73">
        <v>45368.938888888886</v>
      </c>
      <c r="AH487" t="s">
        <v>226</v>
      </c>
      <c r="AI487" t="s">
        <v>394</v>
      </c>
      <c r="AJ487" t="s">
        <v>237</v>
      </c>
      <c r="AK487" t="s">
        <v>229</v>
      </c>
      <c r="AL487" t="s">
        <v>111</v>
      </c>
      <c r="AP487" t="s">
        <v>230</v>
      </c>
      <c r="AQ487" t="s">
        <v>231</v>
      </c>
      <c r="AT487" t="s">
        <v>232</v>
      </c>
      <c r="AU487">
        <v>-99</v>
      </c>
      <c r="AV487" t="s">
        <v>45</v>
      </c>
      <c r="AW487">
        <v>4</v>
      </c>
      <c r="AX487">
        <v>42378908</v>
      </c>
      <c r="AY487" s="73">
        <v>45368.938888888886</v>
      </c>
      <c r="AZ487" t="s">
        <v>226</v>
      </c>
      <c r="BA487" t="s">
        <v>394</v>
      </c>
      <c r="BB487" t="s">
        <v>237</v>
      </c>
      <c r="BC487" t="s">
        <v>229</v>
      </c>
      <c r="BD487" t="s">
        <v>111</v>
      </c>
      <c r="BI487" t="s">
        <v>233</v>
      </c>
      <c r="BJ487" t="s">
        <v>0</v>
      </c>
      <c r="BK487">
        <v>42378895</v>
      </c>
      <c r="BN487" t="s">
        <v>45</v>
      </c>
      <c r="BO487">
        <v>42378903</v>
      </c>
      <c r="BR487">
        <v>4</v>
      </c>
      <c r="BS487">
        <v>42378908</v>
      </c>
      <c r="BT487" s="73">
        <v>45368.938888888886</v>
      </c>
      <c r="BU487" t="s">
        <v>226</v>
      </c>
      <c r="BV487" t="s">
        <v>394</v>
      </c>
      <c r="BW487" t="s">
        <v>237</v>
      </c>
      <c r="CH487" t="s">
        <v>229</v>
      </c>
      <c r="CI487" t="s">
        <v>111</v>
      </c>
      <c r="CJ487" t="s">
        <v>226</v>
      </c>
      <c r="CK487" t="s">
        <v>394</v>
      </c>
      <c r="CL487" t="s">
        <v>237</v>
      </c>
      <c r="CM487" t="s">
        <v>236</v>
      </c>
      <c r="CN487" t="s">
        <v>45</v>
      </c>
      <c r="CO487">
        <v>4</v>
      </c>
      <c r="CP487">
        <v>42378908</v>
      </c>
      <c r="CQ487" s="73">
        <v>45368.938888888886</v>
      </c>
      <c r="CR487" t="s">
        <v>229</v>
      </c>
      <c r="CS487" t="s">
        <v>111</v>
      </c>
      <c r="CU487" t="s">
        <v>225</v>
      </c>
    </row>
    <row r="488" spans="1:99">
      <c r="A488" t="s">
        <v>46</v>
      </c>
      <c r="B488" t="s">
        <v>92</v>
      </c>
      <c r="J488" t="s">
        <v>225</v>
      </c>
      <c r="K488" t="s">
        <v>225</v>
      </c>
      <c r="M488" s="73">
        <v>45368.926388888889</v>
      </c>
      <c r="N488">
        <v>42378781</v>
      </c>
      <c r="O488">
        <v>-201</v>
      </c>
      <c r="P488" t="s">
        <v>45</v>
      </c>
      <c r="Q488">
        <v>-201</v>
      </c>
      <c r="R488" t="s">
        <v>45</v>
      </c>
      <c r="U488" t="s">
        <v>226</v>
      </c>
      <c r="V488" t="s">
        <v>395</v>
      </c>
      <c r="W488" t="s">
        <v>228</v>
      </c>
      <c r="X488" t="s">
        <v>229</v>
      </c>
      <c r="Y488" t="s">
        <v>46</v>
      </c>
      <c r="AD488" t="s">
        <v>45</v>
      </c>
      <c r="AE488">
        <v>-201</v>
      </c>
      <c r="AF488">
        <v>42378781</v>
      </c>
      <c r="AG488" s="73">
        <v>45368.926388888889</v>
      </c>
      <c r="AH488" t="s">
        <v>226</v>
      </c>
      <c r="AI488" t="s">
        <v>395</v>
      </c>
      <c r="AJ488" t="s">
        <v>228</v>
      </c>
      <c r="AK488" t="s">
        <v>229</v>
      </c>
      <c r="AL488" t="s">
        <v>46</v>
      </c>
      <c r="AP488" t="s">
        <v>230</v>
      </c>
      <c r="AQ488" t="s">
        <v>231</v>
      </c>
      <c r="AT488" t="s">
        <v>232</v>
      </c>
      <c r="AU488">
        <v>-99</v>
      </c>
      <c r="AV488" t="s">
        <v>45</v>
      </c>
      <c r="AW488">
        <v>-201</v>
      </c>
      <c r="AX488">
        <v>42378781</v>
      </c>
      <c r="AY488" s="73">
        <v>45368.926388888889</v>
      </c>
      <c r="AZ488" t="s">
        <v>226</v>
      </c>
      <c r="BA488" t="s">
        <v>395</v>
      </c>
      <c r="BB488" t="s">
        <v>228</v>
      </c>
      <c r="BC488" t="s">
        <v>229</v>
      </c>
      <c r="BD488" t="s">
        <v>46</v>
      </c>
      <c r="BI488" t="s">
        <v>233</v>
      </c>
      <c r="BJ488" t="s">
        <v>0</v>
      </c>
      <c r="BK488">
        <v>42378765</v>
      </c>
      <c r="BN488" t="s">
        <v>45</v>
      </c>
      <c r="BR488">
        <v>-201</v>
      </c>
      <c r="BS488">
        <v>42378781</v>
      </c>
      <c r="BT488" s="73">
        <v>45368.926388888889</v>
      </c>
      <c r="BU488" t="s">
        <v>226</v>
      </c>
      <c r="BV488" t="s">
        <v>395</v>
      </c>
      <c r="BW488" t="s">
        <v>228</v>
      </c>
      <c r="CH488" t="s">
        <v>229</v>
      </c>
      <c r="CI488" t="s">
        <v>46</v>
      </c>
      <c r="CJ488" t="s">
        <v>226</v>
      </c>
      <c r="CK488" t="s">
        <v>395</v>
      </c>
      <c r="CL488" t="s">
        <v>228</v>
      </c>
      <c r="CM488" t="s">
        <v>234</v>
      </c>
      <c r="CN488" t="s">
        <v>45</v>
      </c>
      <c r="CO488">
        <v>-201</v>
      </c>
      <c r="CP488">
        <v>42378781</v>
      </c>
      <c r="CQ488" s="73">
        <v>45368.926388888889</v>
      </c>
      <c r="CR488" t="s">
        <v>229</v>
      </c>
      <c r="CS488" t="s">
        <v>46</v>
      </c>
      <c r="CU488" t="s">
        <v>225</v>
      </c>
    </row>
    <row r="489" spans="1:99">
      <c r="A489" t="s">
        <v>93</v>
      </c>
      <c r="B489" t="s">
        <v>98</v>
      </c>
      <c r="J489" t="s">
        <v>225</v>
      </c>
      <c r="K489" t="s">
        <v>225</v>
      </c>
      <c r="M489" s="73">
        <v>45368.926388888889</v>
      </c>
      <c r="N489">
        <v>42378780</v>
      </c>
      <c r="O489">
        <v>-10</v>
      </c>
      <c r="P489" t="s">
        <v>73</v>
      </c>
      <c r="Q489">
        <v>-10</v>
      </c>
      <c r="R489" t="s">
        <v>73</v>
      </c>
      <c r="U489" t="s">
        <v>226</v>
      </c>
      <c r="V489" t="s">
        <v>395</v>
      </c>
      <c r="W489" t="s">
        <v>228</v>
      </c>
      <c r="X489" t="s">
        <v>229</v>
      </c>
      <c r="Y489" t="s">
        <v>93</v>
      </c>
      <c r="AD489" t="s">
        <v>73</v>
      </c>
      <c r="AE489">
        <v>-10</v>
      </c>
      <c r="AF489">
        <v>42378780</v>
      </c>
      <c r="AG489" s="73">
        <v>45368.926388888889</v>
      </c>
      <c r="AH489" t="s">
        <v>226</v>
      </c>
      <c r="AI489" t="s">
        <v>395</v>
      </c>
      <c r="AJ489" t="s">
        <v>228</v>
      </c>
      <c r="AK489" t="s">
        <v>229</v>
      </c>
      <c r="AL489" t="s">
        <v>93</v>
      </c>
      <c r="AP489" t="s">
        <v>230</v>
      </c>
      <c r="AQ489" t="s">
        <v>231</v>
      </c>
      <c r="AT489" t="s">
        <v>232</v>
      </c>
      <c r="AU489">
        <v>-99</v>
      </c>
      <c r="AV489" t="s">
        <v>73</v>
      </c>
      <c r="AW489">
        <v>-10</v>
      </c>
      <c r="AX489">
        <v>42378780</v>
      </c>
      <c r="AY489" s="73">
        <v>45368.926388888889</v>
      </c>
      <c r="AZ489" t="s">
        <v>226</v>
      </c>
      <c r="BA489" t="s">
        <v>395</v>
      </c>
      <c r="BB489" t="s">
        <v>228</v>
      </c>
      <c r="BC489" t="s">
        <v>229</v>
      </c>
      <c r="BD489" t="s">
        <v>93</v>
      </c>
      <c r="BI489" t="s">
        <v>233</v>
      </c>
      <c r="BJ489" t="s">
        <v>0</v>
      </c>
      <c r="BK489">
        <v>42378765</v>
      </c>
      <c r="BN489" t="s">
        <v>73</v>
      </c>
      <c r="BR489">
        <v>-10</v>
      </c>
      <c r="BS489">
        <v>42378780</v>
      </c>
      <c r="BT489" s="73">
        <v>45368.926388888889</v>
      </c>
      <c r="BU489" t="s">
        <v>226</v>
      </c>
      <c r="BV489" t="s">
        <v>395</v>
      </c>
      <c r="BW489" t="s">
        <v>228</v>
      </c>
      <c r="CH489" t="s">
        <v>229</v>
      </c>
      <c r="CI489" t="s">
        <v>93</v>
      </c>
      <c r="CJ489" t="s">
        <v>226</v>
      </c>
      <c r="CK489" t="s">
        <v>395</v>
      </c>
      <c r="CL489" t="s">
        <v>228</v>
      </c>
      <c r="CM489" t="s">
        <v>234</v>
      </c>
      <c r="CN489" t="s">
        <v>73</v>
      </c>
      <c r="CO489">
        <v>-10</v>
      </c>
      <c r="CP489">
        <v>42378780</v>
      </c>
      <c r="CQ489" s="73">
        <v>45368.926388888889</v>
      </c>
      <c r="CR489" t="s">
        <v>229</v>
      </c>
      <c r="CS489" t="s">
        <v>93</v>
      </c>
      <c r="CU489" t="s">
        <v>225</v>
      </c>
    </row>
    <row r="490" spans="1:99">
      <c r="A490" t="s">
        <v>108</v>
      </c>
      <c r="B490" t="s">
        <v>98</v>
      </c>
      <c r="J490" t="s">
        <v>225</v>
      </c>
      <c r="K490" t="s">
        <v>225</v>
      </c>
      <c r="M490" s="73">
        <v>45368.926388888889</v>
      </c>
      <c r="N490">
        <v>42378779</v>
      </c>
      <c r="O490">
        <v>200</v>
      </c>
      <c r="P490" t="s">
        <v>104</v>
      </c>
      <c r="Q490">
        <v>200</v>
      </c>
      <c r="R490" t="s">
        <v>104</v>
      </c>
      <c r="S490">
        <v>10</v>
      </c>
      <c r="T490" t="s">
        <v>73</v>
      </c>
      <c r="U490" t="s">
        <v>226</v>
      </c>
      <c r="V490" t="s">
        <v>395</v>
      </c>
      <c r="W490" t="s">
        <v>235</v>
      </c>
      <c r="X490" t="s">
        <v>229</v>
      </c>
      <c r="Y490" t="s">
        <v>108</v>
      </c>
      <c r="AD490" t="s">
        <v>104</v>
      </c>
      <c r="AE490">
        <v>200</v>
      </c>
      <c r="AF490">
        <v>42378779</v>
      </c>
      <c r="AG490" s="73">
        <v>45368.926388888889</v>
      </c>
      <c r="AH490" t="s">
        <v>226</v>
      </c>
      <c r="AI490" t="s">
        <v>395</v>
      </c>
      <c r="AJ490" t="s">
        <v>235</v>
      </c>
      <c r="AK490" t="s">
        <v>229</v>
      </c>
      <c r="AL490" t="s">
        <v>108</v>
      </c>
      <c r="AP490" t="s">
        <v>230</v>
      </c>
      <c r="AQ490" t="s">
        <v>231</v>
      </c>
      <c r="AT490" t="s">
        <v>232</v>
      </c>
      <c r="AU490">
        <v>-99</v>
      </c>
      <c r="AV490" t="s">
        <v>104</v>
      </c>
      <c r="AW490">
        <v>200</v>
      </c>
      <c r="AX490">
        <v>42378779</v>
      </c>
      <c r="AY490" s="73">
        <v>45368.926388888889</v>
      </c>
      <c r="AZ490" t="s">
        <v>226</v>
      </c>
      <c r="BA490" t="s">
        <v>395</v>
      </c>
      <c r="BB490" t="s">
        <v>235</v>
      </c>
      <c r="BC490" t="s">
        <v>229</v>
      </c>
      <c r="BD490" t="s">
        <v>108</v>
      </c>
      <c r="BI490" t="s">
        <v>233</v>
      </c>
      <c r="BJ490" t="s">
        <v>0</v>
      </c>
      <c r="BK490">
        <v>42378765</v>
      </c>
      <c r="BN490" t="s">
        <v>104</v>
      </c>
      <c r="BO490">
        <v>42378771</v>
      </c>
      <c r="BR490">
        <v>200</v>
      </c>
      <c r="BS490">
        <v>42378779</v>
      </c>
      <c r="BT490" s="73">
        <v>45368.926388888889</v>
      </c>
      <c r="BU490" t="s">
        <v>226</v>
      </c>
      <c r="BV490" t="s">
        <v>395</v>
      </c>
      <c r="BW490" t="s">
        <v>235</v>
      </c>
      <c r="CH490" t="s">
        <v>229</v>
      </c>
      <c r="CI490" t="s">
        <v>108</v>
      </c>
      <c r="CJ490" t="s">
        <v>226</v>
      </c>
      <c r="CK490" t="s">
        <v>395</v>
      </c>
      <c r="CL490" t="s">
        <v>235</v>
      </c>
      <c r="CM490" t="s">
        <v>236</v>
      </c>
      <c r="CN490" t="s">
        <v>104</v>
      </c>
      <c r="CO490">
        <v>200</v>
      </c>
      <c r="CP490">
        <v>42378779</v>
      </c>
      <c r="CQ490" s="73">
        <v>45368.926388888889</v>
      </c>
      <c r="CR490" t="s">
        <v>229</v>
      </c>
      <c r="CS490" t="s">
        <v>108</v>
      </c>
      <c r="CU490" t="s">
        <v>225</v>
      </c>
    </row>
    <row r="491" spans="1:99">
      <c r="A491" t="s">
        <v>111</v>
      </c>
      <c r="B491" t="s">
        <v>77</v>
      </c>
      <c r="J491" t="s">
        <v>225</v>
      </c>
      <c r="K491" t="s">
        <v>225</v>
      </c>
      <c r="M491" s="73">
        <v>45368.926388888889</v>
      </c>
      <c r="N491">
        <v>42378778</v>
      </c>
      <c r="O491">
        <v>1</v>
      </c>
      <c r="P491" t="s">
        <v>45</v>
      </c>
      <c r="Q491">
        <v>1</v>
      </c>
      <c r="R491" t="s">
        <v>45</v>
      </c>
      <c r="U491" t="s">
        <v>226</v>
      </c>
      <c r="V491" t="s">
        <v>395</v>
      </c>
      <c r="W491" t="s">
        <v>237</v>
      </c>
      <c r="X491" t="s">
        <v>229</v>
      </c>
      <c r="Y491" t="s">
        <v>111</v>
      </c>
      <c r="AD491" t="s">
        <v>45</v>
      </c>
      <c r="AE491">
        <v>1</v>
      </c>
      <c r="AF491">
        <v>42378778</v>
      </c>
      <c r="AG491" s="73">
        <v>45368.926388888889</v>
      </c>
      <c r="AH491" t="s">
        <v>226</v>
      </c>
      <c r="AI491" t="s">
        <v>395</v>
      </c>
      <c r="AJ491" t="s">
        <v>237</v>
      </c>
      <c r="AK491" t="s">
        <v>229</v>
      </c>
      <c r="AL491" t="s">
        <v>111</v>
      </c>
      <c r="AP491" t="s">
        <v>230</v>
      </c>
      <c r="AQ491" t="s">
        <v>231</v>
      </c>
      <c r="AT491" t="s">
        <v>232</v>
      </c>
      <c r="AU491">
        <v>-99</v>
      </c>
      <c r="AV491" t="s">
        <v>45</v>
      </c>
      <c r="AW491">
        <v>1</v>
      </c>
      <c r="AX491">
        <v>42378778</v>
      </c>
      <c r="AY491" s="73">
        <v>45368.926388888889</v>
      </c>
      <c r="AZ491" t="s">
        <v>226</v>
      </c>
      <c r="BA491" t="s">
        <v>395</v>
      </c>
      <c r="BB491" t="s">
        <v>237</v>
      </c>
      <c r="BC491" t="s">
        <v>229</v>
      </c>
      <c r="BD491" t="s">
        <v>111</v>
      </c>
      <c r="BI491" t="s">
        <v>233</v>
      </c>
      <c r="BJ491" t="s">
        <v>0</v>
      </c>
      <c r="BK491">
        <v>42378765</v>
      </c>
      <c r="BN491" t="s">
        <v>45</v>
      </c>
      <c r="BO491">
        <v>42378773</v>
      </c>
      <c r="BR491">
        <v>1</v>
      </c>
      <c r="BS491">
        <v>42378778</v>
      </c>
      <c r="BT491" s="73">
        <v>45368.926388888889</v>
      </c>
      <c r="BU491" t="s">
        <v>226</v>
      </c>
      <c r="BV491" t="s">
        <v>395</v>
      </c>
      <c r="BW491" t="s">
        <v>237</v>
      </c>
      <c r="CH491" t="s">
        <v>229</v>
      </c>
      <c r="CI491" t="s">
        <v>111</v>
      </c>
      <c r="CJ491" t="s">
        <v>226</v>
      </c>
      <c r="CK491" t="s">
        <v>395</v>
      </c>
      <c r="CL491" t="s">
        <v>237</v>
      </c>
      <c r="CM491" t="s">
        <v>236</v>
      </c>
      <c r="CN491" t="s">
        <v>45</v>
      </c>
      <c r="CO491">
        <v>1</v>
      </c>
      <c r="CP491">
        <v>42378778</v>
      </c>
      <c r="CQ491" s="73">
        <v>45368.926388888889</v>
      </c>
      <c r="CR491" t="s">
        <v>229</v>
      </c>
      <c r="CS491" t="s">
        <v>111</v>
      </c>
      <c r="CU491" t="s">
        <v>225</v>
      </c>
    </row>
    <row r="492" spans="1:99">
      <c r="A492" t="s">
        <v>52</v>
      </c>
      <c r="B492" t="s">
        <v>92</v>
      </c>
      <c r="J492" t="s">
        <v>225</v>
      </c>
      <c r="K492" t="s">
        <v>225</v>
      </c>
      <c r="M492" s="73">
        <v>45368.916666666664</v>
      </c>
      <c r="N492">
        <v>42378713</v>
      </c>
      <c r="O492">
        <v>-1101</v>
      </c>
      <c r="P492" t="s">
        <v>45</v>
      </c>
      <c r="Q492">
        <v>-1101</v>
      </c>
      <c r="R492" t="s">
        <v>45</v>
      </c>
      <c r="U492" t="s">
        <v>226</v>
      </c>
      <c r="V492" t="s">
        <v>396</v>
      </c>
      <c r="W492" t="s">
        <v>228</v>
      </c>
      <c r="X492" t="s">
        <v>229</v>
      </c>
      <c r="Y492" t="s">
        <v>52</v>
      </c>
      <c r="AD492" t="s">
        <v>45</v>
      </c>
      <c r="AE492">
        <v>-1101</v>
      </c>
      <c r="AF492">
        <v>42378713</v>
      </c>
      <c r="AG492" s="73">
        <v>45368.916666666664</v>
      </c>
      <c r="AH492" t="s">
        <v>226</v>
      </c>
      <c r="AI492" t="s">
        <v>396</v>
      </c>
      <c r="AJ492" t="s">
        <v>228</v>
      </c>
      <c r="AK492" t="s">
        <v>229</v>
      </c>
      <c r="AL492" t="s">
        <v>52</v>
      </c>
      <c r="AP492" t="s">
        <v>230</v>
      </c>
      <c r="AQ492" t="s">
        <v>231</v>
      </c>
      <c r="AT492" t="s">
        <v>232</v>
      </c>
      <c r="AU492">
        <v>-99</v>
      </c>
      <c r="AV492" t="s">
        <v>45</v>
      </c>
      <c r="AW492">
        <v>-1101</v>
      </c>
      <c r="AX492">
        <v>42378713</v>
      </c>
      <c r="AY492" s="73">
        <v>45368.916666666664</v>
      </c>
      <c r="AZ492" t="s">
        <v>226</v>
      </c>
      <c r="BA492" t="s">
        <v>396</v>
      </c>
      <c r="BB492" t="s">
        <v>228</v>
      </c>
      <c r="BC492" t="s">
        <v>229</v>
      </c>
      <c r="BD492" t="s">
        <v>52</v>
      </c>
      <c r="BI492" t="s">
        <v>233</v>
      </c>
      <c r="BJ492" t="s">
        <v>0</v>
      </c>
      <c r="BK492">
        <v>42378694</v>
      </c>
      <c r="BN492" t="s">
        <v>45</v>
      </c>
      <c r="BR492">
        <v>-1101</v>
      </c>
      <c r="BS492">
        <v>42378713</v>
      </c>
      <c r="BT492" s="73">
        <v>45368.916666666664</v>
      </c>
      <c r="BU492" t="s">
        <v>226</v>
      </c>
      <c r="BV492" t="s">
        <v>396</v>
      </c>
      <c r="BW492" t="s">
        <v>228</v>
      </c>
      <c r="CH492" t="s">
        <v>229</v>
      </c>
      <c r="CI492" t="s">
        <v>52</v>
      </c>
      <c r="CJ492" t="s">
        <v>226</v>
      </c>
      <c r="CK492" t="s">
        <v>396</v>
      </c>
      <c r="CL492" t="s">
        <v>228</v>
      </c>
      <c r="CM492" t="s">
        <v>234</v>
      </c>
      <c r="CN492" t="s">
        <v>45</v>
      </c>
      <c r="CO492">
        <v>-1101</v>
      </c>
      <c r="CP492">
        <v>42378713</v>
      </c>
      <c r="CQ492" s="73">
        <v>45368.916666666664</v>
      </c>
      <c r="CR492" t="s">
        <v>229</v>
      </c>
      <c r="CS492" t="s">
        <v>52</v>
      </c>
      <c r="CU492" t="s">
        <v>225</v>
      </c>
    </row>
    <row r="493" spans="1:99">
      <c r="A493" t="s">
        <v>101</v>
      </c>
      <c r="B493" t="s">
        <v>98</v>
      </c>
      <c r="J493" t="s">
        <v>225</v>
      </c>
      <c r="K493" t="s">
        <v>225</v>
      </c>
      <c r="M493" s="73">
        <v>45368.916666666664</v>
      </c>
      <c r="N493">
        <v>42378712</v>
      </c>
      <c r="O493">
        <v>-55</v>
      </c>
      <c r="P493" t="s">
        <v>73</v>
      </c>
      <c r="Q493">
        <v>-55</v>
      </c>
      <c r="R493" t="s">
        <v>73</v>
      </c>
      <c r="U493" t="s">
        <v>226</v>
      </c>
      <c r="V493" t="s">
        <v>396</v>
      </c>
      <c r="W493" t="s">
        <v>228</v>
      </c>
      <c r="X493" t="s">
        <v>229</v>
      </c>
      <c r="Y493" t="s">
        <v>101</v>
      </c>
      <c r="AD493" t="s">
        <v>73</v>
      </c>
      <c r="AE493">
        <v>-55</v>
      </c>
      <c r="AF493">
        <v>42378712</v>
      </c>
      <c r="AG493" s="73">
        <v>45368.916666666664</v>
      </c>
      <c r="AH493" t="s">
        <v>226</v>
      </c>
      <c r="AI493" t="s">
        <v>396</v>
      </c>
      <c r="AJ493" t="s">
        <v>228</v>
      </c>
      <c r="AK493" t="s">
        <v>229</v>
      </c>
      <c r="AL493" t="s">
        <v>101</v>
      </c>
      <c r="AP493" t="s">
        <v>230</v>
      </c>
      <c r="AQ493" t="s">
        <v>231</v>
      </c>
      <c r="AT493" t="s">
        <v>232</v>
      </c>
      <c r="AU493">
        <v>-99</v>
      </c>
      <c r="AV493" t="s">
        <v>73</v>
      </c>
      <c r="AW493">
        <v>-55</v>
      </c>
      <c r="AX493">
        <v>42378712</v>
      </c>
      <c r="AY493" s="73">
        <v>45368.916666666664</v>
      </c>
      <c r="AZ493" t="s">
        <v>226</v>
      </c>
      <c r="BA493" t="s">
        <v>396</v>
      </c>
      <c r="BB493" t="s">
        <v>228</v>
      </c>
      <c r="BC493" t="s">
        <v>229</v>
      </c>
      <c r="BD493" t="s">
        <v>101</v>
      </c>
      <c r="BI493" t="s">
        <v>233</v>
      </c>
      <c r="BJ493" t="s">
        <v>0</v>
      </c>
      <c r="BK493">
        <v>42378694</v>
      </c>
      <c r="BN493" t="s">
        <v>73</v>
      </c>
      <c r="BR493">
        <v>-55</v>
      </c>
      <c r="BS493">
        <v>42378712</v>
      </c>
      <c r="BT493" s="73">
        <v>45368.916666666664</v>
      </c>
      <c r="BU493" t="s">
        <v>226</v>
      </c>
      <c r="BV493" t="s">
        <v>396</v>
      </c>
      <c r="BW493" t="s">
        <v>228</v>
      </c>
      <c r="CH493" t="s">
        <v>229</v>
      </c>
      <c r="CI493" t="s">
        <v>101</v>
      </c>
      <c r="CJ493" t="s">
        <v>226</v>
      </c>
      <c r="CK493" t="s">
        <v>396</v>
      </c>
      <c r="CL493" t="s">
        <v>228</v>
      </c>
      <c r="CM493" t="s">
        <v>234</v>
      </c>
      <c r="CN493" t="s">
        <v>73</v>
      </c>
      <c r="CO493">
        <v>-55</v>
      </c>
      <c r="CP493">
        <v>42378712</v>
      </c>
      <c r="CQ493" s="73">
        <v>45368.916666666664</v>
      </c>
      <c r="CR493" t="s">
        <v>229</v>
      </c>
      <c r="CS493" t="s">
        <v>101</v>
      </c>
      <c r="CU493" t="s">
        <v>225</v>
      </c>
    </row>
    <row r="494" spans="1:99">
      <c r="A494" t="s">
        <v>107</v>
      </c>
      <c r="B494" t="s">
        <v>98</v>
      </c>
      <c r="J494" t="s">
        <v>225</v>
      </c>
      <c r="K494" t="s">
        <v>225</v>
      </c>
      <c r="M494" s="73">
        <v>45368.916666666664</v>
      </c>
      <c r="N494">
        <v>42378711</v>
      </c>
      <c r="O494">
        <v>1100</v>
      </c>
      <c r="P494" t="s">
        <v>104</v>
      </c>
      <c r="Q494">
        <v>1100</v>
      </c>
      <c r="R494" t="s">
        <v>104</v>
      </c>
      <c r="S494">
        <v>55</v>
      </c>
      <c r="T494" t="s">
        <v>73</v>
      </c>
      <c r="U494" t="s">
        <v>226</v>
      </c>
      <c r="V494" t="s">
        <v>396</v>
      </c>
      <c r="W494" t="s">
        <v>235</v>
      </c>
      <c r="X494" t="s">
        <v>229</v>
      </c>
      <c r="Y494" t="s">
        <v>107</v>
      </c>
      <c r="AD494" t="s">
        <v>104</v>
      </c>
      <c r="AE494">
        <v>1100</v>
      </c>
      <c r="AF494">
        <v>42378711</v>
      </c>
      <c r="AG494" s="73">
        <v>45368.916666666664</v>
      </c>
      <c r="AH494" t="s">
        <v>226</v>
      </c>
      <c r="AI494" t="s">
        <v>396</v>
      </c>
      <c r="AJ494" t="s">
        <v>235</v>
      </c>
      <c r="AK494" t="s">
        <v>229</v>
      </c>
      <c r="AL494" t="s">
        <v>107</v>
      </c>
      <c r="AP494" t="s">
        <v>230</v>
      </c>
      <c r="AQ494" t="s">
        <v>231</v>
      </c>
      <c r="AT494" t="s">
        <v>232</v>
      </c>
      <c r="AU494">
        <v>-99</v>
      </c>
      <c r="AV494" t="s">
        <v>104</v>
      </c>
      <c r="AW494">
        <v>1100</v>
      </c>
      <c r="AX494">
        <v>42378711</v>
      </c>
      <c r="AY494" s="73">
        <v>45368.916666666664</v>
      </c>
      <c r="AZ494" t="s">
        <v>226</v>
      </c>
      <c r="BA494" t="s">
        <v>396</v>
      </c>
      <c r="BB494" t="s">
        <v>235</v>
      </c>
      <c r="BC494" t="s">
        <v>229</v>
      </c>
      <c r="BD494" t="s">
        <v>107</v>
      </c>
      <c r="BI494" t="s">
        <v>233</v>
      </c>
      <c r="BJ494" t="s">
        <v>0</v>
      </c>
      <c r="BK494">
        <v>42378694</v>
      </c>
      <c r="BN494" t="s">
        <v>104</v>
      </c>
      <c r="BO494">
        <v>42378703</v>
      </c>
      <c r="BR494">
        <v>1100</v>
      </c>
      <c r="BS494">
        <v>42378711</v>
      </c>
      <c r="BT494" s="73">
        <v>45368.916666666664</v>
      </c>
      <c r="BU494" t="s">
        <v>226</v>
      </c>
      <c r="BV494" t="s">
        <v>396</v>
      </c>
      <c r="BW494" t="s">
        <v>235</v>
      </c>
      <c r="CH494" t="s">
        <v>229</v>
      </c>
      <c r="CI494" t="s">
        <v>107</v>
      </c>
      <c r="CJ494" t="s">
        <v>226</v>
      </c>
      <c r="CK494" t="s">
        <v>396</v>
      </c>
      <c r="CL494" t="s">
        <v>235</v>
      </c>
      <c r="CM494" t="s">
        <v>236</v>
      </c>
      <c r="CN494" t="s">
        <v>104</v>
      </c>
      <c r="CO494">
        <v>1100</v>
      </c>
      <c r="CP494">
        <v>42378711</v>
      </c>
      <c r="CQ494" s="73">
        <v>45368.916666666664</v>
      </c>
      <c r="CR494" t="s">
        <v>229</v>
      </c>
      <c r="CS494" t="s">
        <v>107</v>
      </c>
      <c r="CU494" t="s">
        <v>225</v>
      </c>
    </row>
    <row r="495" spans="1:99">
      <c r="A495" t="s">
        <v>111</v>
      </c>
      <c r="B495" t="s">
        <v>77</v>
      </c>
      <c r="J495" t="s">
        <v>225</v>
      </c>
      <c r="K495" t="s">
        <v>225</v>
      </c>
      <c r="M495" s="73">
        <v>45368.916666666664</v>
      </c>
      <c r="N495">
        <v>42378710</v>
      </c>
      <c r="O495">
        <v>1</v>
      </c>
      <c r="P495" t="s">
        <v>45</v>
      </c>
      <c r="Q495">
        <v>1</v>
      </c>
      <c r="R495" t="s">
        <v>45</v>
      </c>
      <c r="U495" t="s">
        <v>226</v>
      </c>
      <c r="V495" t="s">
        <v>396</v>
      </c>
      <c r="W495" t="s">
        <v>237</v>
      </c>
      <c r="X495" t="s">
        <v>229</v>
      </c>
      <c r="Y495" t="s">
        <v>111</v>
      </c>
      <c r="AD495" t="s">
        <v>45</v>
      </c>
      <c r="AE495">
        <v>1</v>
      </c>
      <c r="AF495">
        <v>42378710</v>
      </c>
      <c r="AG495" s="73">
        <v>45368.916666666664</v>
      </c>
      <c r="AH495" t="s">
        <v>226</v>
      </c>
      <c r="AI495" t="s">
        <v>396</v>
      </c>
      <c r="AJ495" t="s">
        <v>237</v>
      </c>
      <c r="AK495" t="s">
        <v>229</v>
      </c>
      <c r="AL495" t="s">
        <v>111</v>
      </c>
      <c r="AP495" t="s">
        <v>230</v>
      </c>
      <c r="AQ495" t="s">
        <v>231</v>
      </c>
      <c r="AT495" t="s">
        <v>232</v>
      </c>
      <c r="AU495">
        <v>-99</v>
      </c>
      <c r="AV495" t="s">
        <v>45</v>
      </c>
      <c r="AW495">
        <v>1</v>
      </c>
      <c r="AX495">
        <v>42378710</v>
      </c>
      <c r="AY495" s="73">
        <v>45368.916666666664</v>
      </c>
      <c r="AZ495" t="s">
        <v>226</v>
      </c>
      <c r="BA495" t="s">
        <v>396</v>
      </c>
      <c r="BB495" t="s">
        <v>237</v>
      </c>
      <c r="BC495" t="s">
        <v>229</v>
      </c>
      <c r="BD495" t="s">
        <v>111</v>
      </c>
      <c r="BI495" t="s">
        <v>233</v>
      </c>
      <c r="BJ495" t="s">
        <v>0</v>
      </c>
      <c r="BK495">
        <v>42378694</v>
      </c>
      <c r="BN495" t="s">
        <v>45</v>
      </c>
      <c r="BO495">
        <v>42378705</v>
      </c>
      <c r="BR495">
        <v>1</v>
      </c>
      <c r="BS495">
        <v>42378710</v>
      </c>
      <c r="BT495" s="73">
        <v>45368.916666666664</v>
      </c>
      <c r="BU495" t="s">
        <v>226</v>
      </c>
      <c r="BV495" t="s">
        <v>396</v>
      </c>
      <c r="BW495" t="s">
        <v>237</v>
      </c>
      <c r="CH495" t="s">
        <v>229</v>
      </c>
      <c r="CI495" t="s">
        <v>111</v>
      </c>
      <c r="CJ495" t="s">
        <v>226</v>
      </c>
      <c r="CK495" t="s">
        <v>396</v>
      </c>
      <c r="CL495" t="s">
        <v>237</v>
      </c>
      <c r="CM495" t="s">
        <v>236</v>
      </c>
      <c r="CN495" t="s">
        <v>45</v>
      </c>
      <c r="CO495">
        <v>1</v>
      </c>
      <c r="CP495">
        <v>42378710</v>
      </c>
      <c r="CQ495" s="73">
        <v>45368.916666666664</v>
      </c>
      <c r="CR495" t="s">
        <v>229</v>
      </c>
      <c r="CS495" t="s">
        <v>111</v>
      </c>
      <c r="CU495" t="s">
        <v>225</v>
      </c>
    </row>
    <row r="496" spans="1:99">
      <c r="A496" t="s">
        <v>42</v>
      </c>
      <c r="B496" t="s">
        <v>92</v>
      </c>
      <c r="J496" t="s">
        <v>225</v>
      </c>
      <c r="K496" t="s">
        <v>225</v>
      </c>
      <c r="M496" s="73">
        <v>45368.583333333336</v>
      </c>
      <c r="N496">
        <v>42374426</v>
      </c>
      <c r="O496">
        <v>-650</v>
      </c>
      <c r="P496" t="s">
        <v>45</v>
      </c>
      <c r="Q496">
        <v>-650</v>
      </c>
      <c r="R496" t="s">
        <v>45</v>
      </c>
      <c r="U496" t="s">
        <v>226</v>
      </c>
      <c r="V496" t="s">
        <v>397</v>
      </c>
      <c r="W496" t="s">
        <v>228</v>
      </c>
      <c r="X496" t="s">
        <v>229</v>
      </c>
      <c r="Y496" t="s">
        <v>42</v>
      </c>
      <c r="AD496" t="s">
        <v>45</v>
      </c>
      <c r="AE496">
        <v>-650</v>
      </c>
      <c r="AF496">
        <v>42374426</v>
      </c>
      <c r="AG496" s="73">
        <v>45368.583333333336</v>
      </c>
      <c r="AH496" t="s">
        <v>226</v>
      </c>
      <c r="AI496" t="s">
        <v>397</v>
      </c>
      <c r="AJ496" t="s">
        <v>228</v>
      </c>
      <c r="AK496" t="s">
        <v>229</v>
      </c>
      <c r="AL496" t="s">
        <v>42</v>
      </c>
      <c r="AP496" t="s">
        <v>230</v>
      </c>
      <c r="AQ496" t="s">
        <v>231</v>
      </c>
      <c r="AT496" t="s">
        <v>232</v>
      </c>
      <c r="AU496">
        <v>-99</v>
      </c>
      <c r="AV496" t="s">
        <v>45</v>
      </c>
      <c r="AW496">
        <v>-650</v>
      </c>
      <c r="AX496">
        <v>42374426</v>
      </c>
      <c r="AY496" s="73">
        <v>45368.583333333336</v>
      </c>
      <c r="AZ496" t="s">
        <v>226</v>
      </c>
      <c r="BA496" t="s">
        <v>397</v>
      </c>
      <c r="BB496" t="s">
        <v>228</v>
      </c>
      <c r="BC496" t="s">
        <v>229</v>
      </c>
      <c r="BD496" t="s">
        <v>42</v>
      </c>
      <c r="BI496" t="s">
        <v>233</v>
      </c>
      <c r="BJ496" t="s">
        <v>0</v>
      </c>
      <c r="BK496">
        <v>42374414</v>
      </c>
      <c r="BN496" t="s">
        <v>45</v>
      </c>
      <c r="BR496">
        <v>-650</v>
      </c>
      <c r="BS496">
        <v>42374426</v>
      </c>
      <c r="BT496" s="73">
        <v>45368.583333333336</v>
      </c>
      <c r="BU496" t="s">
        <v>226</v>
      </c>
      <c r="BV496" t="s">
        <v>397</v>
      </c>
      <c r="BW496" t="s">
        <v>228</v>
      </c>
      <c r="CH496" t="s">
        <v>229</v>
      </c>
      <c r="CI496" t="s">
        <v>42</v>
      </c>
      <c r="CJ496" t="s">
        <v>226</v>
      </c>
      <c r="CK496" t="s">
        <v>397</v>
      </c>
      <c r="CL496" t="s">
        <v>228</v>
      </c>
      <c r="CM496" t="s">
        <v>234</v>
      </c>
      <c r="CN496" t="s">
        <v>45</v>
      </c>
      <c r="CO496">
        <v>-650</v>
      </c>
      <c r="CP496">
        <v>42374426</v>
      </c>
      <c r="CQ496" s="73">
        <v>45368.583333333336</v>
      </c>
      <c r="CR496" t="s">
        <v>229</v>
      </c>
      <c r="CS496" t="s">
        <v>42</v>
      </c>
      <c r="CU496" t="s">
        <v>225</v>
      </c>
    </row>
    <row r="497" spans="1:99">
      <c r="A497" t="s">
        <v>99</v>
      </c>
      <c r="B497" t="s">
        <v>98</v>
      </c>
      <c r="J497" t="s">
        <v>225</v>
      </c>
      <c r="K497" t="s">
        <v>225</v>
      </c>
      <c r="M497" s="73">
        <v>45368.583333333336</v>
      </c>
      <c r="N497">
        <v>42374425</v>
      </c>
      <c r="O497">
        <v>-32.5</v>
      </c>
      <c r="P497" t="s">
        <v>73</v>
      </c>
      <c r="Q497">
        <v>-32.5</v>
      </c>
      <c r="R497" t="s">
        <v>73</v>
      </c>
      <c r="U497" t="s">
        <v>226</v>
      </c>
      <c r="V497" t="s">
        <v>397</v>
      </c>
      <c r="W497" t="s">
        <v>228</v>
      </c>
      <c r="X497" t="s">
        <v>229</v>
      </c>
      <c r="Y497" t="s">
        <v>99</v>
      </c>
      <c r="AD497" t="s">
        <v>73</v>
      </c>
      <c r="AE497">
        <v>-32.5</v>
      </c>
      <c r="AF497">
        <v>42374425</v>
      </c>
      <c r="AG497" s="73">
        <v>45368.583333333336</v>
      </c>
      <c r="AH497" t="s">
        <v>226</v>
      </c>
      <c r="AI497" t="s">
        <v>397</v>
      </c>
      <c r="AJ497" t="s">
        <v>228</v>
      </c>
      <c r="AK497" t="s">
        <v>229</v>
      </c>
      <c r="AL497" t="s">
        <v>99</v>
      </c>
      <c r="AP497" t="s">
        <v>230</v>
      </c>
      <c r="AQ497" t="s">
        <v>231</v>
      </c>
      <c r="AT497" t="s">
        <v>232</v>
      </c>
      <c r="AU497">
        <v>-99</v>
      </c>
      <c r="AV497" t="s">
        <v>73</v>
      </c>
      <c r="AW497">
        <v>-32.5</v>
      </c>
      <c r="AX497">
        <v>42374425</v>
      </c>
      <c r="AY497" s="73">
        <v>45368.583333333336</v>
      </c>
      <c r="AZ497" t="s">
        <v>226</v>
      </c>
      <c r="BA497" t="s">
        <v>397</v>
      </c>
      <c r="BB497" t="s">
        <v>228</v>
      </c>
      <c r="BC497" t="s">
        <v>229</v>
      </c>
      <c r="BD497" t="s">
        <v>99</v>
      </c>
      <c r="BI497" t="s">
        <v>233</v>
      </c>
      <c r="BJ497" t="s">
        <v>0</v>
      </c>
      <c r="BK497">
        <v>42374414</v>
      </c>
      <c r="BN497" t="s">
        <v>73</v>
      </c>
      <c r="BR497">
        <v>-32.5</v>
      </c>
      <c r="BS497">
        <v>42374425</v>
      </c>
      <c r="BT497" s="73">
        <v>45368.583333333336</v>
      </c>
      <c r="BU497" t="s">
        <v>226</v>
      </c>
      <c r="BV497" t="s">
        <v>397</v>
      </c>
      <c r="BW497" t="s">
        <v>228</v>
      </c>
      <c r="CH497" t="s">
        <v>229</v>
      </c>
      <c r="CI497" t="s">
        <v>99</v>
      </c>
      <c r="CJ497" t="s">
        <v>226</v>
      </c>
      <c r="CK497" t="s">
        <v>397</v>
      </c>
      <c r="CL497" t="s">
        <v>228</v>
      </c>
      <c r="CM497" t="s">
        <v>234</v>
      </c>
      <c r="CN497" t="s">
        <v>73</v>
      </c>
      <c r="CO497">
        <v>-32.5</v>
      </c>
      <c r="CP497">
        <v>42374425</v>
      </c>
      <c r="CQ497" s="73">
        <v>45368.583333333336</v>
      </c>
      <c r="CR497" t="s">
        <v>229</v>
      </c>
      <c r="CS497" t="s">
        <v>99</v>
      </c>
      <c r="CU497" t="s">
        <v>225</v>
      </c>
    </row>
    <row r="498" spans="1:99">
      <c r="A498" t="s">
        <v>103</v>
      </c>
      <c r="B498" t="s">
        <v>98</v>
      </c>
      <c r="J498" t="s">
        <v>225</v>
      </c>
      <c r="K498" t="s">
        <v>225</v>
      </c>
      <c r="M498" s="73">
        <v>45368.583333333336</v>
      </c>
      <c r="N498">
        <v>42374424</v>
      </c>
      <c r="O498">
        <v>650</v>
      </c>
      <c r="P498" t="s">
        <v>104</v>
      </c>
      <c r="Q498">
        <v>650</v>
      </c>
      <c r="R498" t="s">
        <v>104</v>
      </c>
      <c r="S498">
        <v>32.5</v>
      </c>
      <c r="T498" t="s">
        <v>73</v>
      </c>
      <c r="U498" t="s">
        <v>226</v>
      </c>
      <c r="V498" t="s">
        <v>397</v>
      </c>
      <c r="W498" t="s">
        <v>235</v>
      </c>
      <c r="X498" t="s">
        <v>229</v>
      </c>
      <c r="Y498" t="s">
        <v>103</v>
      </c>
      <c r="AD498" t="s">
        <v>104</v>
      </c>
      <c r="AE498">
        <v>650</v>
      </c>
      <c r="AF498">
        <v>42374424</v>
      </c>
      <c r="AG498" s="73">
        <v>45368.583333333336</v>
      </c>
      <c r="AH498" t="s">
        <v>226</v>
      </c>
      <c r="AI498" t="s">
        <v>397</v>
      </c>
      <c r="AJ498" t="s">
        <v>235</v>
      </c>
      <c r="AK498" t="s">
        <v>229</v>
      </c>
      <c r="AL498" t="s">
        <v>103</v>
      </c>
      <c r="AP498" t="s">
        <v>230</v>
      </c>
      <c r="AQ498" t="s">
        <v>231</v>
      </c>
      <c r="AT498" t="s">
        <v>232</v>
      </c>
      <c r="AU498">
        <v>-99</v>
      </c>
      <c r="AV498" t="s">
        <v>104</v>
      </c>
      <c r="AW498">
        <v>650</v>
      </c>
      <c r="AX498">
        <v>42374424</v>
      </c>
      <c r="AY498" s="73">
        <v>45368.583333333336</v>
      </c>
      <c r="AZ498" t="s">
        <v>226</v>
      </c>
      <c r="BA498" t="s">
        <v>397</v>
      </c>
      <c r="BB498" t="s">
        <v>235</v>
      </c>
      <c r="BC498" t="s">
        <v>229</v>
      </c>
      <c r="BD498" t="s">
        <v>103</v>
      </c>
      <c r="BI498" t="s">
        <v>233</v>
      </c>
      <c r="BJ498" t="s">
        <v>0</v>
      </c>
      <c r="BK498">
        <v>42374414</v>
      </c>
      <c r="BN498" t="s">
        <v>104</v>
      </c>
      <c r="BO498">
        <v>42374420</v>
      </c>
      <c r="BR498">
        <v>650</v>
      </c>
      <c r="BS498">
        <v>42374424</v>
      </c>
      <c r="BT498" s="73">
        <v>45368.583333333336</v>
      </c>
      <c r="BU498" t="s">
        <v>226</v>
      </c>
      <c r="BV498" t="s">
        <v>397</v>
      </c>
      <c r="BW498" t="s">
        <v>235</v>
      </c>
      <c r="CH498" t="s">
        <v>229</v>
      </c>
      <c r="CI498" t="s">
        <v>103</v>
      </c>
      <c r="CJ498" t="s">
        <v>226</v>
      </c>
      <c r="CK498" t="s">
        <v>397</v>
      </c>
      <c r="CL498" t="s">
        <v>235</v>
      </c>
      <c r="CM498" t="s">
        <v>236</v>
      </c>
      <c r="CN498" t="s">
        <v>104</v>
      </c>
      <c r="CO498">
        <v>650</v>
      </c>
      <c r="CP498">
        <v>42374424</v>
      </c>
      <c r="CQ498" s="73">
        <v>45368.583333333336</v>
      </c>
      <c r="CR498" t="s">
        <v>229</v>
      </c>
      <c r="CS498" t="s">
        <v>103</v>
      </c>
      <c r="CU498" t="s">
        <v>225</v>
      </c>
    </row>
    <row r="499" spans="1:99">
      <c r="A499" t="s">
        <v>42</v>
      </c>
      <c r="B499" t="s">
        <v>92</v>
      </c>
      <c r="J499" t="s">
        <v>225</v>
      </c>
      <c r="K499" t="s">
        <v>225</v>
      </c>
      <c r="M499" s="73">
        <v>45368.583333333336</v>
      </c>
      <c r="N499">
        <v>42374363</v>
      </c>
      <c r="O499">
        <v>-6760</v>
      </c>
      <c r="P499" t="s">
        <v>45</v>
      </c>
      <c r="Q499">
        <v>-6760</v>
      </c>
      <c r="R499" t="s">
        <v>45</v>
      </c>
      <c r="U499" t="s">
        <v>226</v>
      </c>
      <c r="V499" t="s">
        <v>398</v>
      </c>
      <c r="W499" t="s">
        <v>228</v>
      </c>
      <c r="X499" t="s">
        <v>229</v>
      </c>
      <c r="Y499" t="s">
        <v>42</v>
      </c>
      <c r="AD499" t="s">
        <v>45</v>
      </c>
      <c r="AE499">
        <v>-6760</v>
      </c>
      <c r="AF499">
        <v>42374363</v>
      </c>
      <c r="AG499" s="73">
        <v>45368.583333333336</v>
      </c>
      <c r="AH499" t="s">
        <v>226</v>
      </c>
      <c r="AI499" t="s">
        <v>398</v>
      </c>
      <c r="AJ499" t="s">
        <v>228</v>
      </c>
      <c r="AK499" t="s">
        <v>229</v>
      </c>
      <c r="AL499" t="s">
        <v>42</v>
      </c>
      <c r="AP499" t="s">
        <v>230</v>
      </c>
      <c r="AQ499" t="s">
        <v>231</v>
      </c>
      <c r="AT499" t="s">
        <v>232</v>
      </c>
      <c r="AU499">
        <v>-99</v>
      </c>
      <c r="AV499" t="s">
        <v>45</v>
      </c>
      <c r="AW499">
        <v>-6760</v>
      </c>
      <c r="AX499">
        <v>42374363</v>
      </c>
      <c r="AY499" s="73">
        <v>45368.583333333336</v>
      </c>
      <c r="AZ499" t="s">
        <v>226</v>
      </c>
      <c r="BA499" t="s">
        <v>398</v>
      </c>
      <c r="BB499" t="s">
        <v>228</v>
      </c>
      <c r="BC499" t="s">
        <v>229</v>
      </c>
      <c r="BD499" t="s">
        <v>42</v>
      </c>
      <c r="BI499" t="s">
        <v>233</v>
      </c>
      <c r="BJ499" t="s">
        <v>0</v>
      </c>
      <c r="BK499">
        <v>42374341</v>
      </c>
      <c r="BN499" t="s">
        <v>45</v>
      </c>
      <c r="BR499">
        <v>-6760</v>
      </c>
      <c r="BS499">
        <v>42374363</v>
      </c>
      <c r="BT499" s="73">
        <v>45368.583333333336</v>
      </c>
      <c r="BU499" t="s">
        <v>226</v>
      </c>
      <c r="BV499" t="s">
        <v>398</v>
      </c>
      <c r="BW499" t="s">
        <v>228</v>
      </c>
      <c r="CH499" t="s">
        <v>229</v>
      </c>
      <c r="CI499" t="s">
        <v>42</v>
      </c>
      <c r="CJ499" t="s">
        <v>226</v>
      </c>
      <c r="CK499" t="s">
        <v>398</v>
      </c>
      <c r="CL499" t="s">
        <v>228</v>
      </c>
      <c r="CM499" t="s">
        <v>234</v>
      </c>
      <c r="CN499" t="s">
        <v>45</v>
      </c>
      <c r="CO499">
        <v>-6760</v>
      </c>
      <c r="CP499">
        <v>42374363</v>
      </c>
      <c r="CQ499" s="73">
        <v>45368.583333333336</v>
      </c>
      <c r="CR499" t="s">
        <v>229</v>
      </c>
      <c r="CS499" t="s">
        <v>42</v>
      </c>
      <c r="CU499" t="s">
        <v>225</v>
      </c>
    </row>
    <row r="500" spans="1:99">
      <c r="A500" t="s">
        <v>99</v>
      </c>
      <c r="B500" t="s">
        <v>98</v>
      </c>
      <c r="J500" t="s">
        <v>225</v>
      </c>
      <c r="K500" t="s">
        <v>225</v>
      </c>
      <c r="M500" s="73">
        <v>45368.583333333336</v>
      </c>
      <c r="N500">
        <v>42374362</v>
      </c>
      <c r="O500">
        <v>-337.5</v>
      </c>
      <c r="P500" t="s">
        <v>73</v>
      </c>
      <c r="Q500">
        <v>-337.5</v>
      </c>
      <c r="R500" t="s">
        <v>73</v>
      </c>
      <c r="U500" t="s">
        <v>226</v>
      </c>
      <c r="V500" t="s">
        <v>398</v>
      </c>
      <c r="W500" t="s">
        <v>228</v>
      </c>
      <c r="X500" t="s">
        <v>229</v>
      </c>
      <c r="Y500" t="s">
        <v>99</v>
      </c>
      <c r="AD500" t="s">
        <v>73</v>
      </c>
      <c r="AE500">
        <v>-337.5</v>
      </c>
      <c r="AF500">
        <v>42374362</v>
      </c>
      <c r="AG500" s="73">
        <v>45368.583333333336</v>
      </c>
      <c r="AH500" t="s">
        <v>226</v>
      </c>
      <c r="AI500" t="s">
        <v>398</v>
      </c>
      <c r="AJ500" t="s">
        <v>228</v>
      </c>
      <c r="AK500" t="s">
        <v>229</v>
      </c>
      <c r="AL500" t="s">
        <v>99</v>
      </c>
      <c r="AP500" t="s">
        <v>230</v>
      </c>
      <c r="AQ500" t="s">
        <v>231</v>
      </c>
      <c r="AT500" t="s">
        <v>232</v>
      </c>
      <c r="AU500">
        <v>-99</v>
      </c>
      <c r="AV500" t="s">
        <v>73</v>
      </c>
      <c r="AW500">
        <v>-337.5</v>
      </c>
      <c r="AX500">
        <v>42374362</v>
      </c>
      <c r="AY500" s="73">
        <v>45368.583333333336</v>
      </c>
      <c r="AZ500" t="s">
        <v>226</v>
      </c>
      <c r="BA500" t="s">
        <v>398</v>
      </c>
      <c r="BB500" t="s">
        <v>228</v>
      </c>
      <c r="BC500" t="s">
        <v>229</v>
      </c>
      <c r="BD500" t="s">
        <v>99</v>
      </c>
      <c r="BI500" t="s">
        <v>233</v>
      </c>
      <c r="BJ500" t="s">
        <v>0</v>
      </c>
      <c r="BK500">
        <v>42374341</v>
      </c>
      <c r="BN500" t="s">
        <v>73</v>
      </c>
      <c r="BR500">
        <v>-337.5</v>
      </c>
      <c r="BS500">
        <v>42374362</v>
      </c>
      <c r="BT500" s="73">
        <v>45368.583333333336</v>
      </c>
      <c r="BU500" t="s">
        <v>226</v>
      </c>
      <c r="BV500" t="s">
        <v>398</v>
      </c>
      <c r="BW500" t="s">
        <v>228</v>
      </c>
      <c r="CH500" t="s">
        <v>229</v>
      </c>
      <c r="CI500" t="s">
        <v>99</v>
      </c>
      <c r="CJ500" t="s">
        <v>226</v>
      </c>
      <c r="CK500" t="s">
        <v>398</v>
      </c>
      <c r="CL500" t="s">
        <v>228</v>
      </c>
      <c r="CM500" t="s">
        <v>234</v>
      </c>
      <c r="CN500" t="s">
        <v>73</v>
      </c>
      <c r="CO500">
        <v>-337.5</v>
      </c>
      <c r="CP500">
        <v>42374362</v>
      </c>
      <c r="CQ500" s="73">
        <v>45368.583333333336</v>
      </c>
      <c r="CR500" t="s">
        <v>229</v>
      </c>
      <c r="CS500" t="s">
        <v>99</v>
      </c>
      <c r="CU500" t="s">
        <v>225</v>
      </c>
    </row>
    <row r="501" spans="1:99">
      <c r="A501" t="s">
        <v>103</v>
      </c>
      <c r="B501" t="s">
        <v>98</v>
      </c>
      <c r="J501" t="s">
        <v>225</v>
      </c>
      <c r="K501" t="s">
        <v>225</v>
      </c>
      <c r="M501" s="73">
        <v>45368.583333333336</v>
      </c>
      <c r="N501">
        <v>42374361</v>
      </c>
      <c r="O501">
        <v>6750</v>
      </c>
      <c r="P501" t="s">
        <v>104</v>
      </c>
      <c r="Q501">
        <v>6750</v>
      </c>
      <c r="R501" t="s">
        <v>104</v>
      </c>
      <c r="S501">
        <v>337.5</v>
      </c>
      <c r="T501" t="s">
        <v>73</v>
      </c>
      <c r="U501" t="s">
        <v>226</v>
      </c>
      <c r="V501" t="s">
        <v>398</v>
      </c>
      <c r="W501" t="s">
        <v>235</v>
      </c>
      <c r="X501" t="s">
        <v>229</v>
      </c>
      <c r="Y501" t="s">
        <v>103</v>
      </c>
      <c r="AD501" t="s">
        <v>104</v>
      </c>
      <c r="AE501">
        <v>6750</v>
      </c>
      <c r="AF501">
        <v>42374361</v>
      </c>
      <c r="AG501" s="73">
        <v>45368.583333333336</v>
      </c>
      <c r="AH501" t="s">
        <v>226</v>
      </c>
      <c r="AI501" t="s">
        <v>398</v>
      </c>
      <c r="AJ501" t="s">
        <v>235</v>
      </c>
      <c r="AK501" t="s">
        <v>229</v>
      </c>
      <c r="AL501" t="s">
        <v>103</v>
      </c>
      <c r="AP501" t="s">
        <v>230</v>
      </c>
      <c r="AQ501" t="s">
        <v>231</v>
      </c>
      <c r="AT501" t="s">
        <v>232</v>
      </c>
      <c r="AU501">
        <v>-99</v>
      </c>
      <c r="AV501" t="s">
        <v>104</v>
      </c>
      <c r="AW501">
        <v>6750</v>
      </c>
      <c r="AX501">
        <v>42374361</v>
      </c>
      <c r="AY501" s="73">
        <v>45368.583333333336</v>
      </c>
      <c r="AZ501" t="s">
        <v>226</v>
      </c>
      <c r="BA501" t="s">
        <v>398</v>
      </c>
      <c r="BB501" t="s">
        <v>235</v>
      </c>
      <c r="BC501" t="s">
        <v>229</v>
      </c>
      <c r="BD501" t="s">
        <v>103</v>
      </c>
      <c r="BI501" t="s">
        <v>233</v>
      </c>
      <c r="BJ501" t="s">
        <v>0</v>
      </c>
      <c r="BK501">
        <v>42374341</v>
      </c>
      <c r="BN501" t="s">
        <v>104</v>
      </c>
      <c r="BO501">
        <v>42374353</v>
      </c>
      <c r="BR501">
        <v>6750</v>
      </c>
      <c r="BS501">
        <v>42374361</v>
      </c>
      <c r="BT501" s="73">
        <v>45368.583333333336</v>
      </c>
      <c r="BU501" t="s">
        <v>226</v>
      </c>
      <c r="BV501" t="s">
        <v>398</v>
      </c>
      <c r="BW501" t="s">
        <v>235</v>
      </c>
      <c r="CH501" t="s">
        <v>229</v>
      </c>
      <c r="CI501" t="s">
        <v>103</v>
      </c>
      <c r="CJ501" t="s">
        <v>226</v>
      </c>
      <c r="CK501" t="s">
        <v>398</v>
      </c>
      <c r="CL501" t="s">
        <v>235</v>
      </c>
      <c r="CM501" t="s">
        <v>236</v>
      </c>
      <c r="CN501" t="s">
        <v>104</v>
      </c>
      <c r="CO501">
        <v>6750</v>
      </c>
      <c r="CP501">
        <v>42374361</v>
      </c>
      <c r="CQ501" s="73">
        <v>45368.583333333336</v>
      </c>
      <c r="CR501" t="s">
        <v>229</v>
      </c>
      <c r="CS501" t="s">
        <v>103</v>
      </c>
      <c r="CU501" t="s">
        <v>225</v>
      </c>
    </row>
    <row r="502" spans="1:99">
      <c r="A502" t="s">
        <v>111</v>
      </c>
      <c r="B502" t="s">
        <v>77</v>
      </c>
      <c r="J502" t="s">
        <v>225</v>
      </c>
      <c r="K502" t="s">
        <v>225</v>
      </c>
      <c r="M502" s="73">
        <v>45368.583333333336</v>
      </c>
      <c r="N502">
        <v>42374360</v>
      </c>
      <c r="O502">
        <v>10</v>
      </c>
      <c r="P502" t="s">
        <v>45</v>
      </c>
      <c r="Q502">
        <v>10</v>
      </c>
      <c r="R502" t="s">
        <v>45</v>
      </c>
      <c r="U502" t="s">
        <v>226</v>
      </c>
      <c r="V502" t="s">
        <v>398</v>
      </c>
      <c r="W502" t="s">
        <v>237</v>
      </c>
      <c r="X502" t="s">
        <v>229</v>
      </c>
      <c r="Y502" t="s">
        <v>111</v>
      </c>
      <c r="AD502" t="s">
        <v>45</v>
      </c>
      <c r="AE502">
        <v>10</v>
      </c>
      <c r="AF502">
        <v>42374360</v>
      </c>
      <c r="AG502" s="73">
        <v>45368.583333333336</v>
      </c>
      <c r="AH502" t="s">
        <v>226</v>
      </c>
      <c r="AI502" t="s">
        <v>398</v>
      </c>
      <c r="AJ502" t="s">
        <v>237</v>
      </c>
      <c r="AK502" t="s">
        <v>229</v>
      </c>
      <c r="AL502" t="s">
        <v>111</v>
      </c>
      <c r="AP502" t="s">
        <v>230</v>
      </c>
      <c r="AQ502" t="s">
        <v>231</v>
      </c>
      <c r="AT502" t="s">
        <v>232</v>
      </c>
      <c r="AU502">
        <v>-99</v>
      </c>
      <c r="AV502" t="s">
        <v>45</v>
      </c>
      <c r="AW502">
        <v>10</v>
      </c>
      <c r="AX502">
        <v>42374360</v>
      </c>
      <c r="AY502" s="73">
        <v>45368.583333333336</v>
      </c>
      <c r="AZ502" t="s">
        <v>226</v>
      </c>
      <c r="BA502" t="s">
        <v>398</v>
      </c>
      <c r="BB502" t="s">
        <v>237</v>
      </c>
      <c r="BC502" t="s">
        <v>229</v>
      </c>
      <c r="BD502" t="s">
        <v>111</v>
      </c>
      <c r="BI502" t="s">
        <v>233</v>
      </c>
      <c r="BJ502" t="s">
        <v>0</v>
      </c>
      <c r="BK502">
        <v>42374341</v>
      </c>
      <c r="BN502" t="s">
        <v>45</v>
      </c>
      <c r="BO502">
        <v>42374355</v>
      </c>
      <c r="BR502">
        <v>10</v>
      </c>
      <c r="BS502">
        <v>42374360</v>
      </c>
      <c r="BT502" s="73">
        <v>45368.583333333336</v>
      </c>
      <c r="BU502" t="s">
        <v>226</v>
      </c>
      <c r="BV502" t="s">
        <v>398</v>
      </c>
      <c r="BW502" t="s">
        <v>237</v>
      </c>
      <c r="CH502" t="s">
        <v>229</v>
      </c>
      <c r="CI502" t="s">
        <v>111</v>
      </c>
      <c r="CJ502" t="s">
        <v>226</v>
      </c>
      <c r="CK502" t="s">
        <v>398</v>
      </c>
      <c r="CL502" t="s">
        <v>237</v>
      </c>
      <c r="CM502" t="s">
        <v>236</v>
      </c>
      <c r="CN502" t="s">
        <v>45</v>
      </c>
      <c r="CO502">
        <v>10</v>
      </c>
      <c r="CP502">
        <v>42374360</v>
      </c>
      <c r="CQ502" s="73">
        <v>45368.583333333336</v>
      </c>
      <c r="CR502" t="s">
        <v>229</v>
      </c>
      <c r="CS502" t="s">
        <v>111</v>
      </c>
      <c r="CU502" t="s">
        <v>225</v>
      </c>
    </row>
    <row r="503" spans="1:99">
      <c r="A503" t="s">
        <v>52</v>
      </c>
      <c r="B503" t="s">
        <v>92</v>
      </c>
      <c r="J503" t="s">
        <v>225</v>
      </c>
      <c r="K503" t="s">
        <v>225</v>
      </c>
      <c r="M503" s="73">
        <v>45368.583333333336</v>
      </c>
      <c r="N503">
        <v>42374263</v>
      </c>
      <c r="O503">
        <v>-950</v>
      </c>
      <c r="P503" t="s">
        <v>45</v>
      </c>
      <c r="Q503">
        <v>-950</v>
      </c>
      <c r="R503" t="s">
        <v>45</v>
      </c>
      <c r="U503" t="s">
        <v>226</v>
      </c>
      <c r="V503" t="s">
        <v>399</v>
      </c>
      <c r="W503" t="s">
        <v>228</v>
      </c>
      <c r="X503" t="s">
        <v>229</v>
      </c>
      <c r="Y503" t="s">
        <v>52</v>
      </c>
      <c r="AD503" t="s">
        <v>45</v>
      </c>
      <c r="AE503">
        <v>-950</v>
      </c>
      <c r="AF503">
        <v>42374263</v>
      </c>
      <c r="AG503" s="73">
        <v>45368.583333333336</v>
      </c>
      <c r="AH503" t="s">
        <v>226</v>
      </c>
      <c r="AI503" t="s">
        <v>399</v>
      </c>
      <c r="AJ503" t="s">
        <v>228</v>
      </c>
      <c r="AK503" t="s">
        <v>229</v>
      </c>
      <c r="AL503" t="s">
        <v>52</v>
      </c>
      <c r="AP503" t="s">
        <v>230</v>
      </c>
      <c r="AQ503" t="s">
        <v>231</v>
      </c>
      <c r="AT503" t="s">
        <v>232</v>
      </c>
      <c r="AU503">
        <v>-99</v>
      </c>
      <c r="AV503" t="s">
        <v>45</v>
      </c>
      <c r="AW503">
        <v>-950</v>
      </c>
      <c r="AX503">
        <v>42374263</v>
      </c>
      <c r="AY503" s="73">
        <v>45368.583333333336</v>
      </c>
      <c r="AZ503" t="s">
        <v>226</v>
      </c>
      <c r="BA503" t="s">
        <v>399</v>
      </c>
      <c r="BB503" t="s">
        <v>228</v>
      </c>
      <c r="BC503" t="s">
        <v>229</v>
      </c>
      <c r="BD503" t="s">
        <v>52</v>
      </c>
      <c r="BI503" t="s">
        <v>233</v>
      </c>
      <c r="BJ503" t="s">
        <v>0</v>
      </c>
      <c r="BK503">
        <v>42374251</v>
      </c>
      <c r="BN503" t="s">
        <v>45</v>
      </c>
      <c r="BR503">
        <v>-950</v>
      </c>
      <c r="BS503">
        <v>42374263</v>
      </c>
      <c r="BT503" s="73">
        <v>45368.583333333336</v>
      </c>
      <c r="BU503" t="s">
        <v>226</v>
      </c>
      <c r="BV503" t="s">
        <v>399</v>
      </c>
      <c r="BW503" t="s">
        <v>228</v>
      </c>
      <c r="CH503" t="s">
        <v>229</v>
      </c>
      <c r="CI503" t="s">
        <v>52</v>
      </c>
      <c r="CJ503" t="s">
        <v>226</v>
      </c>
      <c r="CK503" t="s">
        <v>399</v>
      </c>
      <c r="CL503" t="s">
        <v>228</v>
      </c>
      <c r="CM503" t="s">
        <v>234</v>
      </c>
      <c r="CN503" t="s">
        <v>45</v>
      </c>
      <c r="CO503">
        <v>-950</v>
      </c>
      <c r="CP503">
        <v>42374263</v>
      </c>
      <c r="CQ503" s="73">
        <v>45368.583333333336</v>
      </c>
      <c r="CR503" t="s">
        <v>229</v>
      </c>
      <c r="CS503" t="s">
        <v>52</v>
      </c>
      <c r="CU503" t="s">
        <v>225</v>
      </c>
    </row>
    <row r="504" spans="1:99">
      <c r="A504" t="s">
        <v>101</v>
      </c>
      <c r="B504" t="s">
        <v>98</v>
      </c>
      <c r="J504" t="s">
        <v>225</v>
      </c>
      <c r="K504" t="s">
        <v>225</v>
      </c>
      <c r="M504" s="73">
        <v>45368.583333333336</v>
      </c>
      <c r="N504">
        <v>42374262</v>
      </c>
      <c r="O504">
        <v>-47.5</v>
      </c>
      <c r="P504" t="s">
        <v>73</v>
      </c>
      <c r="Q504">
        <v>-47.5</v>
      </c>
      <c r="R504" t="s">
        <v>73</v>
      </c>
      <c r="U504" t="s">
        <v>226</v>
      </c>
      <c r="V504" t="s">
        <v>399</v>
      </c>
      <c r="W504" t="s">
        <v>228</v>
      </c>
      <c r="X504" t="s">
        <v>229</v>
      </c>
      <c r="Y504" t="s">
        <v>101</v>
      </c>
      <c r="AD504" t="s">
        <v>73</v>
      </c>
      <c r="AE504">
        <v>-47.5</v>
      </c>
      <c r="AF504">
        <v>42374262</v>
      </c>
      <c r="AG504" s="73">
        <v>45368.583333333336</v>
      </c>
      <c r="AH504" t="s">
        <v>226</v>
      </c>
      <c r="AI504" t="s">
        <v>399</v>
      </c>
      <c r="AJ504" t="s">
        <v>228</v>
      </c>
      <c r="AK504" t="s">
        <v>229</v>
      </c>
      <c r="AL504" t="s">
        <v>101</v>
      </c>
      <c r="AP504" t="s">
        <v>230</v>
      </c>
      <c r="AQ504" t="s">
        <v>231</v>
      </c>
      <c r="AT504" t="s">
        <v>232</v>
      </c>
      <c r="AU504">
        <v>-99</v>
      </c>
      <c r="AV504" t="s">
        <v>73</v>
      </c>
      <c r="AW504">
        <v>-47.5</v>
      </c>
      <c r="AX504">
        <v>42374262</v>
      </c>
      <c r="AY504" s="73">
        <v>45368.583333333336</v>
      </c>
      <c r="AZ504" t="s">
        <v>226</v>
      </c>
      <c r="BA504" t="s">
        <v>399</v>
      </c>
      <c r="BB504" t="s">
        <v>228</v>
      </c>
      <c r="BC504" t="s">
        <v>229</v>
      </c>
      <c r="BD504" t="s">
        <v>101</v>
      </c>
      <c r="BI504" t="s">
        <v>233</v>
      </c>
      <c r="BJ504" t="s">
        <v>0</v>
      </c>
      <c r="BK504">
        <v>42374251</v>
      </c>
      <c r="BN504" t="s">
        <v>73</v>
      </c>
      <c r="BR504">
        <v>-47.5</v>
      </c>
      <c r="BS504">
        <v>42374262</v>
      </c>
      <c r="BT504" s="73">
        <v>45368.583333333336</v>
      </c>
      <c r="BU504" t="s">
        <v>226</v>
      </c>
      <c r="BV504" t="s">
        <v>399</v>
      </c>
      <c r="BW504" t="s">
        <v>228</v>
      </c>
      <c r="CH504" t="s">
        <v>229</v>
      </c>
      <c r="CI504" t="s">
        <v>101</v>
      </c>
      <c r="CJ504" t="s">
        <v>226</v>
      </c>
      <c r="CK504" t="s">
        <v>399</v>
      </c>
      <c r="CL504" t="s">
        <v>228</v>
      </c>
      <c r="CM504" t="s">
        <v>234</v>
      </c>
      <c r="CN504" t="s">
        <v>73</v>
      </c>
      <c r="CO504">
        <v>-47.5</v>
      </c>
      <c r="CP504">
        <v>42374262</v>
      </c>
      <c r="CQ504" s="73">
        <v>45368.583333333336</v>
      </c>
      <c r="CR504" t="s">
        <v>229</v>
      </c>
      <c r="CS504" t="s">
        <v>101</v>
      </c>
      <c r="CU504" t="s">
        <v>225</v>
      </c>
    </row>
    <row r="505" spans="1:99">
      <c r="A505" t="s">
        <v>107</v>
      </c>
      <c r="B505" t="s">
        <v>98</v>
      </c>
      <c r="J505" t="s">
        <v>225</v>
      </c>
      <c r="K505" t="s">
        <v>225</v>
      </c>
      <c r="M505" s="73">
        <v>45368.583333333336</v>
      </c>
      <c r="N505">
        <v>42374261</v>
      </c>
      <c r="O505">
        <v>950</v>
      </c>
      <c r="P505" t="s">
        <v>104</v>
      </c>
      <c r="Q505">
        <v>950</v>
      </c>
      <c r="R505" t="s">
        <v>104</v>
      </c>
      <c r="S505">
        <v>47.5</v>
      </c>
      <c r="T505" t="s">
        <v>73</v>
      </c>
      <c r="U505" t="s">
        <v>226</v>
      </c>
      <c r="V505" t="s">
        <v>399</v>
      </c>
      <c r="W505" t="s">
        <v>235</v>
      </c>
      <c r="X505" t="s">
        <v>229</v>
      </c>
      <c r="Y505" t="s">
        <v>107</v>
      </c>
      <c r="AD505" t="s">
        <v>104</v>
      </c>
      <c r="AE505">
        <v>950</v>
      </c>
      <c r="AF505">
        <v>42374261</v>
      </c>
      <c r="AG505" s="73">
        <v>45368.583333333336</v>
      </c>
      <c r="AH505" t="s">
        <v>226</v>
      </c>
      <c r="AI505" t="s">
        <v>399</v>
      </c>
      <c r="AJ505" t="s">
        <v>235</v>
      </c>
      <c r="AK505" t="s">
        <v>229</v>
      </c>
      <c r="AL505" t="s">
        <v>107</v>
      </c>
      <c r="AP505" t="s">
        <v>230</v>
      </c>
      <c r="AQ505" t="s">
        <v>231</v>
      </c>
      <c r="AT505" t="s">
        <v>232</v>
      </c>
      <c r="AU505">
        <v>-99</v>
      </c>
      <c r="AV505" t="s">
        <v>104</v>
      </c>
      <c r="AW505">
        <v>950</v>
      </c>
      <c r="AX505">
        <v>42374261</v>
      </c>
      <c r="AY505" s="73">
        <v>45368.583333333336</v>
      </c>
      <c r="AZ505" t="s">
        <v>226</v>
      </c>
      <c r="BA505" t="s">
        <v>399</v>
      </c>
      <c r="BB505" t="s">
        <v>235</v>
      </c>
      <c r="BC505" t="s">
        <v>229</v>
      </c>
      <c r="BD505" t="s">
        <v>107</v>
      </c>
      <c r="BI505" t="s">
        <v>233</v>
      </c>
      <c r="BJ505" t="s">
        <v>0</v>
      </c>
      <c r="BK505">
        <v>42374251</v>
      </c>
      <c r="BN505" t="s">
        <v>104</v>
      </c>
      <c r="BO505">
        <v>42374257</v>
      </c>
      <c r="BR505">
        <v>950</v>
      </c>
      <c r="BS505">
        <v>42374261</v>
      </c>
      <c r="BT505" s="73">
        <v>45368.583333333336</v>
      </c>
      <c r="BU505" t="s">
        <v>226</v>
      </c>
      <c r="BV505" t="s">
        <v>399</v>
      </c>
      <c r="BW505" t="s">
        <v>235</v>
      </c>
      <c r="CH505" t="s">
        <v>229</v>
      </c>
      <c r="CI505" t="s">
        <v>107</v>
      </c>
      <c r="CJ505" t="s">
        <v>226</v>
      </c>
      <c r="CK505" t="s">
        <v>399</v>
      </c>
      <c r="CL505" t="s">
        <v>235</v>
      </c>
      <c r="CM505" t="s">
        <v>236</v>
      </c>
      <c r="CN505" t="s">
        <v>104</v>
      </c>
      <c r="CO505">
        <v>950</v>
      </c>
      <c r="CP505">
        <v>42374261</v>
      </c>
      <c r="CQ505" s="73">
        <v>45368.583333333336</v>
      </c>
      <c r="CR505" t="s">
        <v>229</v>
      </c>
      <c r="CS505" t="s">
        <v>107</v>
      </c>
      <c r="CU505" t="s">
        <v>225</v>
      </c>
    </row>
    <row r="506" spans="1:99">
      <c r="A506" t="s">
        <v>46</v>
      </c>
      <c r="B506" t="s">
        <v>92</v>
      </c>
      <c r="J506" t="s">
        <v>225</v>
      </c>
      <c r="K506" t="s">
        <v>225</v>
      </c>
      <c r="M506" s="73">
        <v>45368.583333333336</v>
      </c>
      <c r="N506">
        <v>42374175</v>
      </c>
      <c r="O506">
        <v>-301</v>
      </c>
      <c r="P506" t="s">
        <v>45</v>
      </c>
      <c r="Q506">
        <v>-301</v>
      </c>
      <c r="R506" t="s">
        <v>45</v>
      </c>
      <c r="U506" t="s">
        <v>226</v>
      </c>
      <c r="V506" t="s">
        <v>400</v>
      </c>
      <c r="W506" t="s">
        <v>228</v>
      </c>
      <c r="X506" t="s">
        <v>229</v>
      </c>
      <c r="Y506" t="s">
        <v>46</v>
      </c>
      <c r="AD506" t="s">
        <v>45</v>
      </c>
      <c r="AE506">
        <v>-301</v>
      </c>
      <c r="AF506">
        <v>42374175</v>
      </c>
      <c r="AG506" s="73">
        <v>45368.583333333336</v>
      </c>
      <c r="AH506" t="s">
        <v>226</v>
      </c>
      <c r="AI506" t="s">
        <v>400</v>
      </c>
      <c r="AJ506" t="s">
        <v>228</v>
      </c>
      <c r="AK506" t="s">
        <v>229</v>
      </c>
      <c r="AL506" t="s">
        <v>46</v>
      </c>
      <c r="AP506" t="s">
        <v>230</v>
      </c>
      <c r="AQ506" t="s">
        <v>231</v>
      </c>
      <c r="AT506" t="s">
        <v>232</v>
      </c>
      <c r="AU506">
        <v>-99</v>
      </c>
      <c r="AV506" t="s">
        <v>45</v>
      </c>
      <c r="AW506">
        <v>-301</v>
      </c>
      <c r="AX506">
        <v>42374175</v>
      </c>
      <c r="AY506" s="73">
        <v>45368.583333333336</v>
      </c>
      <c r="AZ506" t="s">
        <v>226</v>
      </c>
      <c r="BA506" t="s">
        <v>400</v>
      </c>
      <c r="BB506" t="s">
        <v>228</v>
      </c>
      <c r="BC506" t="s">
        <v>229</v>
      </c>
      <c r="BD506" t="s">
        <v>46</v>
      </c>
      <c r="BI506" t="s">
        <v>233</v>
      </c>
      <c r="BJ506" t="s">
        <v>0</v>
      </c>
      <c r="BK506">
        <v>42374152</v>
      </c>
      <c r="BN506" t="s">
        <v>45</v>
      </c>
      <c r="BR506">
        <v>-301</v>
      </c>
      <c r="BS506">
        <v>42374175</v>
      </c>
      <c r="BT506" s="73">
        <v>45368.583333333336</v>
      </c>
      <c r="BU506" t="s">
        <v>226</v>
      </c>
      <c r="BV506" t="s">
        <v>400</v>
      </c>
      <c r="BW506" t="s">
        <v>228</v>
      </c>
      <c r="CH506" t="s">
        <v>229</v>
      </c>
      <c r="CI506" t="s">
        <v>46</v>
      </c>
      <c r="CJ506" t="s">
        <v>226</v>
      </c>
      <c r="CK506" t="s">
        <v>400</v>
      </c>
      <c r="CL506" t="s">
        <v>228</v>
      </c>
      <c r="CM506" t="s">
        <v>234</v>
      </c>
      <c r="CN506" t="s">
        <v>45</v>
      </c>
      <c r="CO506">
        <v>-301</v>
      </c>
      <c r="CP506">
        <v>42374175</v>
      </c>
      <c r="CQ506" s="73">
        <v>45368.583333333336</v>
      </c>
      <c r="CR506" t="s">
        <v>229</v>
      </c>
      <c r="CS506" t="s">
        <v>46</v>
      </c>
      <c r="CU506" t="s">
        <v>225</v>
      </c>
    </row>
    <row r="507" spans="1:99">
      <c r="A507" t="s">
        <v>93</v>
      </c>
      <c r="B507" t="s">
        <v>98</v>
      </c>
      <c r="J507" t="s">
        <v>225</v>
      </c>
      <c r="K507" t="s">
        <v>225</v>
      </c>
      <c r="M507" s="73">
        <v>45368.583333333336</v>
      </c>
      <c r="N507">
        <v>42374174</v>
      </c>
      <c r="O507">
        <v>-15</v>
      </c>
      <c r="P507" t="s">
        <v>73</v>
      </c>
      <c r="Q507">
        <v>-15</v>
      </c>
      <c r="R507" t="s">
        <v>73</v>
      </c>
      <c r="U507" t="s">
        <v>226</v>
      </c>
      <c r="V507" t="s">
        <v>400</v>
      </c>
      <c r="W507" t="s">
        <v>228</v>
      </c>
      <c r="X507" t="s">
        <v>229</v>
      </c>
      <c r="Y507" t="s">
        <v>93</v>
      </c>
      <c r="AD507" t="s">
        <v>73</v>
      </c>
      <c r="AE507">
        <v>-15</v>
      </c>
      <c r="AF507">
        <v>42374174</v>
      </c>
      <c r="AG507" s="73">
        <v>45368.583333333336</v>
      </c>
      <c r="AH507" t="s">
        <v>226</v>
      </c>
      <c r="AI507" t="s">
        <v>400</v>
      </c>
      <c r="AJ507" t="s">
        <v>228</v>
      </c>
      <c r="AK507" t="s">
        <v>229</v>
      </c>
      <c r="AL507" t="s">
        <v>93</v>
      </c>
      <c r="AP507" t="s">
        <v>230</v>
      </c>
      <c r="AQ507" t="s">
        <v>231</v>
      </c>
      <c r="AT507" t="s">
        <v>232</v>
      </c>
      <c r="AU507">
        <v>-99</v>
      </c>
      <c r="AV507" t="s">
        <v>73</v>
      </c>
      <c r="AW507">
        <v>-15</v>
      </c>
      <c r="AX507">
        <v>42374174</v>
      </c>
      <c r="AY507" s="73">
        <v>45368.583333333336</v>
      </c>
      <c r="AZ507" t="s">
        <v>226</v>
      </c>
      <c r="BA507" t="s">
        <v>400</v>
      </c>
      <c r="BB507" t="s">
        <v>228</v>
      </c>
      <c r="BC507" t="s">
        <v>229</v>
      </c>
      <c r="BD507" t="s">
        <v>93</v>
      </c>
      <c r="BI507" t="s">
        <v>233</v>
      </c>
      <c r="BJ507" t="s">
        <v>0</v>
      </c>
      <c r="BK507">
        <v>42374152</v>
      </c>
      <c r="BN507" t="s">
        <v>73</v>
      </c>
      <c r="BR507">
        <v>-15</v>
      </c>
      <c r="BS507">
        <v>42374174</v>
      </c>
      <c r="BT507" s="73">
        <v>45368.583333333336</v>
      </c>
      <c r="BU507" t="s">
        <v>226</v>
      </c>
      <c r="BV507" t="s">
        <v>400</v>
      </c>
      <c r="BW507" t="s">
        <v>228</v>
      </c>
      <c r="CH507" t="s">
        <v>229</v>
      </c>
      <c r="CI507" t="s">
        <v>93</v>
      </c>
      <c r="CJ507" t="s">
        <v>226</v>
      </c>
      <c r="CK507" t="s">
        <v>400</v>
      </c>
      <c r="CL507" t="s">
        <v>228</v>
      </c>
      <c r="CM507" t="s">
        <v>234</v>
      </c>
      <c r="CN507" t="s">
        <v>73</v>
      </c>
      <c r="CO507">
        <v>-15</v>
      </c>
      <c r="CP507">
        <v>42374174</v>
      </c>
      <c r="CQ507" s="73">
        <v>45368.583333333336</v>
      </c>
      <c r="CR507" t="s">
        <v>229</v>
      </c>
      <c r="CS507" t="s">
        <v>93</v>
      </c>
      <c r="CU507" t="s">
        <v>225</v>
      </c>
    </row>
    <row r="508" spans="1:99">
      <c r="A508" t="s">
        <v>108</v>
      </c>
      <c r="B508" t="s">
        <v>98</v>
      </c>
      <c r="J508" t="s">
        <v>225</v>
      </c>
      <c r="K508" t="s">
        <v>225</v>
      </c>
      <c r="M508" s="73">
        <v>45368.583333333336</v>
      </c>
      <c r="N508">
        <v>42374173</v>
      </c>
      <c r="O508">
        <v>300</v>
      </c>
      <c r="P508" t="s">
        <v>104</v>
      </c>
      <c r="Q508">
        <v>300</v>
      </c>
      <c r="R508" t="s">
        <v>104</v>
      </c>
      <c r="S508">
        <v>15</v>
      </c>
      <c r="T508" t="s">
        <v>73</v>
      </c>
      <c r="U508" t="s">
        <v>226</v>
      </c>
      <c r="V508" t="s">
        <v>400</v>
      </c>
      <c r="W508" t="s">
        <v>235</v>
      </c>
      <c r="X508" t="s">
        <v>229</v>
      </c>
      <c r="Y508" t="s">
        <v>108</v>
      </c>
      <c r="AD508" t="s">
        <v>104</v>
      </c>
      <c r="AE508">
        <v>300</v>
      </c>
      <c r="AF508">
        <v>42374173</v>
      </c>
      <c r="AG508" s="73">
        <v>45368.583333333336</v>
      </c>
      <c r="AH508" t="s">
        <v>226</v>
      </c>
      <c r="AI508" t="s">
        <v>400</v>
      </c>
      <c r="AJ508" t="s">
        <v>235</v>
      </c>
      <c r="AK508" t="s">
        <v>229</v>
      </c>
      <c r="AL508" t="s">
        <v>108</v>
      </c>
      <c r="AP508" t="s">
        <v>230</v>
      </c>
      <c r="AQ508" t="s">
        <v>231</v>
      </c>
      <c r="AT508" t="s">
        <v>232</v>
      </c>
      <c r="AU508">
        <v>-99</v>
      </c>
      <c r="AV508" t="s">
        <v>104</v>
      </c>
      <c r="AW508">
        <v>300</v>
      </c>
      <c r="AX508">
        <v>42374173</v>
      </c>
      <c r="AY508" s="73">
        <v>45368.583333333336</v>
      </c>
      <c r="AZ508" t="s">
        <v>226</v>
      </c>
      <c r="BA508" t="s">
        <v>400</v>
      </c>
      <c r="BB508" t="s">
        <v>235</v>
      </c>
      <c r="BC508" t="s">
        <v>229</v>
      </c>
      <c r="BD508" t="s">
        <v>108</v>
      </c>
      <c r="BI508" t="s">
        <v>233</v>
      </c>
      <c r="BJ508" t="s">
        <v>0</v>
      </c>
      <c r="BK508">
        <v>42374152</v>
      </c>
      <c r="BN508" t="s">
        <v>104</v>
      </c>
      <c r="BO508">
        <v>42374165</v>
      </c>
      <c r="BR508">
        <v>300</v>
      </c>
      <c r="BS508">
        <v>42374173</v>
      </c>
      <c r="BT508" s="73">
        <v>45368.583333333336</v>
      </c>
      <c r="BU508" t="s">
        <v>226</v>
      </c>
      <c r="BV508" t="s">
        <v>400</v>
      </c>
      <c r="BW508" t="s">
        <v>235</v>
      </c>
      <c r="CH508" t="s">
        <v>229</v>
      </c>
      <c r="CI508" t="s">
        <v>108</v>
      </c>
      <c r="CJ508" t="s">
        <v>226</v>
      </c>
      <c r="CK508" t="s">
        <v>400</v>
      </c>
      <c r="CL508" t="s">
        <v>235</v>
      </c>
      <c r="CM508" t="s">
        <v>236</v>
      </c>
      <c r="CN508" t="s">
        <v>104</v>
      </c>
      <c r="CO508">
        <v>300</v>
      </c>
      <c r="CP508">
        <v>42374173</v>
      </c>
      <c r="CQ508" s="73">
        <v>45368.583333333336</v>
      </c>
      <c r="CR508" t="s">
        <v>229</v>
      </c>
      <c r="CS508" t="s">
        <v>108</v>
      </c>
      <c r="CU508" t="s">
        <v>225</v>
      </c>
    </row>
    <row r="509" spans="1:99">
      <c r="A509" t="s">
        <v>111</v>
      </c>
      <c r="B509" t="s">
        <v>77</v>
      </c>
      <c r="J509" t="s">
        <v>225</v>
      </c>
      <c r="K509" t="s">
        <v>225</v>
      </c>
      <c r="M509" s="73">
        <v>45368.583333333336</v>
      </c>
      <c r="N509">
        <v>42374172</v>
      </c>
      <c r="O509">
        <v>1</v>
      </c>
      <c r="P509" t="s">
        <v>45</v>
      </c>
      <c r="Q509">
        <v>1</v>
      </c>
      <c r="R509" t="s">
        <v>45</v>
      </c>
      <c r="U509" t="s">
        <v>226</v>
      </c>
      <c r="V509" t="s">
        <v>400</v>
      </c>
      <c r="W509" t="s">
        <v>237</v>
      </c>
      <c r="X509" t="s">
        <v>229</v>
      </c>
      <c r="Y509" t="s">
        <v>111</v>
      </c>
      <c r="AD509" t="s">
        <v>45</v>
      </c>
      <c r="AE509">
        <v>1</v>
      </c>
      <c r="AF509">
        <v>42374172</v>
      </c>
      <c r="AG509" s="73">
        <v>45368.583333333336</v>
      </c>
      <c r="AH509" t="s">
        <v>226</v>
      </c>
      <c r="AI509" t="s">
        <v>400</v>
      </c>
      <c r="AJ509" t="s">
        <v>237</v>
      </c>
      <c r="AK509" t="s">
        <v>229</v>
      </c>
      <c r="AL509" t="s">
        <v>111</v>
      </c>
      <c r="AP509" t="s">
        <v>230</v>
      </c>
      <c r="AQ509" t="s">
        <v>231</v>
      </c>
      <c r="AT509" t="s">
        <v>232</v>
      </c>
      <c r="AU509">
        <v>-99</v>
      </c>
      <c r="AV509" t="s">
        <v>45</v>
      </c>
      <c r="AW509">
        <v>1</v>
      </c>
      <c r="AX509">
        <v>42374172</v>
      </c>
      <c r="AY509" s="73">
        <v>45368.583333333336</v>
      </c>
      <c r="AZ509" t="s">
        <v>226</v>
      </c>
      <c r="BA509" t="s">
        <v>400</v>
      </c>
      <c r="BB509" t="s">
        <v>237</v>
      </c>
      <c r="BC509" t="s">
        <v>229</v>
      </c>
      <c r="BD509" t="s">
        <v>111</v>
      </c>
      <c r="BI509" t="s">
        <v>233</v>
      </c>
      <c r="BJ509" t="s">
        <v>0</v>
      </c>
      <c r="BK509">
        <v>42374152</v>
      </c>
      <c r="BN509" t="s">
        <v>45</v>
      </c>
      <c r="BO509">
        <v>42374167</v>
      </c>
      <c r="BR509">
        <v>1</v>
      </c>
      <c r="BS509">
        <v>42374172</v>
      </c>
      <c r="BT509" s="73">
        <v>45368.583333333336</v>
      </c>
      <c r="BU509" t="s">
        <v>226</v>
      </c>
      <c r="BV509" t="s">
        <v>400</v>
      </c>
      <c r="BW509" t="s">
        <v>237</v>
      </c>
      <c r="CH509" t="s">
        <v>229</v>
      </c>
      <c r="CI509" t="s">
        <v>111</v>
      </c>
      <c r="CJ509" t="s">
        <v>226</v>
      </c>
      <c r="CK509" t="s">
        <v>400</v>
      </c>
      <c r="CL509" t="s">
        <v>237</v>
      </c>
      <c r="CM509" t="s">
        <v>236</v>
      </c>
      <c r="CN509" t="s">
        <v>45</v>
      </c>
      <c r="CO509">
        <v>1</v>
      </c>
      <c r="CP509">
        <v>42374172</v>
      </c>
      <c r="CQ509" s="73">
        <v>45368.583333333336</v>
      </c>
      <c r="CR509" t="s">
        <v>229</v>
      </c>
      <c r="CS509" t="s">
        <v>111</v>
      </c>
      <c r="CU509" t="s">
        <v>225</v>
      </c>
    </row>
    <row r="510" spans="1:99">
      <c r="A510" t="s">
        <v>103</v>
      </c>
      <c r="B510" t="s">
        <v>98</v>
      </c>
      <c r="J510" t="s">
        <v>225</v>
      </c>
      <c r="K510" t="s">
        <v>225</v>
      </c>
      <c r="M510" s="73">
        <v>45368.579444444447</v>
      </c>
      <c r="N510">
        <v>42367276</v>
      </c>
      <c r="O510">
        <v>3450</v>
      </c>
      <c r="P510" t="s">
        <v>104</v>
      </c>
      <c r="Q510">
        <v>3450</v>
      </c>
      <c r="R510" t="s">
        <v>104</v>
      </c>
      <c r="S510">
        <v>172.5</v>
      </c>
      <c r="T510" t="s">
        <v>73</v>
      </c>
      <c r="U510" t="s">
        <v>226</v>
      </c>
      <c r="V510" t="s">
        <v>401</v>
      </c>
      <c r="W510" t="s">
        <v>235</v>
      </c>
      <c r="X510" t="s">
        <v>229</v>
      </c>
      <c r="Y510" t="s">
        <v>103</v>
      </c>
      <c r="AD510" t="s">
        <v>104</v>
      </c>
      <c r="AE510">
        <v>3450</v>
      </c>
      <c r="AF510">
        <v>42367276</v>
      </c>
      <c r="AG510" s="73">
        <v>45368.579444444447</v>
      </c>
      <c r="AH510" t="s">
        <v>226</v>
      </c>
      <c r="AI510" t="s">
        <v>401</v>
      </c>
      <c r="AJ510" t="s">
        <v>235</v>
      </c>
      <c r="AK510" t="s">
        <v>229</v>
      </c>
      <c r="AL510" t="s">
        <v>103</v>
      </c>
      <c r="AP510" t="s">
        <v>230</v>
      </c>
      <c r="AQ510" t="s">
        <v>231</v>
      </c>
      <c r="AT510" t="s">
        <v>232</v>
      </c>
      <c r="AU510">
        <v>-99</v>
      </c>
      <c r="AV510" t="s">
        <v>104</v>
      </c>
      <c r="AW510">
        <v>3450</v>
      </c>
      <c r="AX510">
        <v>42367276</v>
      </c>
      <c r="AY510" s="73">
        <v>45368.579444444447</v>
      </c>
      <c r="AZ510" t="s">
        <v>226</v>
      </c>
      <c r="BA510" t="s">
        <v>401</v>
      </c>
      <c r="BB510" t="s">
        <v>235</v>
      </c>
      <c r="BC510" t="s">
        <v>229</v>
      </c>
      <c r="BD510" t="s">
        <v>103</v>
      </c>
      <c r="BI510" t="s">
        <v>233</v>
      </c>
      <c r="BJ510" t="s">
        <v>0</v>
      </c>
      <c r="BK510">
        <v>42367268</v>
      </c>
      <c r="BN510" t="s">
        <v>104</v>
      </c>
      <c r="BO510">
        <v>42367270</v>
      </c>
      <c r="BR510">
        <v>3450</v>
      </c>
      <c r="BS510">
        <v>42367276</v>
      </c>
      <c r="BT510" s="73">
        <v>45368.579444444447</v>
      </c>
      <c r="BU510" t="s">
        <v>226</v>
      </c>
      <c r="BV510" t="s">
        <v>401</v>
      </c>
      <c r="BW510" t="s">
        <v>235</v>
      </c>
      <c r="CH510" t="s">
        <v>229</v>
      </c>
      <c r="CI510" t="s">
        <v>103</v>
      </c>
      <c r="CJ510" t="s">
        <v>226</v>
      </c>
      <c r="CK510" t="s">
        <v>401</v>
      </c>
      <c r="CL510" t="s">
        <v>235</v>
      </c>
      <c r="CM510" t="s">
        <v>236</v>
      </c>
      <c r="CN510" t="s">
        <v>104</v>
      </c>
      <c r="CO510">
        <v>3450</v>
      </c>
      <c r="CP510">
        <v>42367276</v>
      </c>
      <c r="CQ510" s="73">
        <v>45368.579444444447</v>
      </c>
      <c r="CR510" t="s">
        <v>229</v>
      </c>
      <c r="CS510" t="s">
        <v>103</v>
      </c>
      <c r="CU510" t="s">
        <v>225</v>
      </c>
    </row>
    <row r="511" spans="1:99">
      <c r="A511" t="s">
        <v>111</v>
      </c>
      <c r="B511" t="s">
        <v>77</v>
      </c>
      <c r="J511" t="s">
        <v>225</v>
      </c>
      <c r="K511" t="s">
        <v>225</v>
      </c>
      <c r="M511" s="73">
        <v>45368.579444444447</v>
      </c>
      <c r="N511">
        <v>42367275</v>
      </c>
      <c r="O511">
        <v>2</v>
      </c>
      <c r="P511" t="s">
        <v>45</v>
      </c>
      <c r="Q511">
        <v>2</v>
      </c>
      <c r="R511" t="s">
        <v>45</v>
      </c>
      <c r="U511" t="s">
        <v>226</v>
      </c>
      <c r="V511" t="s">
        <v>401</v>
      </c>
      <c r="W511" t="s">
        <v>237</v>
      </c>
      <c r="X511" t="s">
        <v>229</v>
      </c>
      <c r="Y511" t="s">
        <v>111</v>
      </c>
      <c r="AD511" t="s">
        <v>45</v>
      </c>
      <c r="AE511">
        <v>2</v>
      </c>
      <c r="AF511">
        <v>42367275</v>
      </c>
      <c r="AG511" s="73">
        <v>45368.579444444447</v>
      </c>
      <c r="AH511" t="s">
        <v>226</v>
      </c>
      <c r="AI511" t="s">
        <v>401</v>
      </c>
      <c r="AJ511" t="s">
        <v>237</v>
      </c>
      <c r="AK511" t="s">
        <v>229</v>
      </c>
      <c r="AL511" t="s">
        <v>111</v>
      </c>
      <c r="AP511" t="s">
        <v>230</v>
      </c>
      <c r="AQ511" t="s">
        <v>231</v>
      </c>
      <c r="AT511" t="s">
        <v>232</v>
      </c>
      <c r="AU511">
        <v>-99</v>
      </c>
      <c r="AV511" t="s">
        <v>45</v>
      </c>
      <c r="AW511">
        <v>2</v>
      </c>
      <c r="AX511">
        <v>42367275</v>
      </c>
      <c r="AY511" s="73">
        <v>45368.579444444447</v>
      </c>
      <c r="AZ511" t="s">
        <v>226</v>
      </c>
      <c r="BA511" t="s">
        <v>401</v>
      </c>
      <c r="BB511" t="s">
        <v>237</v>
      </c>
      <c r="BC511" t="s">
        <v>229</v>
      </c>
      <c r="BD511" t="s">
        <v>111</v>
      </c>
      <c r="BI511" t="s">
        <v>233</v>
      </c>
      <c r="BJ511" t="s">
        <v>0</v>
      </c>
      <c r="BK511">
        <v>42367268</v>
      </c>
      <c r="BN511" t="s">
        <v>45</v>
      </c>
      <c r="BO511">
        <v>42367272</v>
      </c>
      <c r="BR511">
        <v>2</v>
      </c>
      <c r="BS511">
        <v>42367275</v>
      </c>
      <c r="BT511" s="73">
        <v>45368.579444444447</v>
      </c>
      <c r="BU511" t="s">
        <v>226</v>
      </c>
      <c r="BV511" t="s">
        <v>401</v>
      </c>
      <c r="BW511" t="s">
        <v>237</v>
      </c>
      <c r="CH511" t="s">
        <v>229</v>
      </c>
      <c r="CI511" t="s">
        <v>111</v>
      </c>
      <c r="CJ511" t="s">
        <v>226</v>
      </c>
      <c r="CK511" t="s">
        <v>401</v>
      </c>
      <c r="CL511" t="s">
        <v>237</v>
      </c>
      <c r="CM511" t="s">
        <v>236</v>
      </c>
      <c r="CN511" t="s">
        <v>45</v>
      </c>
      <c r="CO511">
        <v>2</v>
      </c>
      <c r="CP511">
        <v>42367275</v>
      </c>
      <c r="CQ511" s="73">
        <v>45368.579444444447</v>
      </c>
      <c r="CR511" t="s">
        <v>229</v>
      </c>
      <c r="CS511" t="s">
        <v>111</v>
      </c>
      <c r="CU511" t="s">
        <v>225</v>
      </c>
    </row>
    <row r="512" spans="1:99">
      <c r="A512" t="s">
        <v>42</v>
      </c>
      <c r="B512" t="s">
        <v>92</v>
      </c>
      <c r="J512" t="s">
        <v>225</v>
      </c>
      <c r="K512" t="s">
        <v>225</v>
      </c>
      <c r="M512" s="73">
        <v>45368.579444444447</v>
      </c>
      <c r="N512">
        <v>42367265</v>
      </c>
      <c r="O512">
        <v>-3452</v>
      </c>
      <c r="P512" t="s">
        <v>45</v>
      </c>
      <c r="Q512">
        <v>-3452</v>
      </c>
      <c r="R512" t="s">
        <v>45</v>
      </c>
      <c r="U512" t="s">
        <v>226</v>
      </c>
      <c r="V512" t="s">
        <v>401</v>
      </c>
      <c r="W512" t="s">
        <v>228</v>
      </c>
      <c r="X512" t="s">
        <v>229</v>
      </c>
      <c r="Y512" t="s">
        <v>42</v>
      </c>
      <c r="AD512" t="s">
        <v>45</v>
      </c>
      <c r="AE512">
        <v>-3452</v>
      </c>
      <c r="AF512">
        <v>42367265</v>
      </c>
      <c r="AG512" s="73">
        <v>45368.579444444447</v>
      </c>
      <c r="AH512" t="s">
        <v>226</v>
      </c>
      <c r="AI512" t="s">
        <v>401</v>
      </c>
      <c r="AJ512" t="s">
        <v>228</v>
      </c>
      <c r="AK512" t="s">
        <v>229</v>
      </c>
      <c r="AL512" t="s">
        <v>42</v>
      </c>
      <c r="AP512" t="s">
        <v>230</v>
      </c>
      <c r="AQ512" t="s">
        <v>231</v>
      </c>
      <c r="AT512" t="s">
        <v>232</v>
      </c>
      <c r="AU512">
        <v>-99</v>
      </c>
      <c r="AV512" t="s">
        <v>45</v>
      </c>
      <c r="AW512">
        <v>-3452</v>
      </c>
      <c r="AX512">
        <v>42367265</v>
      </c>
      <c r="AY512" s="73">
        <v>45368.579444444447</v>
      </c>
      <c r="AZ512" t="s">
        <v>226</v>
      </c>
      <c r="BA512" t="s">
        <v>401</v>
      </c>
      <c r="BB512" t="s">
        <v>228</v>
      </c>
      <c r="BC512" t="s">
        <v>229</v>
      </c>
      <c r="BD512" t="s">
        <v>42</v>
      </c>
      <c r="BI512" t="s">
        <v>233</v>
      </c>
      <c r="BJ512" t="s">
        <v>0</v>
      </c>
      <c r="BK512">
        <v>42367257</v>
      </c>
      <c r="BN512" t="s">
        <v>45</v>
      </c>
      <c r="BR512">
        <v>-3452</v>
      </c>
      <c r="BS512">
        <v>42367265</v>
      </c>
      <c r="BT512" s="73">
        <v>45368.579444444447</v>
      </c>
      <c r="BU512" t="s">
        <v>226</v>
      </c>
      <c r="BV512" t="s">
        <v>401</v>
      </c>
      <c r="BW512" t="s">
        <v>228</v>
      </c>
      <c r="CH512" t="s">
        <v>229</v>
      </c>
      <c r="CI512" t="s">
        <v>42</v>
      </c>
      <c r="CJ512" t="s">
        <v>226</v>
      </c>
      <c r="CK512" t="s">
        <v>401</v>
      </c>
      <c r="CL512" t="s">
        <v>228</v>
      </c>
      <c r="CM512" t="s">
        <v>234</v>
      </c>
      <c r="CN512" t="s">
        <v>45</v>
      </c>
      <c r="CO512">
        <v>-3452</v>
      </c>
      <c r="CP512">
        <v>42367265</v>
      </c>
      <c r="CQ512" s="73">
        <v>45368.579444444447</v>
      </c>
      <c r="CR512" t="s">
        <v>229</v>
      </c>
      <c r="CS512" t="s">
        <v>42</v>
      </c>
      <c r="CU512" t="s">
        <v>225</v>
      </c>
    </row>
    <row r="513" spans="1:99">
      <c r="A513" t="s">
        <v>99</v>
      </c>
      <c r="B513" t="s">
        <v>98</v>
      </c>
      <c r="J513" t="s">
        <v>225</v>
      </c>
      <c r="K513" t="s">
        <v>225</v>
      </c>
      <c r="M513" s="73">
        <v>45368.579444444447</v>
      </c>
      <c r="N513">
        <v>42367264</v>
      </c>
      <c r="O513">
        <v>-172.5</v>
      </c>
      <c r="P513" t="s">
        <v>73</v>
      </c>
      <c r="Q513">
        <v>-172.5</v>
      </c>
      <c r="R513" t="s">
        <v>73</v>
      </c>
      <c r="U513" t="s">
        <v>226</v>
      </c>
      <c r="V513" t="s">
        <v>401</v>
      </c>
      <c r="W513" t="s">
        <v>228</v>
      </c>
      <c r="X513" t="s">
        <v>229</v>
      </c>
      <c r="Y513" t="s">
        <v>99</v>
      </c>
      <c r="AD513" t="s">
        <v>73</v>
      </c>
      <c r="AE513">
        <v>-172.5</v>
      </c>
      <c r="AF513">
        <v>42367264</v>
      </c>
      <c r="AG513" s="73">
        <v>45368.579444444447</v>
      </c>
      <c r="AH513" t="s">
        <v>226</v>
      </c>
      <c r="AI513" t="s">
        <v>401</v>
      </c>
      <c r="AJ513" t="s">
        <v>228</v>
      </c>
      <c r="AK513" t="s">
        <v>229</v>
      </c>
      <c r="AL513" t="s">
        <v>99</v>
      </c>
      <c r="AP513" t="s">
        <v>230</v>
      </c>
      <c r="AQ513" t="s">
        <v>231</v>
      </c>
      <c r="AT513" t="s">
        <v>232</v>
      </c>
      <c r="AU513">
        <v>-99</v>
      </c>
      <c r="AV513" t="s">
        <v>73</v>
      </c>
      <c r="AW513">
        <v>-172.5</v>
      </c>
      <c r="AX513">
        <v>42367264</v>
      </c>
      <c r="AY513" s="73">
        <v>45368.579444444447</v>
      </c>
      <c r="AZ513" t="s">
        <v>226</v>
      </c>
      <c r="BA513" t="s">
        <v>401</v>
      </c>
      <c r="BB513" t="s">
        <v>228</v>
      </c>
      <c r="BC513" t="s">
        <v>229</v>
      </c>
      <c r="BD513" t="s">
        <v>99</v>
      </c>
      <c r="BI513" t="s">
        <v>233</v>
      </c>
      <c r="BJ513" t="s">
        <v>0</v>
      </c>
      <c r="BK513">
        <v>42367257</v>
      </c>
      <c r="BN513" t="s">
        <v>73</v>
      </c>
      <c r="BR513">
        <v>-172.5</v>
      </c>
      <c r="BS513">
        <v>42367264</v>
      </c>
      <c r="BT513" s="73">
        <v>45368.579444444447</v>
      </c>
      <c r="BU513" t="s">
        <v>226</v>
      </c>
      <c r="BV513" t="s">
        <v>401</v>
      </c>
      <c r="BW513" t="s">
        <v>228</v>
      </c>
      <c r="CH513" t="s">
        <v>229</v>
      </c>
      <c r="CI513" t="s">
        <v>99</v>
      </c>
      <c r="CJ513" t="s">
        <v>226</v>
      </c>
      <c r="CK513" t="s">
        <v>401</v>
      </c>
      <c r="CL513" t="s">
        <v>228</v>
      </c>
      <c r="CM513" t="s">
        <v>234</v>
      </c>
      <c r="CN513" t="s">
        <v>73</v>
      </c>
      <c r="CO513">
        <v>-172.5</v>
      </c>
      <c r="CP513">
        <v>42367264</v>
      </c>
      <c r="CQ513" s="73">
        <v>45368.579444444447</v>
      </c>
      <c r="CR513" t="s">
        <v>229</v>
      </c>
      <c r="CS513" t="s">
        <v>99</v>
      </c>
      <c r="CU513" t="s">
        <v>225</v>
      </c>
    </row>
    <row r="514" spans="1:99">
      <c r="A514" t="s">
        <v>52</v>
      </c>
      <c r="B514" t="s">
        <v>92</v>
      </c>
      <c r="J514" t="s">
        <v>225</v>
      </c>
      <c r="K514" t="s">
        <v>225</v>
      </c>
      <c r="M514" s="73">
        <v>45368.567523148151</v>
      </c>
      <c r="N514">
        <v>42367001</v>
      </c>
      <c r="O514">
        <v>-351</v>
      </c>
      <c r="P514" t="s">
        <v>45</v>
      </c>
      <c r="Q514">
        <v>-351</v>
      </c>
      <c r="R514" t="s">
        <v>45</v>
      </c>
      <c r="U514" t="s">
        <v>226</v>
      </c>
      <c r="V514" t="s">
        <v>402</v>
      </c>
      <c r="W514" t="s">
        <v>228</v>
      </c>
      <c r="X514" t="s">
        <v>229</v>
      </c>
      <c r="Y514" t="s">
        <v>52</v>
      </c>
      <c r="AD514" t="s">
        <v>45</v>
      </c>
      <c r="AE514">
        <v>-351</v>
      </c>
      <c r="AF514">
        <v>42367001</v>
      </c>
      <c r="AG514" s="73">
        <v>45368.567523148151</v>
      </c>
      <c r="AH514" t="s">
        <v>226</v>
      </c>
      <c r="AI514" t="s">
        <v>402</v>
      </c>
      <c r="AJ514" t="s">
        <v>228</v>
      </c>
      <c r="AK514" t="s">
        <v>229</v>
      </c>
      <c r="AL514" t="s">
        <v>52</v>
      </c>
      <c r="AP514" t="s">
        <v>230</v>
      </c>
      <c r="AQ514" t="s">
        <v>231</v>
      </c>
      <c r="AT514" t="s">
        <v>232</v>
      </c>
      <c r="AU514">
        <v>-99</v>
      </c>
      <c r="AV514" t="s">
        <v>45</v>
      </c>
      <c r="AW514">
        <v>-351</v>
      </c>
      <c r="AX514">
        <v>42367001</v>
      </c>
      <c r="AY514" s="73">
        <v>45368.567523148151</v>
      </c>
      <c r="AZ514" t="s">
        <v>226</v>
      </c>
      <c r="BA514" t="s">
        <v>402</v>
      </c>
      <c r="BB514" t="s">
        <v>228</v>
      </c>
      <c r="BC514" t="s">
        <v>229</v>
      </c>
      <c r="BD514" t="s">
        <v>52</v>
      </c>
      <c r="BI514" t="s">
        <v>233</v>
      </c>
      <c r="BJ514" t="s">
        <v>0</v>
      </c>
      <c r="BK514">
        <v>42366929</v>
      </c>
      <c r="BN514" t="s">
        <v>45</v>
      </c>
      <c r="BR514">
        <v>-351</v>
      </c>
      <c r="BS514">
        <v>42367001</v>
      </c>
      <c r="BT514" s="73">
        <v>45368.567523148151</v>
      </c>
      <c r="BU514" t="s">
        <v>226</v>
      </c>
      <c r="BV514" t="s">
        <v>402</v>
      </c>
      <c r="BW514" t="s">
        <v>228</v>
      </c>
      <c r="CH514" t="s">
        <v>229</v>
      </c>
      <c r="CI514" t="s">
        <v>52</v>
      </c>
      <c r="CJ514" t="s">
        <v>226</v>
      </c>
      <c r="CK514" t="s">
        <v>402</v>
      </c>
      <c r="CL514" t="s">
        <v>228</v>
      </c>
      <c r="CM514" t="s">
        <v>234</v>
      </c>
      <c r="CN514" t="s">
        <v>45</v>
      </c>
      <c r="CO514">
        <v>-351</v>
      </c>
      <c r="CP514">
        <v>42367001</v>
      </c>
      <c r="CQ514" s="73">
        <v>45368.567523148151</v>
      </c>
      <c r="CR514" t="s">
        <v>229</v>
      </c>
      <c r="CS514" t="s">
        <v>52</v>
      </c>
      <c r="CU514" t="s">
        <v>225</v>
      </c>
    </row>
    <row r="515" spans="1:99">
      <c r="A515" t="s">
        <v>101</v>
      </c>
      <c r="B515" t="s">
        <v>98</v>
      </c>
      <c r="J515" t="s">
        <v>225</v>
      </c>
      <c r="K515" t="s">
        <v>225</v>
      </c>
      <c r="M515" s="73">
        <v>45368.567523148151</v>
      </c>
      <c r="N515">
        <v>42367000</v>
      </c>
      <c r="O515">
        <v>-17.5</v>
      </c>
      <c r="P515" t="s">
        <v>73</v>
      </c>
      <c r="Q515">
        <v>-17.5</v>
      </c>
      <c r="R515" t="s">
        <v>73</v>
      </c>
      <c r="U515" t="s">
        <v>226</v>
      </c>
      <c r="V515" t="s">
        <v>402</v>
      </c>
      <c r="W515" t="s">
        <v>228</v>
      </c>
      <c r="X515" t="s">
        <v>229</v>
      </c>
      <c r="Y515" t="s">
        <v>101</v>
      </c>
      <c r="AD515" t="s">
        <v>73</v>
      </c>
      <c r="AE515">
        <v>-17.5</v>
      </c>
      <c r="AF515">
        <v>42367000</v>
      </c>
      <c r="AG515" s="73">
        <v>45368.567523148151</v>
      </c>
      <c r="AH515" t="s">
        <v>226</v>
      </c>
      <c r="AI515" t="s">
        <v>402</v>
      </c>
      <c r="AJ515" t="s">
        <v>228</v>
      </c>
      <c r="AK515" t="s">
        <v>229</v>
      </c>
      <c r="AL515" t="s">
        <v>101</v>
      </c>
      <c r="AP515" t="s">
        <v>230</v>
      </c>
      <c r="AQ515" t="s">
        <v>231</v>
      </c>
      <c r="AT515" t="s">
        <v>232</v>
      </c>
      <c r="AU515">
        <v>-99</v>
      </c>
      <c r="AV515" t="s">
        <v>73</v>
      </c>
      <c r="AW515">
        <v>-17.5</v>
      </c>
      <c r="AX515">
        <v>42367000</v>
      </c>
      <c r="AY515" s="73">
        <v>45368.567523148151</v>
      </c>
      <c r="AZ515" t="s">
        <v>226</v>
      </c>
      <c r="BA515" t="s">
        <v>402</v>
      </c>
      <c r="BB515" t="s">
        <v>228</v>
      </c>
      <c r="BC515" t="s">
        <v>229</v>
      </c>
      <c r="BD515" t="s">
        <v>101</v>
      </c>
      <c r="BI515" t="s">
        <v>233</v>
      </c>
      <c r="BJ515" t="s">
        <v>0</v>
      </c>
      <c r="BK515">
        <v>42366929</v>
      </c>
      <c r="BN515" t="s">
        <v>73</v>
      </c>
      <c r="BR515">
        <v>-17.5</v>
      </c>
      <c r="BS515">
        <v>42367000</v>
      </c>
      <c r="BT515" s="73">
        <v>45368.567523148151</v>
      </c>
      <c r="BU515" t="s">
        <v>226</v>
      </c>
      <c r="BV515" t="s">
        <v>402</v>
      </c>
      <c r="BW515" t="s">
        <v>228</v>
      </c>
      <c r="CH515" t="s">
        <v>229</v>
      </c>
      <c r="CI515" t="s">
        <v>101</v>
      </c>
      <c r="CJ515" t="s">
        <v>226</v>
      </c>
      <c r="CK515" t="s">
        <v>402</v>
      </c>
      <c r="CL515" t="s">
        <v>228</v>
      </c>
      <c r="CM515" t="s">
        <v>234</v>
      </c>
      <c r="CN515" t="s">
        <v>73</v>
      </c>
      <c r="CO515">
        <v>-17.5</v>
      </c>
      <c r="CP515">
        <v>42367000</v>
      </c>
      <c r="CQ515" s="73">
        <v>45368.567523148151</v>
      </c>
      <c r="CR515" t="s">
        <v>229</v>
      </c>
      <c r="CS515" t="s">
        <v>101</v>
      </c>
      <c r="CU515" t="s">
        <v>225</v>
      </c>
    </row>
    <row r="516" spans="1:99">
      <c r="A516" t="s">
        <v>107</v>
      </c>
      <c r="B516" t="s">
        <v>98</v>
      </c>
      <c r="J516" t="s">
        <v>225</v>
      </c>
      <c r="K516" t="s">
        <v>225</v>
      </c>
      <c r="M516" s="73">
        <v>45368.567523148151</v>
      </c>
      <c r="N516">
        <v>42366999</v>
      </c>
      <c r="O516">
        <v>350</v>
      </c>
      <c r="P516" t="s">
        <v>104</v>
      </c>
      <c r="Q516">
        <v>350</v>
      </c>
      <c r="R516" t="s">
        <v>104</v>
      </c>
      <c r="S516">
        <v>17.5</v>
      </c>
      <c r="T516" t="s">
        <v>73</v>
      </c>
      <c r="U516" t="s">
        <v>226</v>
      </c>
      <c r="V516" t="s">
        <v>402</v>
      </c>
      <c r="W516" t="s">
        <v>235</v>
      </c>
      <c r="X516" t="s">
        <v>229</v>
      </c>
      <c r="Y516" t="s">
        <v>107</v>
      </c>
      <c r="AD516" t="s">
        <v>104</v>
      </c>
      <c r="AE516">
        <v>350</v>
      </c>
      <c r="AF516">
        <v>42366999</v>
      </c>
      <c r="AG516" s="73">
        <v>45368.567523148151</v>
      </c>
      <c r="AH516" t="s">
        <v>226</v>
      </c>
      <c r="AI516" t="s">
        <v>402</v>
      </c>
      <c r="AJ516" t="s">
        <v>235</v>
      </c>
      <c r="AK516" t="s">
        <v>229</v>
      </c>
      <c r="AL516" t="s">
        <v>107</v>
      </c>
      <c r="AP516" t="s">
        <v>230</v>
      </c>
      <c r="AQ516" t="s">
        <v>231</v>
      </c>
      <c r="AT516" t="s">
        <v>232</v>
      </c>
      <c r="AU516">
        <v>-99</v>
      </c>
      <c r="AV516" t="s">
        <v>104</v>
      </c>
      <c r="AW516">
        <v>350</v>
      </c>
      <c r="AX516">
        <v>42366999</v>
      </c>
      <c r="AY516" s="73">
        <v>45368.567523148151</v>
      </c>
      <c r="AZ516" t="s">
        <v>226</v>
      </c>
      <c r="BA516" t="s">
        <v>402</v>
      </c>
      <c r="BB516" t="s">
        <v>235</v>
      </c>
      <c r="BC516" t="s">
        <v>229</v>
      </c>
      <c r="BD516" t="s">
        <v>107</v>
      </c>
      <c r="BI516" t="s">
        <v>233</v>
      </c>
      <c r="BJ516" t="s">
        <v>0</v>
      </c>
      <c r="BK516">
        <v>42366929</v>
      </c>
      <c r="BN516" t="s">
        <v>104</v>
      </c>
      <c r="BO516">
        <v>42366942</v>
      </c>
      <c r="BR516">
        <v>350</v>
      </c>
      <c r="BS516">
        <v>42366999</v>
      </c>
      <c r="BT516" s="73">
        <v>45368.567523148151</v>
      </c>
      <c r="BU516" t="s">
        <v>226</v>
      </c>
      <c r="BV516" t="s">
        <v>402</v>
      </c>
      <c r="BW516" t="s">
        <v>235</v>
      </c>
      <c r="CH516" t="s">
        <v>229</v>
      </c>
      <c r="CI516" t="s">
        <v>107</v>
      </c>
      <c r="CJ516" t="s">
        <v>226</v>
      </c>
      <c r="CK516" t="s">
        <v>402</v>
      </c>
      <c r="CL516" t="s">
        <v>235</v>
      </c>
      <c r="CM516" t="s">
        <v>236</v>
      </c>
      <c r="CN516" t="s">
        <v>104</v>
      </c>
      <c r="CO516">
        <v>350</v>
      </c>
      <c r="CP516">
        <v>42366999</v>
      </c>
      <c r="CQ516" s="73">
        <v>45368.567523148151</v>
      </c>
      <c r="CR516" t="s">
        <v>229</v>
      </c>
      <c r="CS516" t="s">
        <v>107</v>
      </c>
      <c r="CU516" t="s">
        <v>225</v>
      </c>
    </row>
    <row r="517" spans="1:99">
      <c r="A517" t="s">
        <v>111</v>
      </c>
      <c r="B517" t="s">
        <v>77</v>
      </c>
      <c r="J517" t="s">
        <v>225</v>
      </c>
      <c r="K517" t="s">
        <v>225</v>
      </c>
      <c r="M517" s="73">
        <v>45368.567523148151</v>
      </c>
      <c r="N517">
        <v>42366998</v>
      </c>
      <c r="O517">
        <v>1</v>
      </c>
      <c r="P517" t="s">
        <v>45</v>
      </c>
      <c r="Q517">
        <v>1</v>
      </c>
      <c r="R517" t="s">
        <v>45</v>
      </c>
      <c r="U517" t="s">
        <v>226</v>
      </c>
      <c r="V517" t="s">
        <v>402</v>
      </c>
      <c r="W517" t="s">
        <v>237</v>
      </c>
      <c r="X517" t="s">
        <v>229</v>
      </c>
      <c r="Y517" t="s">
        <v>111</v>
      </c>
      <c r="AD517" t="s">
        <v>45</v>
      </c>
      <c r="AE517">
        <v>1</v>
      </c>
      <c r="AF517">
        <v>42366998</v>
      </c>
      <c r="AG517" s="73">
        <v>45368.567523148151</v>
      </c>
      <c r="AH517" t="s">
        <v>226</v>
      </c>
      <c r="AI517" t="s">
        <v>402</v>
      </c>
      <c r="AJ517" t="s">
        <v>237</v>
      </c>
      <c r="AK517" t="s">
        <v>229</v>
      </c>
      <c r="AL517" t="s">
        <v>111</v>
      </c>
      <c r="AP517" t="s">
        <v>230</v>
      </c>
      <c r="AQ517" t="s">
        <v>231</v>
      </c>
      <c r="AT517" t="s">
        <v>232</v>
      </c>
      <c r="AU517">
        <v>-99</v>
      </c>
      <c r="AV517" t="s">
        <v>45</v>
      </c>
      <c r="AW517">
        <v>1</v>
      </c>
      <c r="AX517">
        <v>42366998</v>
      </c>
      <c r="AY517" s="73">
        <v>45368.567523148151</v>
      </c>
      <c r="AZ517" t="s">
        <v>226</v>
      </c>
      <c r="BA517" t="s">
        <v>402</v>
      </c>
      <c r="BB517" t="s">
        <v>237</v>
      </c>
      <c r="BC517" t="s">
        <v>229</v>
      </c>
      <c r="BD517" t="s">
        <v>111</v>
      </c>
      <c r="BI517" t="s">
        <v>233</v>
      </c>
      <c r="BJ517" t="s">
        <v>0</v>
      </c>
      <c r="BK517">
        <v>42366929</v>
      </c>
      <c r="BN517" t="s">
        <v>45</v>
      </c>
      <c r="BO517">
        <v>42366981</v>
      </c>
      <c r="BR517">
        <v>1</v>
      </c>
      <c r="BS517">
        <v>42366998</v>
      </c>
      <c r="BT517" s="73">
        <v>45368.567523148151</v>
      </c>
      <c r="BU517" t="s">
        <v>226</v>
      </c>
      <c r="BV517" t="s">
        <v>402</v>
      </c>
      <c r="BW517" t="s">
        <v>237</v>
      </c>
      <c r="CH517" t="s">
        <v>229</v>
      </c>
      <c r="CI517" t="s">
        <v>111</v>
      </c>
      <c r="CJ517" t="s">
        <v>226</v>
      </c>
      <c r="CK517" t="s">
        <v>402</v>
      </c>
      <c r="CL517" t="s">
        <v>237</v>
      </c>
      <c r="CM517" t="s">
        <v>236</v>
      </c>
      <c r="CN517" t="s">
        <v>45</v>
      </c>
      <c r="CO517">
        <v>1</v>
      </c>
      <c r="CP517">
        <v>42366998</v>
      </c>
      <c r="CQ517" s="73">
        <v>45368.567523148151</v>
      </c>
      <c r="CR517" t="s">
        <v>229</v>
      </c>
      <c r="CS517" t="s">
        <v>111</v>
      </c>
      <c r="CU517" t="s">
        <v>225</v>
      </c>
    </row>
    <row r="518" spans="1:99">
      <c r="A518" t="s">
        <v>42</v>
      </c>
      <c r="B518" t="s">
        <v>92</v>
      </c>
      <c r="J518" t="s">
        <v>225</v>
      </c>
      <c r="K518" t="s">
        <v>225</v>
      </c>
      <c r="M518" s="73">
        <v>45367.945138888892</v>
      </c>
      <c r="N518">
        <v>42363756</v>
      </c>
      <c r="O518">
        <v>-3912</v>
      </c>
      <c r="P518" t="s">
        <v>45</v>
      </c>
      <c r="Q518">
        <v>-3912</v>
      </c>
      <c r="R518" t="s">
        <v>45</v>
      </c>
      <c r="U518" t="s">
        <v>226</v>
      </c>
      <c r="V518" t="s">
        <v>403</v>
      </c>
      <c r="W518" t="s">
        <v>228</v>
      </c>
      <c r="X518" t="s">
        <v>229</v>
      </c>
      <c r="Y518" t="s">
        <v>42</v>
      </c>
      <c r="AD518" t="s">
        <v>45</v>
      </c>
      <c r="AE518">
        <v>-3912</v>
      </c>
      <c r="AF518">
        <v>42363756</v>
      </c>
      <c r="AG518" s="73">
        <v>45367.945138888892</v>
      </c>
      <c r="AH518" t="s">
        <v>226</v>
      </c>
      <c r="AI518" t="s">
        <v>403</v>
      </c>
      <c r="AJ518" t="s">
        <v>228</v>
      </c>
      <c r="AK518" t="s">
        <v>229</v>
      </c>
      <c r="AL518" t="s">
        <v>42</v>
      </c>
      <c r="AP518" t="s">
        <v>230</v>
      </c>
      <c r="AQ518" t="s">
        <v>231</v>
      </c>
      <c r="AT518" t="s">
        <v>232</v>
      </c>
      <c r="AU518">
        <v>-99</v>
      </c>
      <c r="AV518" t="s">
        <v>45</v>
      </c>
      <c r="AW518">
        <v>-3912</v>
      </c>
      <c r="AX518">
        <v>42363756</v>
      </c>
      <c r="AY518" s="73">
        <v>45367.945138888892</v>
      </c>
      <c r="AZ518" t="s">
        <v>226</v>
      </c>
      <c r="BA518" t="s">
        <v>403</v>
      </c>
      <c r="BB518" t="s">
        <v>228</v>
      </c>
      <c r="BC518" t="s">
        <v>229</v>
      </c>
      <c r="BD518" t="s">
        <v>42</v>
      </c>
      <c r="BI518" t="s">
        <v>233</v>
      </c>
      <c r="BJ518" t="s">
        <v>0</v>
      </c>
      <c r="BK518">
        <v>42363735</v>
      </c>
      <c r="BN518" t="s">
        <v>45</v>
      </c>
      <c r="BR518">
        <v>-3912</v>
      </c>
      <c r="BS518">
        <v>42363756</v>
      </c>
      <c r="BT518" s="73">
        <v>45367.945138888892</v>
      </c>
      <c r="BU518" t="s">
        <v>226</v>
      </c>
      <c r="BV518" t="s">
        <v>403</v>
      </c>
      <c r="BW518" t="s">
        <v>228</v>
      </c>
      <c r="CH518" t="s">
        <v>229</v>
      </c>
      <c r="CI518" t="s">
        <v>42</v>
      </c>
      <c r="CJ518" t="s">
        <v>226</v>
      </c>
      <c r="CK518" t="s">
        <v>403</v>
      </c>
      <c r="CL518" t="s">
        <v>228</v>
      </c>
      <c r="CM518" t="s">
        <v>234</v>
      </c>
      <c r="CN518" t="s">
        <v>45</v>
      </c>
      <c r="CO518">
        <v>-3912</v>
      </c>
      <c r="CP518">
        <v>42363756</v>
      </c>
      <c r="CQ518" s="73">
        <v>45367.945138888892</v>
      </c>
      <c r="CR518" t="s">
        <v>229</v>
      </c>
      <c r="CS518" t="s">
        <v>42</v>
      </c>
      <c r="CU518" t="s">
        <v>225</v>
      </c>
    </row>
    <row r="519" spans="1:99">
      <c r="A519" t="s">
        <v>99</v>
      </c>
      <c r="B519" t="s">
        <v>98</v>
      </c>
      <c r="J519" t="s">
        <v>225</v>
      </c>
      <c r="K519" t="s">
        <v>225</v>
      </c>
      <c r="M519" s="73">
        <v>45367.945138888892</v>
      </c>
      <c r="N519">
        <v>42363755</v>
      </c>
      <c r="O519">
        <v>-195.5</v>
      </c>
      <c r="P519" t="s">
        <v>73</v>
      </c>
      <c r="Q519">
        <v>-195.5</v>
      </c>
      <c r="R519" t="s">
        <v>73</v>
      </c>
      <c r="U519" t="s">
        <v>226</v>
      </c>
      <c r="V519" t="s">
        <v>403</v>
      </c>
      <c r="W519" t="s">
        <v>228</v>
      </c>
      <c r="X519" t="s">
        <v>229</v>
      </c>
      <c r="Y519" t="s">
        <v>99</v>
      </c>
      <c r="AD519" t="s">
        <v>73</v>
      </c>
      <c r="AE519">
        <v>-195.5</v>
      </c>
      <c r="AF519">
        <v>42363755</v>
      </c>
      <c r="AG519" s="73">
        <v>45367.945138888892</v>
      </c>
      <c r="AH519" t="s">
        <v>226</v>
      </c>
      <c r="AI519" t="s">
        <v>403</v>
      </c>
      <c r="AJ519" t="s">
        <v>228</v>
      </c>
      <c r="AK519" t="s">
        <v>229</v>
      </c>
      <c r="AL519" t="s">
        <v>99</v>
      </c>
      <c r="AP519" t="s">
        <v>230</v>
      </c>
      <c r="AQ519" t="s">
        <v>231</v>
      </c>
      <c r="AT519" t="s">
        <v>232</v>
      </c>
      <c r="AU519">
        <v>-99</v>
      </c>
      <c r="AV519" t="s">
        <v>73</v>
      </c>
      <c r="AW519">
        <v>-195.5</v>
      </c>
      <c r="AX519">
        <v>42363755</v>
      </c>
      <c r="AY519" s="73">
        <v>45367.945138888892</v>
      </c>
      <c r="AZ519" t="s">
        <v>226</v>
      </c>
      <c r="BA519" t="s">
        <v>403</v>
      </c>
      <c r="BB519" t="s">
        <v>228</v>
      </c>
      <c r="BC519" t="s">
        <v>229</v>
      </c>
      <c r="BD519" t="s">
        <v>99</v>
      </c>
      <c r="BI519" t="s">
        <v>233</v>
      </c>
      <c r="BJ519" t="s">
        <v>0</v>
      </c>
      <c r="BK519">
        <v>42363735</v>
      </c>
      <c r="BN519" t="s">
        <v>73</v>
      </c>
      <c r="BR519">
        <v>-195.5</v>
      </c>
      <c r="BS519">
        <v>42363755</v>
      </c>
      <c r="BT519" s="73">
        <v>45367.945138888892</v>
      </c>
      <c r="BU519" t="s">
        <v>226</v>
      </c>
      <c r="BV519" t="s">
        <v>403</v>
      </c>
      <c r="BW519" t="s">
        <v>228</v>
      </c>
      <c r="CH519" t="s">
        <v>229</v>
      </c>
      <c r="CI519" t="s">
        <v>99</v>
      </c>
      <c r="CJ519" t="s">
        <v>226</v>
      </c>
      <c r="CK519" t="s">
        <v>403</v>
      </c>
      <c r="CL519" t="s">
        <v>228</v>
      </c>
      <c r="CM519" t="s">
        <v>234</v>
      </c>
      <c r="CN519" t="s">
        <v>73</v>
      </c>
      <c r="CO519">
        <v>-195.5</v>
      </c>
      <c r="CP519">
        <v>42363755</v>
      </c>
      <c r="CQ519" s="73">
        <v>45367.945138888892</v>
      </c>
      <c r="CR519" t="s">
        <v>229</v>
      </c>
      <c r="CS519" t="s">
        <v>99</v>
      </c>
      <c r="CU519" t="s">
        <v>225</v>
      </c>
    </row>
    <row r="520" spans="1:99">
      <c r="A520" t="s">
        <v>103</v>
      </c>
      <c r="B520" t="s">
        <v>98</v>
      </c>
      <c r="J520" t="s">
        <v>225</v>
      </c>
      <c r="K520" t="s">
        <v>225</v>
      </c>
      <c r="M520" s="73">
        <v>45367.945138888892</v>
      </c>
      <c r="N520">
        <v>42363754</v>
      </c>
      <c r="O520">
        <v>3910</v>
      </c>
      <c r="P520" t="s">
        <v>104</v>
      </c>
      <c r="Q520">
        <v>3910</v>
      </c>
      <c r="R520" t="s">
        <v>104</v>
      </c>
      <c r="S520">
        <v>195.5</v>
      </c>
      <c r="T520" t="s">
        <v>73</v>
      </c>
      <c r="U520" t="s">
        <v>226</v>
      </c>
      <c r="V520" t="s">
        <v>403</v>
      </c>
      <c r="W520" t="s">
        <v>235</v>
      </c>
      <c r="X520" t="s">
        <v>229</v>
      </c>
      <c r="Y520" t="s">
        <v>103</v>
      </c>
      <c r="AD520" t="s">
        <v>104</v>
      </c>
      <c r="AE520">
        <v>3910</v>
      </c>
      <c r="AF520">
        <v>42363754</v>
      </c>
      <c r="AG520" s="73">
        <v>45367.945138888892</v>
      </c>
      <c r="AH520" t="s">
        <v>226</v>
      </c>
      <c r="AI520" t="s">
        <v>403</v>
      </c>
      <c r="AJ520" t="s">
        <v>235</v>
      </c>
      <c r="AK520" t="s">
        <v>229</v>
      </c>
      <c r="AL520" t="s">
        <v>103</v>
      </c>
      <c r="AP520" t="s">
        <v>230</v>
      </c>
      <c r="AQ520" t="s">
        <v>231</v>
      </c>
      <c r="AT520" t="s">
        <v>232</v>
      </c>
      <c r="AU520">
        <v>-99</v>
      </c>
      <c r="AV520" t="s">
        <v>104</v>
      </c>
      <c r="AW520">
        <v>3910</v>
      </c>
      <c r="AX520">
        <v>42363754</v>
      </c>
      <c r="AY520" s="73">
        <v>45367.945138888892</v>
      </c>
      <c r="AZ520" t="s">
        <v>226</v>
      </c>
      <c r="BA520" t="s">
        <v>403</v>
      </c>
      <c r="BB520" t="s">
        <v>235</v>
      </c>
      <c r="BC520" t="s">
        <v>229</v>
      </c>
      <c r="BD520" t="s">
        <v>103</v>
      </c>
      <c r="BI520" t="s">
        <v>233</v>
      </c>
      <c r="BJ520" t="s">
        <v>0</v>
      </c>
      <c r="BK520">
        <v>42363735</v>
      </c>
      <c r="BN520" t="s">
        <v>104</v>
      </c>
      <c r="BO520">
        <v>42363746</v>
      </c>
      <c r="BR520">
        <v>3910</v>
      </c>
      <c r="BS520">
        <v>42363754</v>
      </c>
      <c r="BT520" s="73">
        <v>45367.945138888892</v>
      </c>
      <c r="BU520" t="s">
        <v>226</v>
      </c>
      <c r="BV520" t="s">
        <v>403</v>
      </c>
      <c r="BW520" t="s">
        <v>235</v>
      </c>
      <c r="CH520" t="s">
        <v>229</v>
      </c>
      <c r="CI520" t="s">
        <v>103</v>
      </c>
      <c r="CJ520" t="s">
        <v>226</v>
      </c>
      <c r="CK520" t="s">
        <v>403</v>
      </c>
      <c r="CL520" t="s">
        <v>235</v>
      </c>
      <c r="CM520" t="s">
        <v>236</v>
      </c>
      <c r="CN520" t="s">
        <v>104</v>
      </c>
      <c r="CO520">
        <v>3910</v>
      </c>
      <c r="CP520">
        <v>42363754</v>
      </c>
      <c r="CQ520" s="73">
        <v>45367.945138888892</v>
      </c>
      <c r="CR520" t="s">
        <v>229</v>
      </c>
      <c r="CS520" t="s">
        <v>103</v>
      </c>
      <c r="CU520" t="s">
        <v>225</v>
      </c>
    </row>
    <row r="521" spans="1:99">
      <c r="A521" t="s">
        <v>111</v>
      </c>
      <c r="B521" t="s">
        <v>77</v>
      </c>
      <c r="J521" t="s">
        <v>225</v>
      </c>
      <c r="K521" t="s">
        <v>225</v>
      </c>
      <c r="M521" s="73">
        <v>45367.945138888892</v>
      </c>
      <c r="N521">
        <v>42363753</v>
      </c>
      <c r="O521">
        <v>2</v>
      </c>
      <c r="P521" t="s">
        <v>45</v>
      </c>
      <c r="Q521">
        <v>2</v>
      </c>
      <c r="R521" t="s">
        <v>45</v>
      </c>
      <c r="U521" t="s">
        <v>226</v>
      </c>
      <c r="V521" t="s">
        <v>403</v>
      </c>
      <c r="W521" t="s">
        <v>237</v>
      </c>
      <c r="X521" t="s">
        <v>229</v>
      </c>
      <c r="Y521" t="s">
        <v>111</v>
      </c>
      <c r="AD521" t="s">
        <v>45</v>
      </c>
      <c r="AE521">
        <v>2</v>
      </c>
      <c r="AF521">
        <v>42363753</v>
      </c>
      <c r="AG521" s="73">
        <v>45367.945138888892</v>
      </c>
      <c r="AH521" t="s">
        <v>226</v>
      </c>
      <c r="AI521" t="s">
        <v>403</v>
      </c>
      <c r="AJ521" t="s">
        <v>237</v>
      </c>
      <c r="AK521" t="s">
        <v>229</v>
      </c>
      <c r="AL521" t="s">
        <v>111</v>
      </c>
      <c r="AP521" t="s">
        <v>230</v>
      </c>
      <c r="AQ521" t="s">
        <v>231</v>
      </c>
      <c r="AT521" t="s">
        <v>232</v>
      </c>
      <c r="AU521">
        <v>-99</v>
      </c>
      <c r="AV521" t="s">
        <v>45</v>
      </c>
      <c r="AW521">
        <v>2</v>
      </c>
      <c r="AX521">
        <v>42363753</v>
      </c>
      <c r="AY521" s="73">
        <v>45367.945138888892</v>
      </c>
      <c r="AZ521" t="s">
        <v>226</v>
      </c>
      <c r="BA521" t="s">
        <v>403</v>
      </c>
      <c r="BB521" t="s">
        <v>237</v>
      </c>
      <c r="BC521" t="s">
        <v>229</v>
      </c>
      <c r="BD521" t="s">
        <v>111</v>
      </c>
      <c r="BI521" t="s">
        <v>233</v>
      </c>
      <c r="BJ521" t="s">
        <v>0</v>
      </c>
      <c r="BK521">
        <v>42363735</v>
      </c>
      <c r="BN521" t="s">
        <v>45</v>
      </c>
      <c r="BO521">
        <v>42363748</v>
      </c>
      <c r="BR521">
        <v>2</v>
      </c>
      <c r="BS521">
        <v>42363753</v>
      </c>
      <c r="BT521" s="73">
        <v>45367.945138888892</v>
      </c>
      <c r="BU521" t="s">
        <v>226</v>
      </c>
      <c r="BV521" t="s">
        <v>403</v>
      </c>
      <c r="BW521" t="s">
        <v>237</v>
      </c>
      <c r="CH521" t="s">
        <v>229</v>
      </c>
      <c r="CI521" t="s">
        <v>111</v>
      </c>
      <c r="CJ521" t="s">
        <v>226</v>
      </c>
      <c r="CK521" t="s">
        <v>403</v>
      </c>
      <c r="CL521" t="s">
        <v>237</v>
      </c>
      <c r="CM521" t="s">
        <v>236</v>
      </c>
      <c r="CN521" t="s">
        <v>45</v>
      </c>
      <c r="CO521">
        <v>2</v>
      </c>
      <c r="CP521">
        <v>42363753</v>
      </c>
      <c r="CQ521" s="73">
        <v>45367.945138888892</v>
      </c>
      <c r="CR521" t="s">
        <v>229</v>
      </c>
      <c r="CS521" t="s">
        <v>111</v>
      </c>
      <c r="CU521" t="s">
        <v>225</v>
      </c>
    </row>
    <row r="522" spans="1:99">
      <c r="A522" t="s">
        <v>42</v>
      </c>
      <c r="B522" t="s">
        <v>92</v>
      </c>
      <c r="J522" t="s">
        <v>225</v>
      </c>
      <c r="K522" t="s">
        <v>225</v>
      </c>
      <c r="M522" s="73">
        <v>45367.943749999999</v>
      </c>
      <c r="N522">
        <v>42363733</v>
      </c>
      <c r="O522">
        <v>-3380</v>
      </c>
      <c r="P522" t="s">
        <v>45</v>
      </c>
      <c r="Q522">
        <v>-3380</v>
      </c>
      <c r="R522" t="s">
        <v>45</v>
      </c>
      <c r="U522" t="s">
        <v>226</v>
      </c>
      <c r="V522" t="s">
        <v>404</v>
      </c>
      <c r="W522" t="s">
        <v>228</v>
      </c>
      <c r="X522" t="s">
        <v>229</v>
      </c>
      <c r="Y522" t="s">
        <v>42</v>
      </c>
      <c r="AD522" t="s">
        <v>45</v>
      </c>
      <c r="AE522">
        <v>-3380</v>
      </c>
      <c r="AF522">
        <v>42363733</v>
      </c>
      <c r="AG522" s="73">
        <v>45367.943749999999</v>
      </c>
      <c r="AH522" t="s">
        <v>226</v>
      </c>
      <c r="AI522" t="s">
        <v>404</v>
      </c>
      <c r="AJ522" t="s">
        <v>228</v>
      </c>
      <c r="AK522" t="s">
        <v>229</v>
      </c>
      <c r="AL522" t="s">
        <v>42</v>
      </c>
      <c r="AP522" t="s">
        <v>230</v>
      </c>
      <c r="AQ522" t="s">
        <v>231</v>
      </c>
      <c r="AT522" t="s">
        <v>232</v>
      </c>
      <c r="AU522">
        <v>-99</v>
      </c>
      <c r="AV522" t="s">
        <v>45</v>
      </c>
      <c r="AW522">
        <v>-3380</v>
      </c>
      <c r="AX522">
        <v>42363733</v>
      </c>
      <c r="AY522" s="73">
        <v>45367.943749999999</v>
      </c>
      <c r="AZ522" t="s">
        <v>226</v>
      </c>
      <c r="BA522" t="s">
        <v>404</v>
      </c>
      <c r="BB522" t="s">
        <v>228</v>
      </c>
      <c r="BC522" t="s">
        <v>229</v>
      </c>
      <c r="BD522" t="s">
        <v>42</v>
      </c>
      <c r="BI522" t="s">
        <v>233</v>
      </c>
      <c r="BJ522" t="s">
        <v>0</v>
      </c>
      <c r="BK522">
        <v>42363721</v>
      </c>
      <c r="BN522" t="s">
        <v>45</v>
      </c>
      <c r="BR522">
        <v>-3380</v>
      </c>
      <c r="BS522">
        <v>42363733</v>
      </c>
      <c r="BT522" s="73">
        <v>45367.943749999999</v>
      </c>
      <c r="BU522" t="s">
        <v>226</v>
      </c>
      <c r="BV522" t="s">
        <v>404</v>
      </c>
      <c r="BW522" t="s">
        <v>228</v>
      </c>
      <c r="CH522" t="s">
        <v>229</v>
      </c>
      <c r="CI522" t="s">
        <v>42</v>
      </c>
      <c r="CJ522" t="s">
        <v>226</v>
      </c>
      <c r="CK522" t="s">
        <v>404</v>
      </c>
      <c r="CL522" t="s">
        <v>228</v>
      </c>
      <c r="CM522" t="s">
        <v>234</v>
      </c>
      <c r="CN522" t="s">
        <v>45</v>
      </c>
      <c r="CO522">
        <v>-3380</v>
      </c>
      <c r="CP522">
        <v>42363733</v>
      </c>
      <c r="CQ522" s="73">
        <v>45367.943749999999</v>
      </c>
      <c r="CR522" t="s">
        <v>229</v>
      </c>
      <c r="CS522" t="s">
        <v>42</v>
      </c>
      <c r="CU522" t="s">
        <v>225</v>
      </c>
    </row>
    <row r="523" spans="1:99">
      <c r="A523" t="s">
        <v>99</v>
      </c>
      <c r="B523" t="s">
        <v>98</v>
      </c>
      <c r="J523" t="s">
        <v>225</v>
      </c>
      <c r="K523" t="s">
        <v>225</v>
      </c>
      <c r="M523" s="73">
        <v>45367.943749999999</v>
      </c>
      <c r="N523">
        <v>42363732</v>
      </c>
      <c r="O523">
        <v>-169</v>
      </c>
      <c r="P523" t="s">
        <v>73</v>
      </c>
      <c r="Q523">
        <v>-169</v>
      </c>
      <c r="R523" t="s">
        <v>73</v>
      </c>
      <c r="U523" t="s">
        <v>226</v>
      </c>
      <c r="V523" t="s">
        <v>404</v>
      </c>
      <c r="W523" t="s">
        <v>228</v>
      </c>
      <c r="X523" t="s">
        <v>229</v>
      </c>
      <c r="Y523" t="s">
        <v>99</v>
      </c>
      <c r="AD523" t="s">
        <v>73</v>
      </c>
      <c r="AE523">
        <v>-169</v>
      </c>
      <c r="AF523">
        <v>42363732</v>
      </c>
      <c r="AG523" s="73">
        <v>45367.943749999999</v>
      </c>
      <c r="AH523" t="s">
        <v>226</v>
      </c>
      <c r="AI523" t="s">
        <v>404</v>
      </c>
      <c r="AJ523" t="s">
        <v>228</v>
      </c>
      <c r="AK523" t="s">
        <v>229</v>
      </c>
      <c r="AL523" t="s">
        <v>99</v>
      </c>
      <c r="AP523" t="s">
        <v>230</v>
      </c>
      <c r="AQ523" t="s">
        <v>231</v>
      </c>
      <c r="AT523" t="s">
        <v>232</v>
      </c>
      <c r="AU523">
        <v>-99</v>
      </c>
      <c r="AV523" t="s">
        <v>73</v>
      </c>
      <c r="AW523">
        <v>-169</v>
      </c>
      <c r="AX523">
        <v>42363732</v>
      </c>
      <c r="AY523" s="73">
        <v>45367.943749999999</v>
      </c>
      <c r="AZ523" t="s">
        <v>226</v>
      </c>
      <c r="BA523" t="s">
        <v>404</v>
      </c>
      <c r="BB523" t="s">
        <v>228</v>
      </c>
      <c r="BC523" t="s">
        <v>229</v>
      </c>
      <c r="BD523" t="s">
        <v>99</v>
      </c>
      <c r="BI523" t="s">
        <v>233</v>
      </c>
      <c r="BJ523" t="s">
        <v>0</v>
      </c>
      <c r="BK523">
        <v>42363721</v>
      </c>
      <c r="BN523" t="s">
        <v>73</v>
      </c>
      <c r="BR523">
        <v>-169</v>
      </c>
      <c r="BS523">
        <v>42363732</v>
      </c>
      <c r="BT523" s="73">
        <v>45367.943749999999</v>
      </c>
      <c r="BU523" t="s">
        <v>226</v>
      </c>
      <c r="BV523" t="s">
        <v>404</v>
      </c>
      <c r="BW523" t="s">
        <v>228</v>
      </c>
      <c r="CH523" t="s">
        <v>229</v>
      </c>
      <c r="CI523" t="s">
        <v>99</v>
      </c>
      <c r="CJ523" t="s">
        <v>226</v>
      </c>
      <c r="CK523" t="s">
        <v>404</v>
      </c>
      <c r="CL523" t="s">
        <v>228</v>
      </c>
      <c r="CM523" t="s">
        <v>234</v>
      </c>
      <c r="CN523" t="s">
        <v>73</v>
      </c>
      <c r="CO523">
        <v>-169</v>
      </c>
      <c r="CP523">
        <v>42363732</v>
      </c>
      <c r="CQ523" s="73">
        <v>45367.943749999999</v>
      </c>
      <c r="CR523" t="s">
        <v>229</v>
      </c>
      <c r="CS523" t="s">
        <v>99</v>
      </c>
      <c r="CU523" t="s">
        <v>225</v>
      </c>
    </row>
    <row r="524" spans="1:99">
      <c r="A524" t="s">
        <v>103</v>
      </c>
      <c r="B524" t="s">
        <v>98</v>
      </c>
      <c r="J524" t="s">
        <v>225</v>
      </c>
      <c r="K524" t="s">
        <v>225</v>
      </c>
      <c r="M524" s="73">
        <v>45367.943749999999</v>
      </c>
      <c r="N524">
        <v>42363731</v>
      </c>
      <c r="O524">
        <v>3380</v>
      </c>
      <c r="P524" t="s">
        <v>104</v>
      </c>
      <c r="Q524">
        <v>3380</v>
      </c>
      <c r="R524" t="s">
        <v>104</v>
      </c>
      <c r="S524">
        <v>169</v>
      </c>
      <c r="T524" t="s">
        <v>73</v>
      </c>
      <c r="U524" t="s">
        <v>226</v>
      </c>
      <c r="V524" t="s">
        <v>404</v>
      </c>
      <c r="W524" t="s">
        <v>235</v>
      </c>
      <c r="X524" t="s">
        <v>229</v>
      </c>
      <c r="Y524" t="s">
        <v>103</v>
      </c>
      <c r="AD524" t="s">
        <v>104</v>
      </c>
      <c r="AE524">
        <v>3380</v>
      </c>
      <c r="AF524">
        <v>42363731</v>
      </c>
      <c r="AG524" s="73">
        <v>45367.943749999999</v>
      </c>
      <c r="AH524" t="s">
        <v>226</v>
      </c>
      <c r="AI524" t="s">
        <v>404</v>
      </c>
      <c r="AJ524" t="s">
        <v>235</v>
      </c>
      <c r="AK524" t="s">
        <v>229</v>
      </c>
      <c r="AL524" t="s">
        <v>103</v>
      </c>
      <c r="AP524" t="s">
        <v>230</v>
      </c>
      <c r="AQ524" t="s">
        <v>231</v>
      </c>
      <c r="AT524" t="s">
        <v>232</v>
      </c>
      <c r="AU524">
        <v>-99</v>
      </c>
      <c r="AV524" t="s">
        <v>104</v>
      </c>
      <c r="AW524">
        <v>3380</v>
      </c>
      <c r="AX524">
        <v>42363731</v>
      </c>
      <c r="AY524" s="73">
        <v>45367.943749999999</v>
      </c>
      <c r="AZ524" t="s">
        <v>226</v>
      </c>
      <c r="BA524" t="s">
        <v>404</v>
      </c>
      <c r="BB524" t="s">
        <v>235</v>
      </c>
      <c r="BC524" t="s">
        <v>229</v>
      </c>
      <c r="BD524" t="s">
        <v>103</v>
      </c>
      <c r="BI524" t="s">
        <v>233</v>
      </c>
      <c r="BJ524" t="s">
        <v>0</v>
      </c>
      <c r="BK524">
        <v>42363721</v>
      </c>
      <c r="BN524" t="s">
        <v>104</v>
      </c>
      <c r="BO524">
        <v>42363727</v>
      </c>
      <c r="BR524">
        <v>3380</v>
      </c>
      <c r="BS524">
        <v>42363731</v>
      </c>
      <c r="BT524" s="73">
        <v>45367.943749999999</v>
      </c>
      <c r="BU524" t="s">
        <v>226</v>
      </c>
      <c r="BV524" t="s">
        <v>404</v>
      </c>
      <c r="BW524" t="s">
        <v>235</v>
      </c>
      <c r="CH524" t="s">
        <v>229</v>
      </c>
      <c r="CI524" t="s">
        <v>103</v>
      </c>
      <c r="CJ524" t="s">
        <v>226</v>
      </c>
      <c r="CK524" t="s">
        <v>404</v>
      </c>
      <c r="CL524" t="s">
        <v>235</v>
      </c>
      <c r="CM524" t="s">
        <v>236</v>
      </c>
      <c r="CN524" t="s">
        <v>104</v>
      </c>
      <c r="CO524">
        <v>3380</v>
      </c>
      <c r="CP524">
        <v>42363731</v>
      </c>
      <c r="CQ524" s="73">
        <v>45367.943749999999</v>
      </c>
      <c r="CR524" t="s">
        <v>229</v>
      </c>
      <c r="CS524" t="s">
        <v>103</v>
      </c>
      <c r="CU524" t="s">
        <v>225</v>
      </c>
    </row>
    <row r="525" spans="1:99">
      <c r="A525" t="s">
        <v>46</v>
      </c>
      <c r="B525" t="s">
        <v>92</v>
      </c>
      <c r="J525" t="s">
        <v>225</v>
      </c>
      <c r="K525" t="s">
        <v>225</v>
      </c>
      <c r="M525" s="73">
        <v>45367.923611111109</v>
      </c>
      <c r="N525">
        <v>42363599</v>
      </c>
      <c r="O525">
        <v>-200</v>
      </c>
      <c r="P525" t="s">
        <v>45</v>
      </c>
      <c r="Q525">
        <v>-200</v>
      </c>
      <c r="R525" t="s">
        <v>45</v>
      </c>
      <c r="U525" t="s">
        <v>226</v>
      </c>
      <c r="V525" t="s">
        <v>405</v>
      </c>
      <c r="W525" t="s">
        <v>228</v>
      </c>
      <c r="X525" t="s">
        <v>229</v>
      </c>
      <c r="Y525" t="s">
        <v>46</v>
      </c>
      <c r="AD525" t="s">
        <v>45</v>
      </c>
      <c r="AE525">
        <v>-200</v>
      </c>
      <c r="AF525">
        <v>42363599</v>
      </c>
      <c r="AG525" s="73">
        <v>45367.923611111109</v>
      </c>
      <c r="AH525" t="s">
        <v>226</v>
      </c>
      <c r="AI525" t="s">
        <v>405</v>
      </c>
      <c r="AJ525" t="s">
        <v>228</v>
      </c>
      <c r="AK525" t="s">
        <v>229</v>
      </c>
      <c r="AL525" t="s">
        <v>46</v>
      </c>
      <c r="AP525" t="s">
        <v>230</v>
      </c>
      <c r="AQ525" t="s">
        <v>231</v>
      </c>
      <c r="AT525" t="s">
        <v>232</v>
      </c>
      <c r="AU525">
        <v>-99</v>
      </c>
      <c r="AV525" t="s">
        <v>45</v>
      </c>
      <c r="AW525">
        <v>-200</v>
      </c>
      <c r="AX525">
        <v>42363599</v>
      </c>
      <c r="AY525" s="73">
        <v>45367.923611111109</v>
      </c>
      <c r="AZ525" t="s">
        <v>226</v>
      </c>
      <c r="BA525" t="s">
        <v>405</v>
      </c>
      <c r="BB525" t="s">
        <v>228</v>
      </c>
      <c r="BC525" t="s">
        <v>229</v>
      </c>
      <c r="BD525" t="s">
        <v>46</v>
      </c>
      <c r="BI525" t="s">
        <v>233</v>
      </c>
      <c r="BJ525" t="s">
        <v>0</v>
      </c>
      <c r="BK525">
        <v>42363587</v>
      </c>
      <c r="BN525" t="s">
        <v>45</v>
      </c>
      <c r="BR525">
        <v>-200</v>
      </c>
      <c r="BS525">
        <v>42363599</v>
      </c>
      <c r="BT525" s="73">
        <v>45367.923611111109</v>
      </c>
      <c r="BU525" t="s">
        <v>226</v>
      </c>
      <c r="BV525" t="s">
        <v>405</v>
      </c>
      <c r="BW525" t="s">
        <v>228</v>
      </c>
      <c r="CH525" t="s">
        <v>229</v>
      </c>
      <c r="CI525" t="s">
        <v>46</v>
      </c>
      <c r="CJ525" t="s">
        <v>226</v>
      </c>
      <c r="CK525" t="s">
        <v>405</v>
      </c>
      <c r="CL525" t="s">
        <v>228</v>
      </c>
      <c r="CM525" t="s">
        <v>234</v>
      </c>
      <c r="CN525" t="s">
        <v>45</v>
      </c>
      <c r="CO525">
        <v>-200</v>
      </c>
      <c r="CP525">
        <v>42363599</v>
      </c>
      <c r="CQ525" s="73">
        <v>45367.923611111109</v>
      </c>
      <c r="CR525" t="s">
        <v>229</v>
      </c>
      <c r="CS525" t="s">
        <v>46</v>
      </c>
      <c r="CU525" t="s">
        <v>225</v>
      </c>
    </row>
    <row r="526" spans="1:99">
      <c r="A526" t="s">
        <v>93</v>
      </c>
      <c r="B526" t="s">
        <v>98</v>
      </c>
      <c r="J526" t="s">
        <v>225</v>
      </c>
      <c r="K526" t="s">
        <v>225</v>
      </c>
      <c r="M526" s="73">
        <v>45367.923611111109</v>
      </c>
      <c r="N526">
        <v>42363598</v>
      </c>
      <c r="O526">
        <v>-10</v>
      </c>
      <c r="P526" t="s">
        <v>73</v>
      </c>
      <c r="Q526">
        <v>-10</v>
      </c>
      <c r="R526" t="s">
        <v>73</v>
      </c>
      <c r="U526" t="s">
        <v>226</v>
      </c>
      <c r="V526" t="s">
        <v>405</v>
      </c>
      <c r="W526" t="s">
        <v>228</v>
      </c>
      <c r="X526" t="s">
        <v>229</v>
      </c>
      <c r="Y526" t="s">
        <v>93</v>
      </c>
      <c r="AD526" t="s">
        <v>73</v>
      </c>
      <c r="AE526">
        <v>-10</v>
      </c>
      <c r="AF526">
        <v>42363598</v>
      </c>
      <c r="AG526" s="73">
        <v>45367.923611111109</v>
      </c>
      <c r="AH526" t="s">
        <v>226</v>
      </c>
      <c r="AI526" t="s">
        <v>405</v>
      </c>
      <c r="AJ526" t="s">
        <v>228</v>
      </c>
      <c r="AK526" t="s">
        <v>229</v>
      </c>
      <c r="AL526" t="s">
        <v>93</v>
      </c>
      <c r="AP526" t="s">
        <v>230</v>
      </c>
      <c r="AQ526" t="s">
        <v>231</v>
      </c>
      <c r="AT526" t="s">
        <v>232</v>
      </c>
      <c r="AU526">
        <v>-99</v>
      </c>
      <c r="AV526" t="s">
        <v>73</v>
      </c>
      <c r="AW526">
        <v>-10</v>
      </c>
      <c r="AX526">
        <v>42363598</v>
      </c>
      <c r="AY526" s="73">
        <v>45367.923611111109</v>
      </c>
      <c r="AZ526" t="s">
        <v>226</v>
      </c>
      <c r="BA526" t="s">
        <v>405</v>
      </c>
      <c r="BB526" t="s">
        <v>228</v>
      </c>
      <c r="BC526" t="s">
        <v>229</v>
      </c>
      <c r="BD526" t="s">
        <v>93</v>
      </c>
      <c r="BI526" t="s">
        <v>233</v>
      </c>
      <c r="BJ526" t="s">
        <v>0</v>
      </c>
      <c r="BK526">
        <v>42363587</v>
      </c>
      <c r="BN526" t="s">
        <v>73</v>
      </c>
      <c r="BR526">
        <v>-10</v>
      </c>
      <c r="BS526">
        <v>42363598</v>
      </c>
      <c r="BT526" s="73">
        <v>45367.923611111109</v>
      </c>
      <c r="BU526" t="s">
        <v>226</v>
      </c>
      <c r="BV526" t="s">
        <v>405</v>
      </c>
      <c r="BW526" t="s">
        <v>228</v>
      </c>
      <c r="CH526" t="s">
        <v>229</v>
      </c>
      <c r="CI526" t="s">
        <v>93</v>
      </c>
      <c r="CJ526" t="s">
        <v>226</v>
      </c>
      <c r="CK526" t="s">
        <v>405</v>
      </c>
      <c r="CL526" t="s">
        <v>228</v>
      </c>
      <c r="CM526" t="s">
        <v>234</v>
      </c>
      <c r="CN526" t="s">
        <v>73</v>
      </c>
      <c r="CO526">
        <v>-10</v>
      </c>
      <c r="CP526">
        <v>42363598</v>
      </c>
      <c r="CQ526" s="73">
        <v>45367.923611111109</v>
      </c>
      <c r="CR526" t="s">
        <v>229</v>
      </c>
      <c r="CS526" t="s">
        <v>93</v>
      </c>
      <c r="CU526" t="s">
        <v>225</v>
      </c>
    </row>
    <row r="527" spans="1:99">
      <c r="A527" t="s">
        <v>108</v>
      </c>
      <c r="B527" t="s">
        <v>98</v>
      </c>
      <c r="J527" t="s">
        <v>225</v>
      </c>
      <c r="K527" t="s">
        <v>225</v>
      </c>
      <c r="M527" s="73">
        <v>45367.923611111109</v>
      </c>
      <c r="N527">
        <v>42363597</v>
      </c>
      <c r="O527">
        <v>200</v>
      </c>
      <c r="P527" t="s">
        <v>104</v>
      </c>
      <c r="Q527">
        <v>200</v>
      </c>
      <c r="R527" t="s">
        <v>104</v>
      </c>
      <c r="S527">
        <v>10</v>
      </c>
      <c r="T527" t="s">
        <v>73</v>
      </c>
      <c r="U527" t="s">
        <v>226</v>
      </c>
      <c r="V527" t="s">
        <v>405</v>
      </c>
      <c r="W527" t="s">
        <v>235</v>
      </c>
      <c r="X527" t="s">
        <v>229</v>
      </c>
      <c r="Y527" t="s">
        <v>108</v>
      </c>
      <c r="AD527" t="s">
        <v>104</v>
      </c>
      <c r="AE527">
        <v>200</v>
      </c>
      <c r="AF527">
        <v>42363597</v>
      </c>
      <c r="AG527" s="73">
        <v>45367.923611111109</v>
      </c>
      <c r="AH527" t="s">
        <v>226</v>
      </c>
      <c r="AI527" t="s">
        <v>405</v>
      </c>
      <c r="AJ527" t="s">
        <v>235</v>
      </c>
      <c r="AK527" t="s">
        <v>229</v>
      </c>
      <c r="AL527" t="s">
        <v>108</v>
      </c>
      <c r="AP527" t="s">
        <v>230</v>
      </c>
      <c r="AQ527" t="s">
        <v>231</v>
      </c>
      <c r="AT527" t="s">
        <v>232</v>
      </c>
      <c r="AU527">
        <v>-99</v>
      </c>
      <c r="AV527" t="s">
        <v>104</v>
      </c>
      <c r="AW527">
        <v>200</v>
      </c>
      <c r="AX527">
        <v>42363597</v>
      </c>
      <c r="AY527" s="73">
        <v>45367.923611111109</v>
      </c>
      <c r="AZ527" t="s">
        <v>226</v>
      </c>
      <c r="BA527" t="s">
        <v>405</v>
      </c>
      <c r="BB527" t="s">
        <v>235</v>
      </c>
      <c r="BC527" t="s">
        <v>229</v>
      </c>
      <c r="BD527" t="s">
        <v>108</v>
      </c>
      <c r="BI527" t="s">
        <v>233</v>
      </c>
      <c r="BJ527" t="s">
        <v>0</v>
      </c>
      <c r="BK527">
        <v>42363587</v>
      </c>
      <c r="BN527" t="s">
        <v>104</v>
      </c>
      <c r="BO527">
        <v>42363593</v>
      </c>
      <c r="BR527">
        <v>200</v>
      </c>
      <c r="BS527">
        <v>42363597</v>
      </c>
      <c r="BT527" s="73">
        <v>45367.923611111109</v>
      </c>
      <c r="BU527" t="s">
        <v>226</v>
      </c>
      <c r="BV527" t="s">
        <v>405</v>
      </c>
      <c r="BW527" t="s">
        <v>235</v>
      </c>
      <c r="CH527" t="s">
        <v>229</v>
      </c>
      <c r="CI527" t="s">
        <v>108</v>
      </c>
      <c r="CJ527" t="s">
        <v>226</v>
      </c>
      <c r="CK527" t="s">
        <v>405</v>
      </c>
      <c r="CL527" t="s">
        <v>235</v>
      </c>
      <c r="CM527" t="s">
        <v>236</v>
      </c>
      <c r="CN527" t="s">
        <v>104</v>
      </c>
      <c r="CO527">
        <v>200</v>
      </c>
      <c r="CP527">
        <v>42363597</v>
      </c>
      <c r="CQ527" s="73">
        <v>45367.923611111109</v>
      </c>
      <c r="CR527" t="s">
        <v>229</v>
      </c>
      <c r="CS527" t="s">
        <v>108</v>
      </c>
      <c r="CU527" t="s">
        <v>225</v>
      </c>
    </row>
    <row r="528" spans="1:99">
      <c r="A528" t="s">
        <v>99</v>
      </c>
      <c r="B528" t="s">
        <v>98</v>
      </c>
      <c r="J528" t="s">
        <v>225</v>
      </c>
      <c r="K528" t="s">
        <v>225</v>
      </c>
      <c r="M528" s="73">
        <v>45367.923611111109</v>
      </c>
      <c r="N528">
        <v>42359214</v>
      </c>
      <c r="O528">
        <v>446.74</v>
      </c>
      <c r="P528" t="s">
        <v>73</v>
      </c>
      <c r="Q528">
        <v>446.74</v>
      </c>
      <c r="R528" t="s">
        <v>73</v>
      </c>
      <c r="U528" t="s">
        <v>226</v>
      </c>
      <c r="V528" t="s">
        <v>406</v>
      </c>
      <c r="W528" t="s">
        <v>235</v>
      </c>
      <c r="X528" t="s">
        <v>229</v>
      </c>
      <c r="Y528" t="s">
        <v>99</v>
      </c>
      <c r="AD528" t="s">
        <v>73</v>
      </c>
      <c r="AE528">
        <v>446.74</v>
      </c>
      <c r="AF528">
        <v>42359214</v>
      </c>
      <c r="AG528" s="73">
        <v>45367.923611111109</v>
      </c>
      <c r="AH528" t="s">
        <v>226</v>
      </c>
      <c r="AI528" t="s">
        <v>406</v>
      </c>
      <c r="AJ528" t="s">
        <v>235</v>
      </c>
      <c r="AK528" t="s">
        <v>229</v>
      </c>
      <c r="AL528" t="s">
        <v>99</v>
      </c>
      <c r="AP528" t="s">
        <v>230</v>
      </c>
      <c r="AQ528" t="s">
        <v>231</v>
      </c>
      <c r="AT528" t="s">
        <v>232</v>
      </c>
      <c r="AU528">
        <v>-99</v>
      </c>
      <c r="AV528" t="s">
        <v>73</v>
      </c>
      <c r="AW528">
        <v>446.74</v>
      </c>
      <c r="AX528">
        <v>42359214</v>
      </c>
      <c r="AY528" s="73">
        <v>45367.923611111109</v>
      </c>
      <c r="AZ528" t="s">
        <v>226</v>
      </c>
      <c r="BA528" t="s">
        <v>406</v>
      </c>
      <c r="BB528" t="s">
        <v>235</v>
      </c>
      <c r="BC528" t="s">
        <v>229</v>
      </c>
      <c r="BD528" t="s">
        <v>99</v>
      </c>
      <c r="BI528" t="s">
        <v>233</v>
      </c>
      <c r="BJ528" t="s">
        <v>0</v>
      </c>
      <c r="BK528">
        <v>42359210</v>
      </c>
      <c r="BN528" t="s">
        <v>73</v>
      </c>
      <c r="BO528">
        <v>42359212</v>
      </c>
      <c r="BR528">
        <v>446.74</v>
      </c>
      <c r="BS528">
        <v>42359214</v>
      </c>
      <c r="BT528" s="73">
        <v>45367.923611111109</v>
      </c>
      <c r="BU528" t="s">
        <v>226</v>
      </c>
      <c r="BV528" t="s">
        <v>406</v>
      </c>
      <c r="BW528" t="s">
        <v>235</v>
      </c>
      <c r="CH528" t="s">
        <v>229</v>
      </c>
      <c r="CI528" t="s">
        <v>99</v>
      </c>
      <c r="CJ528" t="s">
        <v>226</v>
      </c>
      <c r="CK528" t="s">
        <v>406</v>
      </c>
      <c r="CL528" t="s">
        <v>235</v>
      </c>
      <c r="CM528" t="s">
        <v>236</v>
      </c>
      <c r="CN528" t="s">
        <v>73</v>
      </c>
      <c r="CO528">
        <v>446.74</v>
      </c>
      <c r="CP528">
        <v>42359214</v>
      </c>
      <c r="CQ528" s="73">
        <v>45367.923611111109</v>
      </c>
      <c r="CR528" t="s">
        <v>229</v>
      </c>
      <c r="CS528" t="s">
        <v>99</v>
      </c>
      <c r="CU528" t="s">
        <v>225</v>
      </c>
    </row>
    <row r="529" spans="1:99">
      <c r="A529" t="s">
        <v>71</v>
      </c>
      <c r="B529" t="s">
        <v>77</v>
      </c>
      <c r="J529" t="s">
        <v>225</v>
      </c>
      <c r="K529" t="s">
        <v>225</v>
      </c>
      <c r="M529" s="73">
        <v>45367.923611111109</v>
      </c>
      <c r="N529">
        <v>42359207</v>
      </c>
      <c r="O529">
        <v>0.27</v>
      </c>
      <c r="P529" t="s">
        <v>73</v>
      </c>
      <c r="Q529">
        <v>0.27</v>
      </c>
      <c r="R529" t="s">
        <v>73</v>
      </c>
      <c r="U529" t="s">
        <v>226</v>
      </c>
      <c r="V529" t="s">
        <v>406</v>
      </c>
      <c r="W529" t="s">
        <v>237</v>
      </c>
      <c r="X529" t="s">
        <v>229</v>
      </c>
      <c r="Y529" t="s">
        <v>71</v>
      </c>
      <c r="AD529" t="s">
        <v>73</v>
      </c>
      <c r="AE529">
        <v>0.27</v>
      </c>
      <c r="AF529">
        <v>42359207</v>
      </c>
      <c r="AG529" s="73">
        <v>45367.923611111109</v>
      </c>
      <c r="AH529" t="s">
        <v>226</v>
      </c>
      <c r="AI529" t="s">
        <v>406</v>
      </c>
      <c r="AJ529" t="s">
        <v>237</v>
      </c>
      <c r="AK529" t="s">
        <v>229</v>
      </c>
      <c r="AL529" t="s">
        <v>71</v>
      </c>
      <c r="AP529" t="s">
        <v>230</v>
      </c>
      <c r="AQ529" t="s">
        <v>231</v>
      </c>
      <c r="AT529" t="s">
        <v>232</v>
      </c>
      <c r="AU529">
        <v>-99</v>
      </c>
      <c r="AV529" t="s">
        <v>73</v>
      </c>
      <c r="AW529">
        <v>0.27</v>
      </c>
      <c r="AX529">
        <v>42359207</v>
      </c>
      <c r="AY529" s="73">
        <v>45367.923611111109</v>
      </c>
      <c r="AZ529" t="s">
        <v>226</v>
      </c>
      <c r="BA529" t="s">
        <v>406</v>
      </c>
      <c r="BB529" t="s">
        <v>237</v>
      </c>
      <c r="BC529" t="s">
        <v>229</v>
      </c>
      <c r="BD529" t="s">
        <v>71</v>
      </c>
      <c r="BI529" t="s">
        <v>233</v>
      </c>
      <c r="BJ529" t="s">
        <v>0</v>
      </c>
      <c r="BK529">
        <v>42359203</v>
      </c>
      <c r="BN529" t="s">
        <v>73</v>
      </c>
      <c r="BO529">
        <v>42359205</v>
      </c>
      <c r="BR529">
        <v>0.27</v>
      </c>
      <c r="BS529">
        <v>42359207</v>
      </c>
      <c r="BT529" s="73">
        <v>45367.923611111109</v>
      </c>
      <c r="BU529" t="s">
        <v>226</v>
      </c>
      <c r="BV529" t="s">
        <v>406</v>
      </c>
      <c r="BW529" t="s">
        <v>237</v>
      </c>
      <c r="CH529" t="s">
        <v>229</v>
      </c>
      <c r="CI529" t="s">
        <v>71</v>
      </c>
      <c r="CJ529" t="s">
        <v>226</v>
      </c>
      <c r="CK529" t="s">
        <v>406</v>
      </c>
      <c r="CL529" t="s">
        <v>237</v>
      </c>
      <c r="CM529" t="s">
        <v>236</v>
      </c>
      <c r="CN529" t="s">
        <v>73</v>
      </c>
      <c r="CO529">
        <v>0.27</v>
      </c>
      <c r="CP529">
        <v>42359207</v>
      </c>
      <c r="CQ529" s="73">
        <v>45367.923611111109</v>
      </c>
      <c r="CR529" t="s">
        <v>229</v>
      </c>
      <c r="CS529" t="s">
        <v>71</v>
      </c>
      <c r="CU529" t="s">
        <v>225</v>
      </c>
    </row>
    <row r="530" spans="1:99">
      <c r="A530" t="s">
        <v>87</v>
      </c>
      <c r="B530" t="s">
        <v>90</v>
      </c>
      <c r="J530" t="s">
        <v>225</v>
      </c>
      <c r="K530" t="s">
        <v>225</v>
      </c>
      <c r="M530" s="73">
        <v>45367.923611111109</v>
      </c>
      <c r="N530">
        <v>42359200</v>
      </c>
      <c r="O530">
        <v>-23.1</v>
      </c>
      <c r="P530" t="s">
        <v>73</v>
      </c>
      <c r="Q530">
        <v>-23.1</v>
      </c>
      <c r="R530" t="s">
        <v>73</v>
      </c>
      <c r="U530" t="s">
        <v>226</v>
      </c>
      <c r="V530" t="s">
        <v>406</v>
      </c>
      <c r="W530" t="s">
        <v>228</v>
      </c>
      <c r="X530" t="s">
        <v>229</v>
      </c>
      <c r="Y530" t="s">
        <v>87</v>
      </c>
      <c r="AD530" t="s">
        <v>73</v>
      </c>
      <c r="AE530">
        <v>-23.1</v>
      </c>
      <c r="AF530">
        <v>42359200</v>
      </c>
      <c r="AG530" s="73">
        <v>45367.923611111109</v>
      </c>
      <c r="AH530" t="s">
        <v>226</v>
      </c>
      <c r="AI530" t="s">
        <v>406</v>
      </c>
      <c r="AJ530" t="s">
        <v>228</v>
      </c>
      <c r="AK530" t="s">
        <v>229</v>
      </c>
      <c r="AL530" t="s">
        <v>87</v>
      </c>
      <c r="AP530" t="s">
        <v>230</v>
      </c>
      <c r="AQ530" t="s">
        <v>231</v>
      </c>
      <c r="AT530" t="s">
        <v>232</v>
      </c>
      <c r="AU530">
        <v>-99</v>
      </c>
      <c r="AV530" t="s">
        <v>73</v>
      </c>
      <c r="AW530">
        <v>-23.1</v>
      </c>
      <c r="AX530">
        <v>42359200</v>
      </c>
      <c r="AY530" s="73">
        <v>45367.923611111109</v>
      </c>
      <c r="AZ530" t="s">
        <v>226</v>
      </c>
      <c r="BA530" t="s">
        <v>406</v>
      </c>
      <c r="BB530" t="s">
        <v>228</v>
      </c>
      <c r="BC530" t="s">
        <v>229</v>
      </c>
      <c r="BD530" t="s">
        <v>87</v>
      </c>
      <c r="BI530" t="s">
        <v>233</v>
      </c>
      <c r="BJ530" t="s">
        <v>0</v>
      </c>
      <c r="BK530">
        <v>42359196</v>
      </c>
      <c r="BN530" t="s">
        <v>73</v>
      </c>
      <c r="BR530">
        <v>-23.1</v>
      </c>
      <c r="BS530">
        <v>42359200</v>
      </c>
      <c r="BT530" s="73">
        <v>45367.923611111109</v>
      </c>
      <c r="BU530" t="s">
        <v>226</v>
      </c>
      <c r="BV530" t="s">
        <v>406</v>
      </c>
      <c r="BW530" t="s">
        <v>228</v>
      </c>
      <c r="CH530" t="s">
        <v>229</v>
      </c>
      <c r="CI530" t="s">
        <v>87</v>
      </c>
      <c r="CJ530" t="s">
        <v>226</v>
      </c>
      <c r="CK530" t="s">
        <v>406</v>
      </c>
      <c r="CL530" t="s">
        <v>228</v>
      </c>
      <c r="CM530" t="s">
        <v>234</v>
      </c>
      <c r="CN530" t="s">
        <v>73</v>
      </c>
      <c r="CO530">
        <v>-23.1</v>
      </c>
      <c r="CP530">
        <v>42359200</v>
      </c>
      <c r="CQ530" s="73">
        <v>45367.923611111109</v>
      </c>
      <c r="CR530" t="s">
        <v>229</v>
      </c>
      <c r="CS530" t="s">
        <v>87</v>
      </c>
      <c r="CU530" t="s">
        <v>225</v>
      </c>
    </row>
    <row r="531" spans="1:99">
      <c r="A531" t="s">
        <v>133</v>
      </c>
      <c r="B531" t="s">
        <v>90</v>
      </c>
      <c r="J531" t="s">
        <v>225</v>
      </c>
      <c r="K531" t="s">
        <v>225</v>
      </c>
      <c r="M531" s="73">
        <v>45367.923611111109</v>
      </c>
      <c r="N531">
        <v>42359193</v>
      </c>
      <c r="O531">
        <v>-189</v>
      </c>
      <c r="P531" t="s">
        <v>73</v>
      </c>
      <c r="Q531">
        <v>-189</v>
      </c>
      <c r="R531" t="s">
        <v>73</v>
      </c>
      <c r="U531" t="s">
        <v>226</v>
      </c>
      <c r="V531" t="s">
        <v>406</v>
      </c>
      <c r="W531" t="s">
        <v>228</v>
      </c>
      <c r="X531" t="s">
        <v>229</v>
      </c>
      <c r="Y531" t="s">
        <v>133</v>
      </c>
      <c r="AD531" t="s">
        <v>73</v>
      </c>
      <c r="AE531">
        <v>-189</v>
      </c>
      <c r="AF531">
        <v>42359193</v>
      </c>
      <c r="AG531" s="73">
        <v>45367.923611111109</v>
      </c>
      <c r="AH531" t="s">
        <v>226</v>
      </c>
      <c r="AI531" t="s">
        <v>406</v>
      </c>
      <c r="AJ531" t="s">
        <v>228</v>
      </c>
      <c r="AK531" t="s">
        <v>229</v>
      </c>
      <c r="AL531" t="s">
        <v>133</v>
      </c>
      <c r="AP531" t="s">
        <v>230</v>
      </c>
      <c r="AQ531" t="s">
        <v>231</v>
      </c>
      <c r="AT531" t="s">
        <v>232</v>
      </c>
      <c r="AU531">
        <v>-99</v>
      </c>
      <c r="AV531" t="s">
        <v>73</v>
      </c>
      <c r="AW531">
        <v>-189</v>
      </c>
      <c r="AX531">
        <v>42359193</v>
      </c>
      <c r="AY531" s="73">
        <v>45367.923611111109</v>
      </c>
      <c r="AZ531" t="s">
        <v>226</v>
      </c>
      <c r="BA531" t="s">
        <v>406</v>
      </c>
      <c r="BB531" t="s">
        <v>228</v>
      </c>
      <c r="BC531" t="s">
        <v>229</v>
      </c>
      <c r="BD531" t="s">
        <v>133</v>
      </c>
      <c r="BI531" t="s">
        <v>233</v>
      </c>
      <c r="BJ531" t="s">
        <v>0</v>
      </c>
      <c r="BK531">
        <v>42359189</v>
      </c>
      <c r="BN531" t="s">
        <v>73</v>
      </c>
      <c r="BR531">
        <v>-189</v>
      </c>
      <c r="BS531">
        <v>42359193</v>
      </c>
      <c r="BT531" s="73">
        <v>45367.923611111109</v>
      </c>
      <c r="BU531" t="s">
        <v>226</v>
      </c>
      <c r="BV531" t="s">
        <v>406</v>
      </c>
      <c r="BW531" t="s">
        <v>228</v>
      </c>
      <c r="CH531" t="s">
        <v>229</v>
      </c>
      <c r="CI531" t="s">
        <v>133</v>
      </c>
      <c r="CJ531" t="s">
        <v>226</v>
      </c>
      <c r="CK531" t="s">
        <v>406</v>
      </c>
      <c r="CL531" t="s">
        <v>228</v>
      </c>
      <c r="CM531" t="s">
        <v>234</v>
      </c>
      <c r="CN531" t="s">
        <v>73</v>
      </c>
      <c r="CO531">
        <v>-189</v>
      </c>
      <c r="CP531">
        <v>42359193</v>
      </c>
      <c r="CQ531" s="73">
        <v>45367.923611111109</v>
      </c>
      <c r="CR531" t="s">
        <v>229</v>
      </c>
      <c r="CS531" t="s">
        <v>133</v>
      </c>
      <c r="CU531" t="s">
        <v>225</v>
      </c>
    </row>
    <row r="532" spans="1:99">
      <c r="A532" t="s">
        <v>127</v>
      </c>
      <c r="B532" t="s">
        <v>90</v>
      </c>
      <c r="J532" t="s">
        <v>225</v>
      </c>
      <c r="K532" t="s">
        <v>225</v>
      </c>
      <c r="M532" s="73">
        <v>45367.923611111109</v>
      </c>
      <c r="N532">
        <v>42359186</v>
      </c>
      <c r="O532">
        <v>-208.5</v>
      </c>
      <c r="P532" t="s">
        <v>73</v>
      </c>
      <c r="Q532">
        <v>-208.5</v>
      </c>
      <c r="R532" t="s">
        <v>73</v>
      </c>
      <c r="U532" t="s">
        <v>226</v>
      </c>
      <c r="V532" t="s">
        <v>406</v>
      </c>
      <c r="W532" t="s">
        <v>228</v>
      </c>
      <c r="X532" t="s">
        <v>229</v>
      </c>
      <c r="Y532" t="s">
        <v>127</v>
      </c>
      <c r="AD532" t="s">
        <v>73</v>
      </c>
      <c r="AE532">
        <v>-208.5</v>
      </c>
      <c r="AF532">
        <v>42359186</v>
      </c>
      <c r="AG532" s="73">
        <v>45367.923611111109</v>
      </c>
      <c r="AH532" t="s">
        <v>226</v>
      </c>
      <c r="AI532" t="s">
        <v>406</v>
      </c>
      <c r="AJ532" t="s">
        <v>228</v>
      </c>
      <c r="AK532" t="s">
        <v>229</v>
      </c>
      <c r="AL532" t="s">
        <v>127</v>
      </c>
      <c r="AP532" t="s">
        <v>230</v>
      </c>
      <c r="AQ532" t="s">
        <v>231</v>
      </c>
      <c r="AT532" t="s">
        <v>232</v>
      </c>
      <c r="AU532">
        <v>-99</v>
      </c>
      <c r="AV532" t="s">
        <v>73</v>
      </c>
      <c r="AW532">
        <v>-208.5</v>
      </c>
      <c r="AX532">
        <v>42359186</v>
      </c>
      <c r="AY532" s="73">
        <v>45367.923611111109</v>
      </c>
      <c r="AZ532" t="s">
        <v>226</v>
      </c>
      <c r="BA532" t="s">
        <v>406</v>
      </c>
      <c r="BB532" t="s">
        <v>228</v>
      </c>
      <c r="BC532" t="s">
        <v>229</v>
      </c>
      <c r="BD532" t="s">
        <v>127</v>
      </c>
      <c r="BI532" t="s">
        <v>233</v>
      </c>
      <c r="BJ532" t="s">
        <v>0</v>
      </c>
      <c r="BK532">
        <v>42359182</v>
      </c>
      <c r="BN532" t="s">
        <v>73</v>
      </c>
      <c r="BR532">
        <v>-208.5</v>
      </c>
      <c r="BS532">
        <v>42359186</v>
      </c>
      <c r="BT532" s="73">
        <v>45367.923611111109</v>
      </c>
      <c r="BU532" t="s">
        <v>226</v>
      </c>
      <c r="BV532" t="s">
        <v>406</v>
      </c>
      <c r="BW532" t="s">
        <v>228</v>
      </c>
      <c r="CH532" t="s">
        <v>229</v>
      </c>
      <c r="CI532" t="s">
        <v>127</v>
      </c>
      <c r="CJ532" t="s">
        <v>226</v>
      </c>
      <c r="CK532" t="s">
        <v>406</v>
      </c>
      <c r="CL532" t="s">
        <v>228</v>
      </c>
      <c r="CM532" t="s">
        <v>234</v>
      </c>
      <c r="CN532" t="s">
        <v>73</v>
      </c>
      <c r="CO532">
        <v>-208.5</v>
      </c>
      <c r="CP532">
        <v>42359186</v>
      </c>
      <c r="CQ532" s="73">
        <v>45367.923611111109</v>
      </c>
      <c r="CR532" t="s">
        <v>229</v>
      </c>
      <c r="CS532" t="s">
        <v>127</v>
      </c>
      <c r="CU532" t="s">
        <v>225</v>
      </c>
    </row>
    <row r="533" spans="1:99">
      <c r="A533" t="s">
        <v>131</v>
      </c>
      <c r="B533" t="s">
        <v>90</v>
      </c>
      <c r="J533" t="s">
        <v>225</v>
      </c>
      <c r="K533" t="s">
        <v>225</v>
      </c>
      <c r="M533" s="73">
        <v>45367.923611111109</v>
      </c>
      <c r="N533">
        <v>42359179</v>
      </c>
      <c r="O533">
        <v>-41.2</v>
      </c>
      <c r="P533" t="s">
        <v>73</v>
      </c>
      <c r="Q533">
        <v>-41.2</v>
      </c>
      <c r="R533" t="s">
        <v>73</v>
      </c>
      <c r="U533" t="s">
        <v>226</v>
      </c>
      <c r="V533" t="s">
        <v>406</v>
      </c>
      <c r="W533" t="s">
        <v>228</v>
      </c>
      <c r="X533" t="s">
        <v>229</v>
      </c>
      <c r="Y533" t="s">
        <v>131</v>
      </c>
      <c r="AD533" t="s">
        <v>73</v>
      </c>
      <c r="AE533">
        <v>-41.2</v>
      </c>
      <c r="AF533">
        <v>42359179</v>
      </c>
      <c r="AG533" s="73">
        <v>45367.923611111109</v>
      </c>
      <c r="AH533" t="s">
        <v>226</v>
      </c>
      <c r="AI533" t="s">
        <v>406</v>
      </c>
      <c r="AJ533" t="s">
        <v>228</v>
      </c>
      <c r="AK533" t="s">
        <v>229</v>
      </c>
      <c r="AL533" t="s">
        <v>131</v>
      </c>
      <c r="AP533" t="s">
        <v>230</v>
      </c>
      <c r="AQ533" t="s">
        <v>231</v>
      </c>
      <c r="AT533" t="s">
        <v>232</v>
      </c>
      <c r="AU533">
        <v>-99</v>
      </c>
      <c r="AV533" t="s">
        <v>73</v>
      </c>
      <c r="AW533">
        <v>-41.2</v>
      </c>
      <c r="AX533">
        <v>42359179</v>
      </c>
      <c r="AY533" s="73">
        <v>45367.923611111109</v>
      </c>
      <c r="AZ533" t="s">
        <v>226</v>
      </c>
      <c r="BA533" t="s">
        <v>406</v>
      </c>
      <c r="BB533" t="s">
        <v>228</v>
      </c>
      <c r="BC533" t="s">
        <v>229</v>
      </c>
      <c r="BD533" t="s">
        <v>131</v>
      </c>
      <c r="BI533" t="s">
        <v>233</v>
      </c>
      <c r="BJ533" t="s">
        <v>0</v>
      </c>
      <c r="BK533">
        <v>42359175</v>
      </c>
      <c r="BN533" t="s">
        <v>73</v>
      </c>
      <c r="BR533">
        <v>-41.2</v>
      </c>
      <c r="BS533">
        <v>42359179</v>
      </c>
      <c r="BT533" s="73">
        <v>45367.923611111109</v>
      </c>
      <c r="BU533" t="s">
        <v>226</v>
      </c>
      <c r="BV533" t="s">
        <v>406</v>
      </c>
      <c r="BW533" t="s">
        <v>228</v>
      </c>
      <c r="CH533" t="s">
        <v>229</v>
      </c>
      <c r="CI533" t="s">
        <v>131</v>
      </c>
      <c r="CJ533" t="s">
        <v>226</v>
      </c>
      <c r="CK533" t="s">
        <v>406</v>
      </c>
      <c r="CL533" t="s">
        <v>228</v>
      </c>
      <c r="CM533" t="s">
        <v>234</v>
      </c>
      <c r="CN533" t="s">
        <v>73</v>
      </c>
      <c r="CO533">
        <v>-41.2</v>
      </c>
      <c r="CP533">
        <v>42359179</v>
      </c>
      <c r="CQ533" s="73">
        <v>45367.923611111109</v>
      </c>
      <c r="CR533" t="s">
        <v>229</v>
      </c>
      <c r="CS533" t="s">
        <v>131</v>
      </c>
      <c r="CU533" t="s">
        <v>225</v>
      </c>
    </row>
    <row r="534" spans="1:99">
      <c r="A534" t="s">
        <v>52</v>
      </c>
      <c r="B534" t="s">
        <v>92</v>
      </c>
      <c r="J534" t="s">
        <v>225</v>
      </c>
      <c r="K534" t="s">
        <v>225</v>
      </c>
      <c r="M534" s="73">
        <v>45367.921527777777</v>
      </c>
      <c r="N534">
        <v>42363568</v>
      </c>
      <c r="O534">
        <v>-2302</v>
      </c>
      <c r="P534" t="s">
        <v>45</v>
      </c>
      <c r="Q534">
        <v>-2302</v>
      </c>
      <c r="R534" t="s">
        <v>45</v>
      </c>
      <c r="U534" t="s">
        <v>226</v>
      </c>
      <c r="V534" t="s">
        <v>407</v>
      </c>
      <c r="W534" t="s">
        <v>228</v>
      </c>
      <c r="X534" t="s">
        <v>229</v>
      </c>
      <c r="Y534" t="s">
        <v>52</v>
      </c>
      <c r="AD534" t="s">
        <v>45</v>
      </c>
      <c r="AE534">
        <v>-2302</v>
      </c>
      <c r="AF534">
        <v>42363568</v>
      </c>
      <c r="AG534" s="73">
        <v>45367.921527777777</v>
      </c>
      <c r="AH534" t="s">
        <v>226</v>
      </c>
      <c r="AI534" t="s">
        <v>407</v>
      </c>
      <c r="AJ534" t="s">
        <v>228</v>
      </c>
      <c r="AK534" t="s">
        <v>229</v>
      </c>
      <c r="AL534" t="s">
        <v>52</v>
      </c>
      <c r="AP534" t="s">
        <v>230</v>
      </c>
      <c r="AQ534" t="s">
        <v>231</v>
      </c>
      <c r="AT534" t="s">
        <v>232</v>
      </c>
      <c r="AU534">
        <v>-99</v>
      </c>
      <c r="AV534" t="s">
        <v>45</v>
      </c>
      <c r="AW534">
        <v>-2302</v>
      </c>
      <c r="AX534">
        <v>42363568</v>
      </c>
      <c r="AY534" s="73">
        <v>45367.921527777777</v>
      </c>
      <c r="AZ534" t="s">
        <v>226</v>
      </c>
      <c r="BA534" t="s">
        <v>407</v>
      </c>
      <c r="BB534" t="s">
        <v>228</v>
      </c>
      <c r="BC534" t="s">
        <v>229</v>
      </c>
      <c r="BD534" t="s">
        <v>52</v>
      </c>
      <c r="BI534" t="s">
        <v>233</v>
      </c>
      <c r="BJ534" t="s">
        <v>0</v>
      </c>
      <c r="BK534">
        <v>42363552</v>
      </c>
      <c r="BN534" t="s">
        <v>45</v>
      </c>
      <c r="BR534">
        <v>-2302</v>
      </c>
      <c r="BS534">
        <v>42363568</v>
      </c>
      <c r="BT534" s="73">
        <v>45367.921527777777</v>
      </c>
      <c r="BU534" t="s">
        <v>226</v>
      </c>
      <c r="BV534" t="s">
        <v>407</v>
      </c>
      <c r="BW534" t="s">
        <v>228</v>
      </c>
      <c r="CH534" t="s">
        <v>229</v>
      </c>
      <c r="CI534" t="s">
        <v>52</v>
      </c>
      <c r="CJ534" t="s">
        <v>226</v>
      </c>
      <c r="CK534" t="s">
        <v>407</v>
      </c>
      <c r="CL534" t="s">
        <v>228</v>
      </c>
      <c r="CM534" t="s">
        <v>234</v>
      </c>
      <c r="CN534" t="s">
        <v>45</v>
      </c>
      <c r="CO534">
        <v>-2302</v>
      </c>
      <c r="CP534">
        <v>42363568</v>
      </c>
      <c r="CQ534" s="73">
        <v>45367.921527777777</v>
      </c>
      <c r="CR534" t="s">
        <v>229</v>
      </c>
      <c r="CS534" t="s">
        <v>52</v>
      </c>
      <c r="CU534" t="s">
        <v>225</v>
      </c>
    </row>
    <row r="535" spans="1:99">
      <c r="A535" t="s">
        <v>101</v>
      </c>
      <c r="B535" t="s">
        <v>98</v>
      </c>
      <c r="J535" t="s">
        <v>225</v>
      </c>
      <c r="K535" t="s">
        <v>225</v>
      </c>
      <c r="M535" s="73">
        <v>45367.921527777777</v>
      </c>
      <c r="N535">
        <v>42363567</v>
      </c>
      <c r="O535">
        <v>-115</v>
      </c>
      <c r="P535" t="s">
        <v>73</v>
      </c>
      <c r="Q535">
        <v>-115</v>
      </c>
      <c r="R535" t="s">
        <v>73</v>
      </c>
      <c r="U535" t="s">
        <v>226</v>
      </c>
      <c r="V535" t="s">
        <v>407</v>
      </c>
      <c r="W535" t="s">
        <v>228</v>
      </c>
      <c r="X535" t="s">
        <v>229</v>
      </c>
      <c r="Y535" t="s">
        <v>101</v>
      </c>
      <c r="AD535" t="s">
        <v>73</v>
      </c>
      <c r="AE535">
        <v>-115</v>
      </c>
      <c r="AF535">
        <v>42363567</v>
      </c>
      <c r="AG535" s="73">
        <v>45367.921527777777</v>
      </c>
      <c r="AH535" t="s">
        <v>226</v>
      </c>
      <c r="AI535" t="s">
        <v>407</v>
      </c>
      <c r="AJ535" t="s">
        <v>228</v>
      </c>
      <c r="AK535" t="s">
        <v>229</v>
      </c>
      <c r="AL535" t="s">
        <v>101</v>
      </c>
      <c r="AP535" t="s">
        <v>230</v>
      </c>
      <c r="AQ535" t="s">
        <v>231</v>
      </c>
      <c r="AT535" t="s">
        <v>232</v>
      </c>
      <c r="AU535">
        <v>-99</v>
      </c>
      <c r="AV535" t="s">
        <v>73</v>
      </c>
      <c r="AW535">
        <v>-115</v>
      </c>
      <c r="AX535">
        <v>42363567</v>
      </c>
      <c r="AY535" s="73">
        <v>45367.921527777777</v>
      </c>
      <c r="AZ535" t="s">
        <v>226</v>
      </c>
      <c r="BA535" t="s">
        <v>407</v>
      </c>
      <c r="BB535" t="s">
        <v>228</v>
      </c>
      <c r="BC535" t="s">
        <v>229</v>
      </c>
      <c r="BD535" t="s">
        <v>101</v>
      </c>
      <c r="BI535" t="s">
        <v>233</v>
      </c>
      <c r="BJ535" t="s">
        <v>0</v>
      </c>
      <c r="BK535">
        <v>42363552</v>
      </c>
      <c r="BN535" t="s">
        <v>73</v>
      </c>
      <c r="BR535">
        <v>-115</v>
      </c>
      <c r="BS535">
        <v>42363567</v>
      </c>
      <c r="BT535" s="73">
        <v>45367.921527777777</v>
      </c>
      <c r="BU535" t="s">
        <v>226</v>
      </c>
      <c r="BV535" t="s">
        <v>407</v>
      </c>
      <c r="BW535" t="s">
        <v>228</v>
      </c>
      <c r="CH535" t="s">
        <v>229</v>
      </c>
      <c r="CI535" t="s">
        <v>101</v>
      </c>
      <c r="CJ535" t="s">
        <v>226</v>
      </c>
      <c r="CK535" t="s">
        <v>407</v>
      </c>
      <c r="CL535" t="s">
        <v>228</v>
      </c>
      <c r="CM535" t="s">
        <v>234</v>
      </c>
      <c r="CN535" t="s">
        <v>73</v>
      </c>
      <c r="CO535">
        <v>-115</v>
      </c>
      <c r="CP535">
        <v>42363567</v>
      </c>
      <c r="CQ535" s="73">
        <v>45367.921527777777</v>
      </c>
      <c r="CR535" t="s">
        <v>229</v>
      </c>
      <c r="CS535" t="s">
        <v>101</v>
      </c>
      <c r="CU535" t="s">
        <v>225</v>
      </c>
    </row>
    <row r="536" spans="1:99">
      <c r="A536" t="s">
        <v>107</v>
      </c>
      <c r="B536" t="s">
        <v>98</v>
      </c>
      <c r="J536" t="s">
        <v>225</v>
      </c>
      <c r="K536" t="s">
        <v>225</v>
      </c>
      <c r="M536" s="73">
        <v>45367.921527777777</v>
      </c>
      <c r="N536">
        <v>42363566</v>
      </c>
      <c r="O536">
        <v>2300</v>
      </c>
      <c r="P536" t="s">
        <v>104</v>
      </c>
      <c r="Q536">
        <v>2300</v>
      </c>
      <c r="R536" t="s">
        <v>104</v>
      </c>
      <c r="S536">
        <v>115</v>
      </c>
      <c r="T536" t="s">
        <v>73</v>
      </c>
      <c r="U536" t="s">
        <v>226</v>
      </c>
      <c r="V536" t="s">
        <v>407</v>
      </c>
      <c r="W536" t="s">
        <v>235</v>
      </c>
      <c r="X536" t="s">
        <v>229</v>
      </c>
      <c r="Y536" t="s">
        <v>107</v>
      </c>
      <c r="AD536" t="s">
        <v>104</v>
      </c>
      <c r="AE536">
        <v>2300</v>
      </c>
      <c r="AF536">
        <v>42363566</v>
      </c>
      <c r="AG536" s="73">
        <v>45367.921527777777</v>
      </c>
      <c r="AH536" t="s">
        <v>226</v>
      </c>
      <c r="AI536" t="s">
        <v>407</v>
      </c>
      <c r="AJ536" t="s">
        <v>235</v>
      </c>
      <c r="AK536" t="s">
        <v>229</v>
      </c>
      <c r="AL536" t="s">
        <v>107</v>
      </c>
      <c r="AP536" t="s">
        <v>230</v>
      </c>
      <c r="AQ536" t="s">
        <v>231</v>
      </c>
      <c r="AT536" t="s">
        <v>232</v>
      </c>
      <c r="AU536">
        <v>-99</v>
      </c>
      <c r="AV536" t="s">
        <v>104</v>
      </c>
      <c r="AW536">
        <v>2300</v>
      </c>
      <c r="AX536">
        <v>42363566</v>
      </c>
      <c r="AY536" s="73">
        <v>45367.921527777777</v>
      </c>
      <c r="AZ536" t="s">
        <v>226</v>
      </c>
      <c r="BA536" t="s">
        <v>407</v>
      </c>
      <c r="BB536" t="s">
        <v>235</v>
      </c>
      <c r="BC536" t="s">
        <v>229</v>
      </c>
      <c r="BD536" t="s">
        <v>107</v>
      </c>
      <c r="BI536" t="s">
        <v>233</v>
      </c>
      <c r="BJ536" t="s">
        <v>0</v>
      </c>
      <c r="BK536">
        <v>42363552</v>
      </c>
      <c r="BN536" t="s">
        <v>104</v>
      </c>
      <c r="BO536">
        <v>42363558</v>
      </c>
      <c r="BR536">
        <v>2300</v>
      </c>
      <c r="BS536">
        <v>42363566</v>
      </c>
      <c r="BT536" s="73">
        <v>45367.921527777777</v>
      </c>
      <c r="BU536" t="s">
        <v>226</v>
      </c>
      <c r="BV536" t="s">
        <v>407</v>
      </c>
      <c r="BW536" t="s">
        <v>235</v>
      </c>
      <c r="CH536" t="s">
        <v>229</v>
      </c>
      <c r="CI536" t="s">
        <v>107</v>
      </c>
      <c r="CJ536" t="s">
        <v>226</v>
      </c>
      <c r="CK536" t="s">
        <v>407</v>
      </c>
      <c r="CL536" t="s">
        <v>235</v>
      </c>
      <c r="CM536" t="s">
        <v>236</v>
      </c>
      <c r="CN536" t="s">
        <v>104</v>
      </c>
      <c r="CO536">
        <v>2300</v>
      </c>
      <c r="CP536">
        <v>42363566</v>
      </c>
      <c r="CQ536" s="73">
        <v>45367.921527777777</v>
      </c>
      <c r="CR536" t="s">
        <v>229</v>
      </c>
      <c r="CS536" t="s">
        <v>107</v>
      </c>
      <c r="CU536" t="s">
        <v>225</v>
      </c>
    </row>
    <row r="537" spans="1:99">
      <c r="A537" t="s">
        <v>111</v>
      </c>
      <c r="B537" t="s">
        <v>77</v>
      </c>
      <c r="J537" t="s">
        <v>225</v>
      </c>
      <c r="K537" t="s">
        <v>225</v>
      </c>
      <c r="M537" s="73">
        <v>45367.921527777777</v>
      </c>
      <c r="N537">
        <v>42363565</v>
      </c>
      <c r="O537">
        <v>2</v>
      </c>
      <c r="P537" t="s">
        <v>45</v>
      </c>
      <c r="Q537">
        <v>2</v>
      </c>
      <c r="R537" t="s">
        <v>45</v>
      </c>
      <c r="U537" t="s">
        <v>226</v>
      </c>
      <c r="V537" t="s">
        <v>407</v>
      </c>
      <c r="W537" t="s">
        <v>237</v>
      </c>
      <c r="X537" t="s">
        <v>229</v>
      </c>
      <c r="Y537" t="s">
        <v>111</v>
      </c>
      <c r="AD537" t="s">
        <v>45</v>
      </c>
      <c r="AE537">
        <v>2</v>
      </c>
      <c r="AF537">
        <v>42363565</v>
      </c>
      <c r="AG537" s="73">
        <v>45367.921527777777</v>
      </c>
      <c r="AH537" t="s">
        <v>226</v>
      </c>
      <c r="AI537" t="s">
        <v>407</v>
      </c>
      <c r="AJ537" t="s">
        <v>237</v>
      </c>
      <c r="AK537" t="s">
        <v>229</v>
      </c>
      <c r="AL537" t="s">
        <v>111</v>
      </c>
      <c r="AP537" t="s">
        <v>230</v>
      </c>
      <c r="AQ537" t="s">
        <v>231</v>
      </c>
      <c r="AT537" t="s">
        <v>232</v>
      </c>
      <c r="AU537">
        <v>-99</v>
      </c>
      <c r="AV537" t="s">
        <v>45</v>
      </c>
      <c r="AW537">
        <v>2</v>
      </c>
      <c r="AX537">
        <v>42363565</v>
      </c>
      <c r="AY537" s="73">
        <v>45367.921527777777</v>
      </c>
      <c r="AZ537" t="s">
        <v>226</v>
      </c>
      <c r="BA537" t="s">
        <v>407</v>
      </c>
      <c r="BB537" t="s">
        <v>237</v>
      </c>
      <c r="BC537" t="s">
        <v>229</v>
      </c>
      <c r="BD537" t="s">
        <v>111</v>
      </c>
      <c r="BI537" t="s">
        <v>233</v>
      </c>
      <c r="BJ537" t="s">
        <v>0</v>
      </c>
      <c r="BK537">
        <v>42363552</v>
      </c>
      <c r="BN537" t="s">
        <v>45</v>
      </c>
      <c r="BO537">
        <v>42363560</v>
      </c>
      <c r="BR537">
        <v>2</v>
      </c>
      <c r="BS537">
        <v>42363565</v>
      </c>
      <c r="BT537" s="73">
        <v>45367.921527777777</v>
      </c>
      <c r="BU537" t="s">
        <v>226</v>
      </c>
      <c r="BV537" t="s">
        <v>407</v>
      </c>
      <c r="BW537" t="s">
        <v>237</v>
      </c>
      <c r="CH537" t="s">
        <v>229</v>
      </c>
      <c r="CI537" t="s">
        <v>111</v>
      </c>
      <c r="CJ537" t="s">
        <v>226</v>
      </c>
      <c r="CK537" t="s">
        <v>407</v>
      </c>
      <c r="CL537" t="s">
        <v>237</v>
      </c>
      <c r="CM537" t="s">
        <v>236</v>
      </c>
      <c r="CN537" t="s">
        <v>45</v>
      </c>
      <c r="CO537">
        <v>2</v>
      </c>
      <c r="CP537">
        <v>42363565</v>
      </c>
      <c r="CQ537" s="73">
        <v>45367.921527777777</v>
      </c>
      <c r="CR537" t="s">
        <v>229</v>
      </c>
      <c r="CS537" t="s">
        <v>111</v>
      </c>
      <c r="CU537" t="s">
        <v>225</v>
      </c>
    </row>
    <row r="538" spans="1:99">
      <c r="A538" t="s">
        <v>113</v>
      </c>
      <c r="B538" t="s">
        <v>90</v>
      </c>
      <c r="J538" t="s">
        <v>225</v>
      </c>
      <c r="K538" t="s">
        <v>225</v>
      </c>
      <c r="M538" s="73">
        <v>45367.590289351851</v>
      </c>
      <c r="N538">
        <v>42359525</v>
      </c>
      <c r="O538">
        <v>-100</v>
      </c>
      <c r="P538" t="s">
        <v>115</v>
      </c>
      <c r="Q538">
        <v>-100</v>
      </c>
      <c r="R538" t="s">
        <v>115</v>
      </c>
      <c r="U538" t="s">
        <v>226</v>
      </c>
      <c r="V538" t="s">
        <v>406</v>
      </c>
      <c r="W538" t="s">
        <v>228</v>
      </c>
      <c r="X538" t="s">
        <v>229</v>
      </c>
      <c r="Y538" t="s">
        <v>113</v>
      </c>
      <c r="AD538" t="s">
        <v>115</v>
      </c>
      <c r="AE538">
        <v>-100</v>
      </c>
      <c r="AF538">
        <v>42359525</v>
      </c>
      <c r="AG538" s="73">
        <v>45367.590289351851</v>
      </c>
      <c r="AH538" t="s">
        <v>226</v>
      </c>
      <c r="AI538" t="s">
        <v>406</v>
      </c>
      <c r="AJ538" t="s">
        <v>228</v>
      </c>
      <c r="AK538" t="s">
        <v>229</v>
      </c>
      <c r="AL538" t="s">
        <v>113</v>
      </c>
      <c r="AP538" t="s">
        <v>230</v>
      </c>
      <c r="AQ538" t="s">
        <v>231</v>
      </c>
      <c r="AT538" t="s">
        <v>232</v>
      </c>
      <c r="AU538">
        <v>-99</v>
      </c>
      <c r="AV538" t="s">
        <v>115</v>
      </c>
      <c r="AW538">
        <v>-100</v>
      </c>
      <c r="AX538">
        <v>42359525</v>
      </c>
      <c r="AY538" s="73">
        <v>45367.590289351851</v>
      </c>
      <c r="AZ538" t="s">
        <v>226</v>
      </c>
      <c r="BA538" t="s">
        <v>406</v>
      </c>
      <c r="BB538" t="s">
        <v>228</v>
      </c>
      <c r="BC538" t="s">
        <v>229</v>
      </c>
      <c r="BD538" t="s">
        <v>113</v>
      </c>
      <c r="BI538" t="s">
        <v>233</v>
      </c>
      <c r="BJ538" t="s">
        <v>0</v>
      </c>
      <c r="BK538">
        <v>42359501</v>
      </c>
      <c r="BN538" t="s">
        <v>115</v>
      </c>
      <c r="BR538">
        <v>-100</v>
      </c>
      <c r="BS538">
        <v>42359525</v>
      </c>
      <c r="BT538" s="73">
        <v>45367.590289351851</v>
      </c>
      <c r="BU538" t="s">
        <v>226</v>
      </c>
      <c r="BV538" t="s">
        <v>406</v>
      </c>
      <c r="BW538" t="s">
        <v>228</v>
      </c>
      <c r="CH538" t="s">
        <v>229</v>
      </c>
      <c r="CI538" t="s">
        <v>113</v>
      </c>
      <c r="CJ538" t="s">
        <v>226</v>
      </c>
      <c r="CK538" t="s">
        <v>406</v>
      </c>
      <c r="CL538" t="s">
        <v>228</v>
      </c>
      <c r="CM538" t="s">
        <v>234</v>
      </c>
      <c r="CN538" t="s">
        <v>115</v>
      </c>
      <c r="CO538">
        <v>-100</v>
      </c>
      <c r="CP538">
        <v>42359525</v>
      </c>
      <c r="CQ538" s="73">
        <v>45367.590289351851</v>
      </c>
      <c r="CR538" t="s">
        <v>229</v>
      </c>
      <c r="CS538" t="s">
        <v>113</v>
      </c>
      <c r="CU538" t="s">
        <v>225</v>
      </c>
    </row>
    <row r="539" spans="1:99">
      <c r="A539" t="s">
        <v>129</v>
      </c>
      <c r="B539" t="s">
        <v>90</v>
      </c>
      <c r="J539" t="s">
        <v>225</v>
      </c>
      <c r="K539" t="s">
        <v>225</v>
      </c>
      <c r="M539" s="73">
        <v>45367.590289351851</v>
      </c>
      <c r="N539">
        <v>42359524</v>
      </c>
      <c r="O539">
        <v>-2</v>
      </c>
      <c r="P539" t="s">
        <v>73</v>
      </c>
      <c r="Q539">
        <v>-2</v>
      </c>
      <c r="R539" t="s">
        <v>73</v>
      </c>
      <c r="U539" t="s">
        <v>226</v>
      </c>
      <c r="V539" t="s">
        <v>406</v>
      </c>
      <c r="W539" t="s">
        <v>228</v>
      </c>
      <c r="X539" t="s">
        <v>229</v>
      </c>
      <c r="Y539" t="s">
        <v>129</v>
      </c>
      <c r="AD539" t="s">
        <v>73</v>
      </c>
      <c r="AE539">
        <v>-2</v>
      </c>
      <c r="AF539">
        <v>42359524</v>
      </c>
      <c r="AG539" s="73">
        <v>45367.590289351851</v>
      </c>
      <c r="AH539" t="s">
        <v>226</v>
      </c>
      <c r="AI539" t="s">
        <v>406</v>
      </c>
      <c r="AJ539" t="s">
        <v>228</v>
      </c>
      <c r="AK539" t="s">
        <v>229</v>
      </c>
      <c r="AL539" t="s">
        <v>129</v>
      </c>
      <c r="AP539" t="s">
        <v>230</v>
      </c>
      <c r="AQ539" t="s">
        <v>231</v>
      </c>
      <c r="AT539" t="s">
        <v>232</v>
      </c>
      <c r="AU539">
        <v>-99</v>
      </c>
      <c r="AV539" t="s">
        <v>73</v>
      </c>
      <c r="AW539">
        <v>-2</v>
      </c>
      <c r="AX539">
        <v>42359524</v>
      </c>
      <c r="AY539" s="73">
        <v>45367.590289351851</v>
      </c>
      <c r="AZ539" t="s">
        <v>226</v>
      </c>
      <c r="BA539" t="s">
        <v>406</v>
      </c>
      <c r="BB539" t="s">
        <v>228</v>
      </c>
      <c r="BC539" t="s">
        <v>229</v>
      </c>
      <c r="BD539" t="s">
        <v>129</v>
      </c>
      <c r="BI539" t="s">
        <v>233</v>
      </c>
      <c r="BJ539" t="s">
        <v>0</v>
      </c>
      <c r="BK539">
        <v>42359501</v>
      </c>
      <c r="BN539" t="s">
        <v>73</v>
      </c>
      <c r="BR539">
        <v>-2</v>
      </c>
      <c r="BS539">
        <v>42359524</v>
      </c>
      <c r="BT539" s="73">
        <v>45367.590289351851</v>
      </c>
      <c r="BU539" t="s">
        <v>226</v>
      </c>
      <c r="BV539" t="s">
        <v>406</v>
      </c>
      <c r="BW539" t="s">
        <v>228</v>
      </c>
      <c r="CH539" t="s">
        <v>229</v>
      </c>
      <c r="CI539" t="s">
        <v>129</v>
      </c>
      <c r="CJ539" t="s">
        <v>226</v>
      </c>
      <c r="CK539" t="s">
        <v>406</v>
      </c>
      <c r="CL539" t="s">
        <v>228</v>
      </c>
      <c r="CM539" t="s">
        <v>234</v>
      </c>
      <c r="CN539" t="s">
        <v>73</v>
      </c>
      <c r="CO539">
        <v>-2</v>
      </c>
      <c r="CP539">
        <v>42359524</v>
      </c>
      <c r="CQ539" s="73">
        <v>45367.590289351851</v>
      </c>
      <c r="CR539" t="s">
        <v>229</v>
      </c>
      <c r="CS539" t="s">
        <v>129</v>
      </c>
      <c r="CU539" t="s">
        <v>225</v>
      </c>
    </row>
    <row r="540" spans="1:99">
      <c r="A540" t="s">
        <v>101</v>
      </c>
      <c r="B540" t="s">
        <v>98</v>
      </c>
      <c r="J540" t="s">
        <v>225</v>
      </c>
      <c r="K540" t="s">
        <v>225</v>
      </c>
      <c r="M540" s="73">
        <v>45367.590277777781</v>
      </c>
      <c r="N540">
        <v>42355406</v>
      </c>
      <c r="O540">
        <v>1262.8499999999999</v>
      </c>
      <c r="P540" t="s">
        <v>73</v>
      </c>
      <c r="Q540">
        <v>1262.8499999999999</v>
      </c>
      <c r="R540" t="s">
        <v>73</v>
      </c>
      <c r="U540" t="s">
        <v>226</v>
      </c>
      <c r="V540" t="s">
        <v>408</v>
      </c>
      <c r="W540" t="s">
        <v>235</v>
      </c>
      <c r="X540" t="s">
        <v>229</v>
      </c>
      <c r="Y540" t="s">
        <v>101</v>
      </c>
      <c r="AD540" t="s">
        <v>73</v>
      </c>
      <c r="AE540">
        <v>1262.8499999999999</v>
      </c>
      <c r="AF540">
        <v>42355406</v>
      </c>
      <c r="AG540" s="73">
        <v>45367.590277777781</v>
      </c>
      <c r="AH540" t="s">
        <v>226</v>
      </c>
      <c r="AI540" t="s">
        <v>408</v>
      </c>
      <c r="AJ540" t="s">
        <v>235</v>
      </c>
      <c r="AK540" t="s">
        <v>229</v>
      </c>
      <c r="AL540" t="s">
        <v>101</v>
      </c>
      <c r="AP540" t="s">
        <v>230</v>
      </c>
      <c r="AQ540" t="s">
        <v>231</v>
      </c>
      <c r="AT540" t="s">
        <v>232</v>
      </c>
      <c r="AU540">
        <v>-99</v>
      </c>
      <c r="AV540" t="s">
        <v>73</v>
      </c>
      <c r="AW540">
        <v>1262.8499999999999</v>
      </c>
      <c r="AX540">
        <v>42355406</v>
      </c>
      <c r="AY540" s="73">
        <v>45367.590277777781</v>
      </c>
      <c r="AZ540" t="s">
        <v>226</v>
      </c>
      <c r="BA540" t="s">
        <v>408</v>
      </c>
      <c r="BB540" t="s">
        <v>235</v>
      </c>
      <c r="BC540" t="s">
        <v>229</v>
      </c>
      <c r="BD540" t="s">
        <v>101</v>
      </c>
      <c r="BI540" t="s">
        <v>233</v>
      </c>
      <c r="BJ540" t="s">
        <v>0</v>
      </c>
      <c r="BK540">
        <v>42355402</v>
      </c>
      <c r="BN540" t="s">
        <v>73</v>
      </c>
      <c r="BO540">
        <v>42355404</v>
      </c>
      <c r="BR540">
        <v>1262.8499999999999</v>
      </c>
      <c r="BS540">
        <v>42355406</v>
      </c>
      <c r="BT540" s="73">
        <v>45367.590277777781</v>
      </c>
      <c r="BU540" t="s">
        <v>226</v>
      </c>
      <c r="BV540" t="s">
        <v>408</v>
      </c>
      <c r="BW540" t="s">
        <v>235</v>
      </c>
      <c r="CH540" t="s">
        <v>229</v>
      </c>
      <c r="CI540" t="s">
        <v>101</v>
      </c>
      <c r="CJ540" t="s">
        <v>226</v>
      </c>
      <c r="CK540" t="s">
        <v>408</v>
      </c>
      <c r="CL540" t="s">
        <v>235</v>
      </c>
      <c r="CM540" t="s">
        <v>236</v>
      </c>
      <c r="CN540" t="s">
        <v>73</v>
      </c>
      <c r="CO540">
        <v>1262.8499999999999</v>
      </c>
      <c r="CP540">
        <v>42355406</v>
      </c>
      <c r="CQ540" s="73">
        <v>45367.590277777781</v>
      </c>
      <c r="CR540" t="s">
        <v>229</v>
      </c>
      <c r="CS540" t="s">
        <v>101</v>
      </c>
      <c r="CU540" t="s">
        <v>225</v>
      </c>
    </row>
    <row r="541" spans="1:99">
      <c r="A541" t="s">
        <v>71</v>
      </c>
      <c r="B541" t="s">
        <v>77</v>
      </c>
      <c r="J541" t="s">
        <v>225</v>
      </c>
      <c r="K541" t="s">
        <v>225</v>
      </c>
      <c r="M541" s="73">
        <v>45367.590277777781</v>
      </c>
      <c r="N541">
        <v>42355399</v>
      </c>
      <c r="O541">
        <v>0.76</v>
      </c>
      <c r="P541" t="s">
        <v>73</v>
      </c>
      <c r="Q541">
        <v>0.76</v>
      </c>
      <c r="R541" t="s">
        <v>73</v>
      </c>
      <c r="U541" t="s">
        <v>226</v>
      </c>
      <c r="V541" t="s">
        <v>408</v>
      </c>
      <c r="W541" t="s">
        <v>237</v>
      </c>
      <c r="X541" t="s">
        <v>229</v>
      </c>
      <c r="Y541" t="s">
        <v>71</v>
      </c>
      <c r="AD541" t="s">
        <v>73</v>
      </c>
      <c r="AE541">
        <v>0.76</v>
      </c>
      <c r="AF541">
        <v>42355399</v>
      </c>
      <c r="AG541" s="73">
        <v>45367.590277777781</v>
      </c>
      <c r="AH541" t="s">
        <v>226</v>
      </c>
      <c r="AI541" t="s">
        <v>408</v>
      </c>
      <c r="AJ541" t="s">
        <v>237</v>
      </c>
      <c r="AK541" t="s">
        <v>229</v>
      </c>
      <c r="AL541" t="s">
        <v>71</v>
      </c>
      <c r="AP541" t="s">
        <v>230</v>
      </c>
      <c r="AQ541" t="s">
        <v>231</v>
      </c>
      <c r="AT541" t="s">
        <v>232</v>
      </c>
      <c r="AU541">
        <v>-99</v>
      </c>
      <c r="AV541" t="s">
        <v>73</v>
      </c>
      <c r="AW541">
        <v>0.76</v>
      </c>
      <c r="AX541">
        <v>42355399</v>
      </c>
      <c r="AY541" s="73">
        <v>45367.590277777781</v>
      </c>
      <c r="AZ541" t="s">
        <v>226</v>
      </c>
      <c r="BA541" t="s">
        <v>408</v>
      </c>
      <c r="BB541" t="s">
        <v>237</v>
      </c>
      <c r="BC541" t="s">
        <v>229</v>
      </c>
      <c r="BD541" t="s">
        <v>71</v>
      </c>
      <c r="BI541" t="s">
        <v>233</v>
      </c>
      <c r="BJ541" t="s">
        <v>0</v>
      </c>
      <c r="BK541">
        <v>42355395</v>
      </c>
      <c r="BN541" t="s">
        <v>73</v>
      </c>
      <c r="BO541">
        <v>42355397</v>
      </c>
      <c r="BR541">
        <v>0.76</v>
      </c>
      <c r="BS541">
        <v>42355399</v>
      </c>
      <c r="BT541" s="73">
        <v>45367.590277777781</v>
      </c>
      <c r="BU541" t="s">
        <v>226</v>
      </c>
      <c r="BV541" t="s">
        <v>408</v>
      </c>
      <c r="BW541" t="s">
        <v>237</v>
      </c>
      <c r="CH541" t="s">
        <v>229</v>
      </c>
      <c r="CI541" t="s">
        <v>71</v>
      </c>
      <c r="CJ541" t="s">
        <v>226</v>
      </c>
      <c r="CK541" t="s">
        <v>408</v>
      </c>
      <c r="CL541" t="s">
        <v>237</v>
      </c>
      <c r="CM541" t="s">
        <v>236</v>
      </c>
      <c r="CN541" t="s">
        <v>73</v>
      </c>
      <c r="CO541">
        <v>0.76</v>
      </c>
      <c r="CP541">
        <v>42355399</v>
      </c>
      <c r="CQ541" s="73">
        <v>45367.590277777781</v>
      </c>
      <c r="CR541" t="s">
        <v>229</v>
      </c>
      <c r="CS541" t="s">
        <v>71</v>
      </c>
      <c r="CU541" t="s">
        <v>225</v>
      </c>
    </row>
    <row r="542" spans="1:99">
      <c r="A542" t="s">
        <v>87</v>
      </c>
      <c r="B542" t="s">
        <v>90</v>
      </c>
      <c r="J542" t="s">
        <v>225</v>
      </c>
      <c r="K542" t="s">
        <v>225</v>
      </c>
      <c r="M542" s="73">
        <v>45367.590277777781</v>
      </c>
      <c r="N542">
        <v>42355392</v>
      </c>
      <c r="O542">
        <v>-54.1</v>
      </c>
      <c r="P542" t="s">
        <v>73</v>
      </c>
      <c r="Q542">
        <v>-54.1</v>
      </c>
      <c r="R542" t="s">
        <v>73</v>
      </c>
      <c r="U542" t="s">
        <v>226</v>
      </c>
      <c r="V542" t="s">
        <v>408</v>
      </c>
      <c r="W542" t="s">
        <v>228</v>
      </c>
      <c r="X542" t="s">
        <v>229</v>
      </c>
      <c r="Y542" t="s">
        <v>87</v>
      </c>
      <c r="AD542" t="s">
        <v>73</v>
      </c>
      <c r="AE542">
        <v>-54.1</v>
      </c>
      <c r="AF542">
        <v>42355392</v>
      </c>
      <c r="AG542" s="73">
        <v>45367.590277777781</v>
      </c>
      <c r="AH542" t="s">
        <v>226</v>
      </c>
      <c r="AI542" t="s">
        <v>408</v>
      </c>
      <c r="AJ542" t="s">
        <v>228</v>
      </c>
      <c r="AK542" t="s">
        <v>229</v>
      </c>
      <c r="AL542" t="s">
        <v>87</v>
      </c>
      <c r="AP542" t="s">
        <v>230</v>
      </c>
      <c r="AQ542" t="s">
        <v>231</v>
      </c>
      <c r="AT542" t="s">
        <v>232</v>
      </c>
      <c r="AU542">
        <v>-99</v>
      </c>
      <c r="AV542" t="s">
        <v>73</v>
      </c>
      <c r="AW542">
        <v>-54.1</v>
      </c>
      <c r="AX542">
        <v>42355392</v>
      </c>
      <c r="AY542" s="73">
        <v>45367.590277777781</v>
      </c>
      <c r="AZ542" t="s">
        <v>226</v>
      </c>
      <c r="BA542" t="s">
        <v>408</v>
      </c>
      <c r="BB542" t="s">
        <v>228</v>
      </c>
      <c r="BC542" t="s">
        <v>229</v>
      </c>
      <c r="BD542" t="s">
        <v>87</v>
      </c>
      <c r="BI542" t="s">
        <v>233</v>
      </c>
      <c r="BJ542" t="s">
        <v>0</v>
      </c>
      <c r="BK542">
        <v>42355388</v>
      </c>
      <c r="BN542" t="s">
        <v>73</v>
      </c>
      <c r="BR542">
        <v>-54.1</v>
      </c>
      <c r="BS542">
        <v>42355392</v>
      </c>
      <c r="BT542" s="73">
        <v>45367.590277777781</v>
      </c>
      <c r="BU542" t="s">
        <v>226</v>
      </c>
      <c r="BV542" t="s">
        <v>408</v>
      </c>
      <c r="BW542" t="s">
        <v>228</v>
      </c>
      <c r="CH542" t="s">
        <v>229</v>
      </c>
      <c r="CI542" t="s">
        <v>87</v>
      </c>
      <c r="CJ542" t="s">
        <v>226</v>
      </c>
      <c r="CK542" t="s">
        <v>408</v>
      </c>
      <c r="CL542" t="s">
        <v>228</v>
      </c>
      <c r="CM542" t="s">
        <v>234</v>
      </c>
      <c r="CN542" t="s">
        <v>73</v>
      </c>
      <c r="CO542">
        <v>-54.1</v>
      </c>
      <c r="CP542">
        <v>42355392</v>
      </c>
      <c r="CQ542" s="73">
        <v>45367.590277777781</v>
      </c>
      <c r="CR542" t="s">
        <v>229</v>
      </c>
      <c r="CS542" t="s">
        <v>87</v>
      </c>
      <c r="CU542" t="s">
        <v>225</v>
      </c>
    </row>
    <row r="543" spans="1:99">
      <c r="A543" t="s">
        <v>133</v>
      </c>
      <c r="B543" t="s">
        <v>90</v>
      </c>
      <c r="J543" t="s">
        <v>225</v>
      </c>
      <c r="K543" t="s">
        <v>225</v>
      </c>
      <c r="M543" s="73">
        <v>45367.590277777781</v>
      </c>
      <c r="N543">
        <v>42355385</v>
      </c>
      <c r="O543">
        <v>-546.1</v>
      </c>
      <c r="P543" t="s">
        <v>73</v>
      </c>
      <c r="Q543">
        <v>-546.1</v>
      </c>
      <c r="R543" t="s">
        <v>73</v>
      </c>
      <c r="U543" t="s">
        <v>226</v>
      </c>
      <c r="V543" t="s">
        <v>408</v>
      </c>
      <c r="W543" t="s">
        <v>228</v>
      </c>
      <c r="X543" t="s">
        <v>229</v>
      </c>
      <c r="Y543" t="s">
        <v>133</v>
      </c>
      <c r="AD543" t="s">
        <v>73</v>
      </c>
      <c r="AE543">
        <v>-546.1</v>
      </c>
      <c r="AF543">
        <v>42355385</v>
      </c>
      <c r="AG543" s="73">
        <v>45367.590277777781</v>
      </c>
      <c r="AH543" t="s">
        <v>226</v>
      </c>
      <c r="AI543" t="s">
        <v>408</v>
      </c>
      <c r="AJ543" t="s">
        <v>228</v>
      </c>
      <c r="AK543" t="s">
        <v>229</v>
      </c>
      <c r="AL543" t="s">
        <v>133</v>
      </c>
      <c r="AP543" t="s">
        <v>230</v>
      </c>
      <c r="AQ543" t="s">
        <v>231</v>
      </c>
      <c r="AT543" t="s">
        <v>232</v>
      </c>
      <c r="AU543">
        <v>-99</v>
      </c>
      <c r="AV543" t="s">
        <v>73</v>
      </c>
      <c r="AW543">
        <v>-546.1</v>
      </c>
      <c r="AX543">
        <v>42355385</v>
      </c>
      <c r="AY543" s="73">
        <v>45367.590277777781</v>
      </c>
      <c r="AZ543" t="s">
        <v>226</v>
      </c>
      <c r="BA543" t="s">
        <v>408</v>
      </c>
      <c r="BB543" t="s">
        <v>228</v>
      </c>
      <c r="BC543" t="s">
        <v>229</v>
      </c>
      <c r="BD543" t="s">
        <v>133</v>
      </c>
      <c r="BI543" t="s">
        <v>233</v>
      </c>
      <c r="BJ543" t="s">
        <v>0</v>
      </c>
      <c r="BK543">
        <v>42355381</v>
      </c>
      <c r="BN543" t="s">
        <v>73</v>
      </c>
      <c r="BR543">
        <v>-546.1</v>
      </c>
      <c r="BS543">
        <v>42355385</v>
      </c>
      <c r="BT543" s="73">
        <v>45367.590277777781</v>
      </c>
      <c r="BU543" t="s">
        <v>226</v>
      </c>
      <c r="BV543" t="s">
        <v>408</v>
      </c>
      <c r="BW543" t="s">
        <v>228</v>
      </c>
      <c r="CH543" t="s">
        <v>229</v>
      </c>
      <c r="CI543" t="s">
        <v>133</v>
      </c>
      <c r="CJ543" t="s">
        <v>226</v>
      </c>
      <c r="CK543" t="s">
        <v>408</v>
      </c>
      <c r="CL543" t="s">
        <v>228</v>
      </c>
      <c r="CM543" t="s">
        <v>234</v>
      </c>
      <c r="CN543" t="s">
        <v>73</v>
      </c>
      <c r="CO543">
        <v>-546.1</v>
      </c>
      <c r="CP543">
        <v>42355385</v>
      </c>
      <c r="CQ543" s="73">
        <v>45367.590277777781</v>
      </c>
      <c r="CR543" t="s">
        <v>229</v>
      </c>
      <c r="CS543" t="s">
        <v>133</v>
      </c>
      <c r="CU543" t="s">
        <v>225</v>
      </c>
    </row>
    <row r="544" spans="1:99">
      <c r="A544" t="s">
        <v>131</v>
      </c>
      <c r="B544" t="s">
        <v>90</v>
      </c>
      <c r="J544" t="s">
        <v>225</v>
      </c>
      <c r="K544" t="s">
        <v>225</v>
      </c>
      <c r="M544" s="73">
        <v>45367.590277777781</v>
      </c>
      <c r="N544">
        <v>42355378</v>
      </c>
      <c r="O544">
        <v>-116.5</v>
      </c>
      <c r="P544" t="s">
        <v>73</v>
      </c>
      <c r="Q544">
        <v>-116.5</v>
      </c>
      <c r="R544" t="s">
        <v>73</v>
      </c>
      <c r="U544" t="s">
        <v>226</v>
      </c>
      <c r="V544" t="s">
        <v>408</v>
      </c>
      <c r="W544" t="s">
        <v>228</v>
      </c>
      <c r="X544" t="s">
        <v>229</v>
      </c>
      <c r="Y544" t="s">
        <v>131</v>
      </c>
      <c r="AD544" t="s">
        <v>73</v>
      </c>
      <c r="AE544">
        <v>-116.5</v>
      </c>
      <c r="AF544">
        <v>42355378</v>
      </c>
      <c r="AG544" s="73">
        <v>45367.590277777781</v>
      </c>
      <c r="AH544" t="s">
        <v>226</v>
      </c>
      <c r="AI544" t="s">
        <v>408</v>
      </c>
      <c r="AJ544" t="s">
        <v>228</v>
      </c>
      <c r="AK544" t="s">
        <v>229</v>
      </c>
      <c r="AL544" t="s">
        <v>131</v>
      </c>
      <c r="AP544" t="s">
        <v>230</v>
      </c>
      <c r="AQ544" t="s">
        <v>231</v>
      </c>
      <c r="AT544" t="s">
        <v>232</v>
      </c>
      <c r="AU544">
        <v>-99</v>
      </c>
      <c r="AV544" t="s">
        <v>73</v>
      </c>
      <c r="AW544">
        <v>-116.5</v>
      </c>
      <c r="AX544">
        <v>42355378</v>
      </c>
      <c r="AY544" s="73">
        <v>45367.590277777781</v>
      </c>
      <c r="AZ544" t="s">
        <v>226</v>
      </c>
      <c r="BA544" t="s">
        <v>408</v>
      </c>
      <c r="BB544" t="s">
        <v>228</v>
      </c>
      <c r="BC544" t="s">
        <v>229</v>
      </c>
      <c r="BD544" t="s">
        <v>131</v>
      </c>
      <c r="BI544" t="s">
        <v>233</v>
      </c>
      <c r="BJ544" t="s">
        <v>0</v>
      </c>
      <c r="BK544">
        <v>42355374</v>
      </c>
      <c r="BN544" t="s">
        <v>73</v>
      </c>
      <c r="BR544">
        <v>-116.5</v>
      </c>
      <c r="BS544">
        <v>42355378</v>
      </c>
      <c r="BT544" s="73">
        <v>45367.590277777781</v>
      </c>
      <c r="BU544" t="s">
        <v>226</v>
      </c>
      <c r="BV544" t="s">
        <v>408</v>
      </c>
      <c r="BW544" t="s">
        <v>228</v>
      </c>
      <c r="CH544" t="s">
        <v>229</v>
      </c>
      <c r="CI544" t="s">
        <v>131</v>
      </c>
      <c r="CJ544" t="s">
        <v>226</v>
      </c>
      <c r="CK544" t="s">
        <v>408</v>
      </c>
      <c r="CL544" t="s">
        <v>228</v>
      </c>
      <c r="CM544" t="s">
        <v>234</v>
      </c>
      <c r="CN544" t="s">
        <v>73</v>
      </c>
      <c r="CO544">
        <v>-116.5</v>
      </c>
      <c r="CP544">
        <v>42355378</v>
      </c>
      <c r="CQ544" s="73">
        <v>45367.590277777781</v>
      </c>
      <c r="CR544" t="s">
        <v>229</v>
      </c>
      <c r="CS544" t="s">
        <v>131</v>
      </c>
      <c r="CU544" t="s">
        <v>225</v>
      </c>
    </row>
    <row r="545" spans="1:99">
      <c r="A545" t="s">
        <v>127</v>
      </c>
      <c r="B545" t="s">
        <v>90</v>
      </c>
      <c r="J545" t="s">
        <v>225</v>
      </c>
      <c r="K545" t="s">
        <v>225</v>
      </c>
      <c r="M545" s="73">
        <v>45367.590277777781</v>
      </c>
      <c r="N545">
        <v>42355371</v>
      </c>
      <c r="O545">
        <v>-588.79999999999995</v>
      </c>
      <c r="P545" t="s">
        <v>73</v>
      </c>
      <c r="Q545">
        <v>-588.79999999999995</v>
      </c>
      <c r="R545" t="s">
        <v>73</v>
      </c>
      <c r="U545" t="s">
        <v>226</v>
      </c>
      <c r="V545" t="s">
        <v>408</v>
      </c>
      <c r="W545" t="s">
        <v>228</v>
      </c>
      <c r="X545" t="s">
        <v>229</v>
      </c>
      <c r="Y545" t="s">
        <v>127</v>
      </c>
      <c r="AD545" t="s">
        <v>73</v>
      </c>
      <c r="AE545">
        <v>-588.79999999999995</v>
      </c>
      <c r="AF545">
        <v>42355371</v>
      </c>
      <c r="AG545" s="73">
        <v>45367.590277777781</v>
      </c>
      <c r="AH545" t="s">
        <v>226</v>
      </c>
      <c r="AI545" t="s">
        <v>408</v>
      </c>
      <c r="AJ545" t="s">
        <v>228</v>
      </c>
      <c r="AK545" t="s">
        <v>229</v>
      </c>
      <c r="AL545" t="s">
        <v>127</v>
      </c>
      <c r="AP545" t="s">
        <v>230</v>
      </c>
      <c r="AQ545" t="s">
        <v>231</v>
      </c>
      <c r="AT545" t="s">
        <v>232</v>
      </c>
      <c r="AU545">
        <v>-99</v>
      </c>
      <c r="AV545" t="s">
        <v>73</v>
      </c>
      <c r="AW545">
        <v>-588.79999999999995</v>
      </c>
      <c r="AX545">
        <v>42355371</v>
      </c>
      <c r="AY545" s="73">
        <v>45367.590277777781</v>
      </c>
      <c r="AZ545" t="s">
        <v>226</v>
      </c>
      <c r="BA545" t="s">
        <v>408</v>
      </c>
      <c r="BB545" t="s">
        <v>228</v>
      </c>
      <c r="BC545" t="s">
        <v>229</v>
      </c>
      <c r="BD545" t="s">
        <v>127</v>
      </c>
      <c r="BI545" t="s">
        <v>233</v>
      </c>
      <c r="BJ545" t="s">
        <v>0</v>
      </c>
      <c r="BK545">
        <v>42355367</v>
      </c>
      <c r="BN545" t="s">
        <v>73</v>
      </c>
      <c r="BR545">
        <v>-588.79999999999995</v>
      </c>
      <c r="BS545">
        <v>42355371</v>
      </c>
      <c r="BT545" s="73">
        <v>45367.590277777781</v>
      </c>
      <c r="BU545" t="s">
        <v>226</v>
      </c>
      <c r="BV545" t="s">
        <v>408</v>
      </c>
      <c r="BW545" t="s">
        <v>228</v>
      </c>
      <c r="CH545" t="s">
        <v>229</v>
      </c>
      <c r="CI545" t="s">
        <v>127</v>
      </c>
      <c r="CJ545" t="s">
        <v>226</v>
      </c>
      <c r="CK545" t="s">
        <v>408</v>
      </c>
      <c r="CL545" t="s">
        <v>228</v>
      </c>
      <c r="CM545" t="s">
        <v>234</v>
      </c>
      <c r="CN545" t="s">
        <v>73</v>
      </c>
      <c r="CO545">
        <v>-588.79999999999995</v>
      </c>
      <c r="CP545">
        <v>42355371</v>
      </c>
      <c r="CQ545" s="73">
        <v>45367.590277777781</v>
      </c>
      <c r="CR545" t="s">
        <v>229</v>
      </c>
      <c r="CS545" t="s">
        <v>127</v>
      </c>
      <c r="CU545" t="s">
        <v>225</v>
      </c>
    </row>
    <row r="546" spans="1:99">
      <c r="A546" t="s">
        <v>42</v>
      </c>
      <c r="B546" t="s">
        <v>92</v>
      </c>
      <c r="J546" t="s">
        <v>225</v>
      </c>
      <c r="K546" t="s">
        <v>225</v>
      </c>
      <c r="M546" s="73">
        <v>45367.583333333336</v>
      </c>
      <c r="N546">
        <v>42358971</v>
      </c>
      <c r="O546">
        <v>-6307</v>
      </c>
      <c r="P546" t="s">
        <v>45</v>
      </c>
      <c r="Q546">
        <v>-6307</v>
      </c>
      <c r="R546" t="s">
        <v>45</v>
      </c>
      <c r="U546" t="s">
        <v>226</v>
      </c>
      <c r="V546" t="s">
        <v>409</v>
      </c>
      <c r="W546" t="s">
        <v>228</v>
      </c>
      <c r="X546" t="s">
        <v>229</v>
      </c>
      <c r="Y546" t="s">
        <v>42</v>
      </c>
      <c r="AD546" t="s">
        <v>45</v>
      </c>
      <c r="AE546">
        <v>-6307</v>
      </c>
      <c r="AF546">
        <v>42358971</v>
      </c>
      <c r="AG546" s="73">
        <v>45367.583333333336</v>
      </c>
      <c r="AH546" t="s">
        <v>226</v>
      </c>
      <c r="AI546" t="s">
        <v>409</v>
      </c>
      <c r="AJ546" t="s">
        <v>228</v>
      </c>
      <c r="AK546" t="s">
        <v>229</v>
      </c>
      <c r="AL546" t="s">
        <v>42</v>
      </c>
      <c r="AP546" t="s">
        <v>230</v>
      </c>
      <c r="AQ546" t="s">
        <v>231</v>
      </c>
      <c r="AT546" t="s">
        <v>232</v>
      </c>
      <c r="AU546">
        <v>-99</v>
      </c>
      <c r="AV546" t="s">
        <v>45</v>
      </c>
      <c r="AW546">
        <v>-6307</v>
      </c>
      <c r="AX546">
        <v>42358971</v>
      </c>
      <c r="AY546" s="73">
        <v>45367.583333333336</v>
      </c>
      <c r="AZ546" t="s">
        <v>226</v>
      </c>
      <c r="BA546" t="s">
        <v>409</v>
      </c>
      <c r="BB546" t="s">
        <v>228</v>
      </c>
      <c r="BC546" t="s">
        <v>229</v>
      </c>
      <c r="BD546" t="s">
        <v>42</v>
      </c>
      <c r="BI546" t="s">
        <v>233</v>
      </c>
      <c r="BJ546" t="s">
        <v>0</v>
      </c>
      <c r="BK546">
        <v>42358955</v>
      </c>
      <c r="BN546" t="s">
        <v>45</v>
      </c>
      <c r="BR546">
        <v>-6307</v>
      </c>
      <c r="BS546">
        <v>42358971</v>
      </c>
      <c r="BT546" s="73">
        <v>45367.583333333336</v>
      </c>
      <c r="BU546" t="s">
        <v>226</v>
      </c>
      <c r="BV546" t="s">
        <v>409</v>
      </c>
      <c r="BW546" t="s">
        <v>228</v>
      </c>
      <c r="CH546" t="s">
        <v>229</v>
      </c>
      <c r="CI546" t="s">
        <v>42</v>
      </c>
      <c r="CJ546" t="s">
        <v>226</v>
      </c>
      <c r="CK546" t="s">
        <v>409</v>
      </c>
      <c r="CL546" t="s">
        <v>228</v>
      </c>
      <c r="CM546" t="s">
        <v>234</v>
      </c>
      <c r="CN546" t="s">
        <v>45</v>
      </c>
      <c r="CO546">
        <v>-6307</v>
      </c>
      <c r="CP546">
        <v>42358971</v>
      </c>
      <c r="CQ546" s="73">
        <v>45367.583333333336</v>
      </c>
      <c r="CR546" t="s">
        <v>229</v>
      </c>
      <c r="CS546" t="s">
        <v>42</v>
      </c>
      <c r="CU546" t="s">
        <v>225</v>
      </c>
    </row>
    <row r="547" spans="1:99">
      <c r="A547" t="s">
        <v>99</v>
      </c>
      <c r="B547" t="s">
        <v>98</v>
      </c>
      <c r="J547" t="s">
        <v>225</v>
      </c>
      <c r="K547" t="s">
        <v>225</v>
      </c>
      <c r="M547" s="73">
        <v>45367.583333333336</v>
      </c>
      <c r="N547">
        <v>42358970</v>
      </c>
      <c r="O547">
        <v>-315</v>
      </c>
      <c r="P547" t="s">
        <v>73</v>
      </c>
      <c r="Q547">
        <v>-315</v>
      </c>
      <c r="R547" t="s">
        <v>73</v>
      </c>
      <c r="U547" t="s">
        <v>226</v>
      </c>
      <c r="V547" t="s">
        <v>409</v>
      </c>
      <c r="W547" t="s">
        <v>228</v>
      </c>
      <c r="X547" t="s">
        <v>229</v>
      </c>
      <c r="Y547" t="s">
        <v>99</v>
      </c>
      <c r="AD547" t="s">
        <v>73</v>
      </c>
      <c r="AE547">
        <v>-315</v>
      </c>
      <c r="AF547">
        <v>42358970</v>
      </c>
      <c r="AG547" s="73">
        <v>45367.583333333336</v>
      </c>
      <c r="AH547" t="s">
        <v>226</v>
      </c>
      <c r="AI547" t="s">
        <v>409</v>
      </c>
      <c r="AJ547" t="s">
        <v>228</v>
      </c>
      <c r="AK547" t="s">
        <v>229</v>
      </c>
      <c r="AL547" t="s">
        <v>99</v>
      </c>
      <c r="AP547" t="s">
        <v>230</v>
      </c>
      <c r="AQ547" t="s">
        <v>231</v>
      </c>
      <c r="AT547" t="s">
        <v>232</v>
      </c>
      <c r="AU547">
        <v>-99</v>
      </c>
      <c r="AV547" t="s">
        <v>73</v>
      </c>
      <c r="AW547">
        <v>-315</v>
      </c>
      <c r="AX547">
        <v>42358970</v>
      </c>
      <c r="AY547" s="73">
        <v>45367.583333333336</v>
      </c>
      <c r="AZ547" t="s">
        <v>226</v>
      </c>
      <c r="BA547" t="s">
        <v>409</v>
      </c>
      <c r="BB547" t="s">
        <v>228</v>
      </c>
      <c r="BC547" t="s">
        <v>229</v>
      </c>
      <c r="BD547" t="s">
        <v>99</v>
      </c>
      <c r="BI547" t="s">
        <v>233</v>
      </c>
      <c r="BJ547" t="s">
        <v>0</v>
      </c>
      <c r="BK547">
        <v>42358955</v>
      </c>
      <c r="BN547" t="s">
        <v>73</v>
      </c>
      <c r="BR547">
        <v>-315</v>
      </c>
      <c r="BS547">
        <v>42358970</v>
      </c>
      <c r="BT547" s="73">
        <v>45367.583333333336</v>
      </c>
      <c r="BU547" t="s">
        <v>226</v>
      </c>
      <c r="BV547" t="s">
        <v>409</v>
      </c>
      <c r="BW547" t="s">
        <v>228</v>
      </c>
      <c r="CH547" t="s">
        <v>229</v>
      </c>
      <c r="CI547" t="s">
        <v>99</v>
      </c>
      <c r="CJ547" t="s">
        <v>226</v>
      </c>
      <c r="CK547" t="s">
        <v>409</v>
      </c>
      <c r="CL547" t="s">
        <v>228</v>
      </c>
      <c r="CM547" t="s">
        <v>234</v>
      </c>
      <c r="CN547" t="s">
        <v>73</v>
      </c>
      <c r="CO547">
        <v>-315</v>
      </c>
      <c r="CP547">
        <v>42358970</v>
      </c>
      <c r="CQ547" s="73">
        <v>45367.583333333336</v>
      </c>
      <c r="CR547" t="s">
        <v>229</v>
      </c>
      <c r="CS547" t="s">
        <v>99</v>
      </c>
      <c r="CU547" t="s">
        <v>225</v>
      </c>
    </row>
    <row r="548" spans="1:99">
      <c r="A548" t="s">
        <v>103</v>
      </c>
      <c r="B548" t="s">
        <v>98</v>
      </c>
      <c r="J548" t="s">
        <v>225</v>
      </c>
      <c r="K548" t="s">
        <v>225</v>
      </c>
      <c r="M548" s="73">
        <v>45367.583333333336</v>
      </c>
      <c r="N548">
        <v>42358969</v>
      </c>
      <c r="O548">
        <v>6300</v>
      </c>
      <c r="P548" t="s">
        <v>104</v>
      </c>
      <c r="Q548">
        <v>6300</v>
      </c>
      <c r="R548" t="s">
        <v>104</v>
      </c>
      <c r="S548">
        <v>315</v>
      </c>
      <c r="T548" t="s">
        <v>73</v>
      </c>
      <c r="U548" t="s">
        <v>226</v>
      </c>
      <c r="V548" t="s">
        <v>409</v>
      </c>
      <c r="W548" t="s">
        <v>235</v>
      </c>
      <c r="X548" t="s">
        <v>229</v>
      </c>
      <c r="Y548" t="s">
        <v>103</v>
      </c>
      <c r="AD548" t="s">
        <v>104</v>
      </c>
      <c r="AE548">
        <v>6300</v>
      </c>
      <c r="AF548">
        <v>42358969</v>
      </c>
      <c r="AG548" s="73">
        <v>45367.583333333336</v>
      </c>
      <c r="AH548" t="s">
        <v>226</v>
      </c>
      <c r="AI548" t="s">
        <v>409</v>
      </c>
      <c r="AJ548" t="s">
        <v>235</v>
      </c>
      <c r="AK548" t="s">
        <v>229</v>
      </c>
      <c r="AL548" t="s">
        <v>103</v>
      </c>
      <c r="AP548" t="s">
        <v>230</v>
      </c>
      <c r="AQ548" t="s">
        <v>231</v>
      </c>
      <c r="AT548" t="s">
        <v>232</v>
      </c>
      <c r="AU548">
        <v>-99</v>
      </c>
      <c r="AV548" t="s">
        <v>104</v>
      </c>
      <c r="AW548">
        <v>6300</v>
      </c>
      <c r="AX548">
        <v>42358969</v>
      </c>
      <c r="AY548" s="73">
        <v>45367.583333333336</v>
      </c>
      <c r="AZ548" t="s">
        <v>226</v>
      </c>
      <c r="BA548" t="s">
        <v>409</v>
      </c>
      <c r="BB548" t="s">
        <v>235</v>
      </c>
      <c r="BC548" t="s">
        <v>229</v>
      </c>
      <c r="BD548" t="s">
        <v>103</v>
      </c>
      <c r="BI548" t="s">
        <v>233</v>
      </c>
      <c r="BJ548" t="s">
        <v>0</v>
      </c>
      <c r="BK548">
        <v>42358955</v>
      </c>
      <c r="BN548" t="s">
        <v>104</v>
      </c>
      <c r="BO548">
        <v>42358961</v>
      </c>
      <c r="BR548">
        <v>6300</v>
      </c>
      <c r="BS548">
        <v>42358969</v>
      </c>
      <c r="BT548" s="73">
        <v>45367.583333333336</v>
      </c>
      <c r="BU548" t="s">
        <v>226</v>
      </c>
      <c r="BV548" t="s">
        <v>409</v>
      </c>
      <c r="BW548" t="s">
        <v>235</v>
      </c>
      <c r="CH548" t="s">
        <v>229</v>
      </c>
      <c r="CI548" t="s">
        <v>103</v>
      </c>
      <c r="CJ548" t="s">
        <v>226</v>
      </c>
      <c r="CK548" t="s">
        <v>409</v>
      </c>
      <c r="CL548" t="s">
        <v>235</v>
      </c>
      <c r="CM548" t="s">
        <v>236</v>
      </c>
      <c r="CN548" t="s">
        <v>104</v>
      </c>
      <c r="CO548">
        <v>6300</v>
      </c>
      <c r="CP548">
        <v>42358969</v>
      </c>
      <c r="CQ548" s="73">
        <v>45367.583333333336</v>
      </c>
      <c r="CR548" t="s">
        <v>229</v>
      </c>
      <c r="CS548" t="s">
        <v>103</v>
      </c>
      <c r="CU548" t="s">
        <v>225</v>
      </c>
    </row>
    <row r="549" spans="1:99">
      <c r="A549" t="s">
        <v>111</v>
      </c>
      <c r="B549" t="s">
        <v>77</v>
      </c>
      <c r="J549" t="s">
        <v>225</v>
      </c>
      <c r="K549" t="s">
        <v>225</v>
      </c>
      <c r="M549" s="73">
        <v>45367.583333333336</v>
      </c>
      <c r="N549">
        <v>42358968</v>
      </c>
      <c r="O549">
        <v>7</v>
      </c>
      <c r="P549" t="s">
        <v>45</v>
      </c>
      <c r="Q549">
        <v>7</v>
      </c>
      <c r="R549" t="s">
        <v>45</v>
      </c>
      <c r="U549" t="s">
        <v>226</v>
      </c>
      <c r="V549" t="s">
        <v>409</v>
      </c>
      <c r="W549" t="s">
        <v>237</v>
      </c>
      <c r="X549" t="s">
        <v>229</v>
      </c>
      <c r="Y549" t="s">
        <v>111</v>
      </c>
      <c r="AD549" t="s">
        <v>45</v>
      </c>
      <c r="AE549">
        <v>7</v>
      </c>
      <c r="AF549">
        <v>42358968</v>
      </c>
      <c r="AG549" s="73">
        <v>45367.583333333336</v>
      </c>
      <c r="AH549" t="s">
        <v>226</v>
      </c>
      <c r="AI549" t="s">
        <v>409</v>
      </c>
      <c r="AJ549" t="s">
        <v>237</v>
      </c>
      <c r="AK549" t="s">
        <v>229</v>
      </c>
      <c r="AL549" t="s">
        <v>111</v>
      </c>
      <c r="AP549" t="s">
        <v>230</v>
      </c>
      <c r="AQ549" t="s">
        <v>231</v>
      </c>
      <c r="AT549" t="s">
        <v>232</v>
      </c>
      <c r="AU549">
        <v>-99</v>
      </c>
      <c r="AV549" t="s">
        <v>45</v>
      </c>
      <c r="AW549">
        <v>7</v>
      </c>
      <c r="AX549">
        <v>42358968</v>
      </c>
      <c r="AY549" s="73">
        <v>45367.583333333336</v>
      </c>
      <c r="AZ549" t="s">
        <v>226</v>
      </c>
      <c r="BA549" t="s">
        <v>409</v>
      </c>
      <c r="BB549" t="s">
        <v>237</v>
      </c>
      <c r="BC549" t="s">
        <v>229</v>
      </c>
      <c r="BD549" t="s">
        <v>111</v>
      </c>
      <c r="BI549" t="s">
        <v>233</v>
      </c>
      <c r="BJ549" t="s">
        <v>0</v>
      </c>
      <c r="BK549">
        <v>42358955</v>
      </c>
      <c r="BN549" t="s">
        <v>45</v>
      </c>
      <c r="BO549">
        <v>42358963</v>
      </c>
      <c r="BR549">
        <v>7</v>
      </c>
      <c r="BS549">
        <v>42358968</v>
      </c>
      <c r="BT549" s="73">
        <v>45367.583333333336</v>
      </c>
      <c r="BU549" t="s">
        <v>226</v>
      </c>
      <c r="BV549" t="s">
        <v>409</v>
      </c>
      <c r="BW549" t="s">
        <v>237</v>
      </c>
      <c r="CH549" t="s">
        <v>229</v>
      </c>
      <c r="CI549" t="s">
        <v>111</v>
      </c>
      <c r="CJ549" t="s">
        <v>226</v>
      </c>
      <c r="CK549" t="s">
        <v>409</v>
      </c>
      <c r="CL549" t="s">
        <v>237</v>
      </c>
      <c r="CM549" t="s">
        <v>236</v>
      </c>
      <c r="CN549" t="s">
        <v>45</v>
      </c>
      <c r="CO549">
        <v>7</v>
      </c>
      <c r="CP549">
        <v>42358968</v>
      </c>
      <c r="CQ549" s="73">
        <v>45367.583333333336</v>
      </c>
      <c r="CR549" t="s">
        <v>229</v>
      </c>
      <c r="CS549" t="s">
        <v>111</v>
      </c>
      <c r="CU549" t="s">
        <v>225</v>
      </c>
    </row>
    <row r="550" spans="1:99">
      <c r="A550" t="s">
        <v>42</v>
      </c>
      <c r="B550" t="s">
        <v>92</v>
      </c>
      <c r="J550" t="s">
        <v>225</v>
      </c>
      <c r="K550" t="s">
        <v>225</v>
      </c>
      <c r="M550" s="73">
        <v>45367.583333333336</v>
      </c>
      <c r="N550">
        <v>42358930</v>
      </c>
      <c r="O550">
        <v>-5760</v>
      </c>
      <c r="P550" t="s">
        <v>45</v>
      </c>
      <c r="Q550">
        <v>-5760</v>
      </c>
      <c r="R550" t="s">
        <v>45</v>
      </c>
      <c r="U550" t="s">
        <v>226</v>
      </c>
      <c r="V550" t="s">
        <v>410</v>
      </c>
      <c r="W550" t="s">
        <v>228</v>
      </c>
      <c r="X550" t="s">
        <v>229</v>
      </c>
      <c r="Y550" t="s">
        <v>42</v>
      </c>
      <c r="AD550" t="s">
        <v>45</v>
      </c>
      <c r="AE550">
        <v>-5760</v>
      </c>
      <c r="AF550">
        <v>42358930</v>
      </c>
      <c r="AG550" s="73">
        <v>45367.583333333336</v>
      </c>
      <c r="AH550" t="s">
        <v>226</v>
      </c>
      <c r="AI550" t="s">
        <v>410</v>
      </c>
      <c r="AJ550" t="s">
        <v>228</v>
      </c>
      <c r="AK550" t="s">
        <v>229</v>
      </c>
      <c r="AL550" t="s">
        <v>42</v>
      </c>
      <c r="AP550" t="s">
        <v>230</v>
      </c>
      <c r="AQ550" t="s">
        <v>231</v>
      </c>
      <c r="AT550" t="s">
        <v>232</v>
      </c>
      <c r="AU550">
        <v>-99</v>
      </c>
      <c r="AV550" t="s">
        <v>45</v>
      </c>
      <c r="AW550">
        <v>-5760</v>
      </c>
      <c r="AX550">
        <v>42358930</v>
      </c>
      <c r="AY550" s="73">
        <v>45367.583333333336</v>
      </c>
      <c r="AZ550" t="s">
        <v>226</v>
      </c>
      <c r="BA550" t="s">
        <v>410</v>
      </c>
      <c r="BB550" t="s">
        <v>228</v>
      </c>
      <c r="BC550" t="s">
        <v>229</v>
      </c>
      <c r="BD550" t="s">
        <v>42</v>
      </c>
      <c r="BI550" t="s">
        <v>233</v>
      </c>
      <c r="BJ550" t="s">
        <v>0</v>
      </c>
      <c r="BK550">
        <v>42358912</v>
      </c>
      <c r="BN550" t="s">
        <v>45</v>
      </c>
      <c r="BR550">
        <v>-5760</v>
      </c>
      <c r="BS550">
        <v>42358930</v>
      </c>
      <c r="BT550" s="73">
        <v>45367.583333333336</v>
      </c>
      <c r="BU550" t="s">
        <v>226</v>
      </c>
      <c r="BV550" t="s">
        <v>410</v>
      </c>
      <c r="BW550" t="s">
        <v>228</v>
      </c>
      <c r="CH550" t="s">
        <v>229</v>
      </c>
      <c r="CI550" t="s">
        <v>42</v>
      </c>
      <c r="CJ550" t="s">
        <v>226</v>
      </c>
      <c r="CK550" t="s">
        <v>410</v>
      </c>
      <c r="CL550" t="s">
        <v>228</v>
      </c>
      <c r="CM550" t="s">
        <v>234</v>
      </c>
      <c r="CN550" t="s">
        <v>45</v>
      </c>
      <c r="CO550">
        <v>-5760</v>
      </c>
      <c r="CP550">
        <v>42358930</v>
      </c>
      <c r="CQ550" s="73">
        <v>45367.583333333336</v>
      </c>
      <c r="CR550" t="s">
        <v>229</v>
      </c>
      <c r="CS550" t="s">
        <v>42</v>
      </c>
      <c r="CU550" t="s">
        <v>225</v>
      </c>
    </row>
    <row r="551" spans="1:99">
      <c r="A551" t="s">
        <v>99</v>
      </c>
      <c r="B551" t="s">
        <v>98</v>
      </c>
      <c r="J551" t="s">
        <v>225</v>
      </c>
      <c r="K551" t="s">
        <v>225</v>
      </c>
      <c r="M551" s="73">
        <v>45367.583333333336</v>
      </c>
      <c r="N551">
        <v>42358929</v>
      </c>
      <c r="O551">
        <v>-288</v>
      </c>
      <c r="P551" t="s">
        <v>73</v>
      </c>
      <c r="Q551">
        <v>-288</v>
      </c>
      <c r="R551" t="s">
        <v>73</v>
      </c>
      <c r="U551" t="s">
        <v>226</v>
      </c>
      <c r="V551" t="s">
        <v>410</v>
      </c>
      <c r="W551" t="s">
        <v>228</v>
      </c>
      <c r="X551" t="s">
        <v>229</v>
      </c>
      <c r="Y551" t="s">
        <v>99</v>
      </c>
      <c r="AD551" t="s">
        <v>73</v>
      </c>
      <c r="AE551">
        <v>-288</v>
      </c>
      <c r="AF551">
        <v>42358929</v>
      </c>
      <c r="AG551" s="73">
        <v>45367.583333333336</v>
      </c>
      <c r="AH551" t="s">
        <v>226</v>
      </c>
      <c r="AI551" t="s">
        <v>410</v>
      </c>
      <c r="AJ551" t="s">
        <v>228</v>
      </c>
      <c r="AK551" t="s">
        <v>229</v>
      </c>
      <c r="AL551" t="s">
        <v>99</v>
      </c>
      <c r="AP551" t="s">
        <v>230</v>
      </c>
      <c r="AQ551" t="s">
        <v>231</v>
      </c>
      <c r="AT551" t="s">
        <v>232</v>
      </c>
      <c r="AU551">
        <v>-99</v>
      </c>
      <c r="AV551" t="s">
        <v>73</v>
      </c>
      <c r="AW551">
        <v>-288</v>
      </c>
      <c r="AX551">
        <v>42358929</v>
      </c>
      <c r="AY551" s="73">
        <v>45367.583333333336</v>
      </c>
      <c r="AZ551" t="s">
        <v>226</v>
      </c>
      <c r="BA551" t="s">
        <v>410</v>
      </c>
      <c r="BB551" t="s">
        <v>228</v>
      </c>
      <c r="BC551" t="s">
        <v>229</v>
      </c>
      <c r="BD551" t="s">
        <v>99</v>
      </c>
      <c r="BI551" t="s">
        <v>233</v>
      </c>
      <c r="BJ551" t="s">
        <v>0</v>
      </c>
      <c r="BK551">
        <v>42358912</v>
      </c>
      <c r="BN551" t="s">
        <v>73</v>
      </c>
      <c r="BR551">
        <v>-288</v>
      </c>
      <c r="BS551">
        <v>42358929</v>
      </c>
      <c r="BT551" s="73">
        <v>45367.583333333336</v>
      </c>
      <c r="BU551" t="s">
        <v>226</v>
      </c>
      <c r="BV551" t="s">
        <v>410</v>
      </c>
      <c r="BW551" t="s">
        <v>228</v>
      </c>
      <c r="CH551" t="s">
        <v>229</v>
      </c>
      <c r="CI551" t="s">
        <v>99</v>
      </c>
      <c r="CJ551" t="s">
        <v>226</v>
      </c>
      <c r="CK551" t="s">
        <v>410</v>
      </c>
      <c r="CL551" t="s">
        <v>228</v>
      </c>
      <c r="CM551" t="s">
        <v>234</v>
      </c>
      <c r="CN551" t="s">
        <v>73</v>
      </c>
      <c r="CO551">
        <v>-288</v>
      </c>
      <c r="CP551">
        <v>42358929</v>
      </c>
      <c r="CQ551" s="73">
        <v>45367.583333333336</v>
      </c>
      <c r="CR551" t="s">
        <v>229</v>
      </c>
      <c r="CS551" t="s">
        <v>99</v>
      </c>
      <c r="CU551" t="s">
        <v>225</v>
      </c>
    </row>
    <row r="552" spans="1:99">
      <c r="A552" t="s">
        <v>103</v>
      </c>
      <c r="B552" t="s">
        <v>98</v>
      </c>
      <c r="J552" t="s">
        <v>225</v>
      </c>
      <c r="K552" t="s">
        <v>225</v>
      </c>
      <c r="M552" s="73">
        <v>45367.583333333336</v>
      </c>
      <c r="N552">
        <v>42358928</v>
      </c>
      <c r="O552">
        <v>5760</v>
      </c>
      <c r="P552" t="s">
        <v>104</v>
      </c>
      <c r="Q552">
        <v>5760</v>
      </c>
      <c r="R552" t="s">
        <v>104</v>
      </c>
      <c r="S552">
        <v>288</v>
      </c>
      <c r="T552" t="s">
        <v>73</v>
      </c>
      <c r="U552" t="s">
        <v>226</v>
      </c>
      <c r="V552" t="s">
        <v>410</v>
      </c>
      <c r="W552" t="s">
        <v>235</v>
      </c>
      <c r="X552" t="s">
        <v>229</v>
      </c>
      <c r="Y552" t="s">
        <v>103</v>
      </c>
      <c r="AD552" t="s">
        <v>104</v>
      </c>
      <c r="AE552">
        <v>5760</v>
      </c>
      <c r="AF552">
        <v>42358928</v>
      </c>
      <c r="AG552" s="73">
        <v>45367.583333333336</v>
      </c>
      <c r="AH552" t="s">
        <v>226</v>
      </c>
      <c r="AI552" t="s">
        <v>410</v>
      </c>
      <c r="AJ552" t="s">
        <v>235</v>
      </c>
      <c r="AK552" t="s">
        <v>229</v>
      </c>
      <c r="AL552" t="s">
        <v>103</v>
      </c>
      <c r="AP552" t="s">
        <v>230</v>
      </c>
      <c r="AQ552" t="s">
        <v>231</v>
      </c>
      <c r="AT552" t="s">
        <v>232</v>
      </c>
      <c r="AU552">
        <v>-99</v>
      </c>
      <c r="AV552" t="s">
        <v>104</v>
      </c>
      <c r="AW552">
        <v>5760</v>
      </c>
      <c r="AX552">
        <v>42358928</v>
      </c>
      <c r="AY552" s="73">
        <v>45367.583333333336</v>
      </c>
      <c r="AZ552" t="s">
        <v>226</v>
      </c>
      <c r="BA552" t="s">
        <v>410</v>
      </c>
      <c r="BB552" t="s">
        <v>235</v>
      </c>
      <c r="BC552" t="s">
        <v>229</v>
      </c>
      <c r="BD552" t="s">
        <v>103</v>
      </c>
      <c r="BI552" t="s">
        <v>233</v>
      </c>
      <c r="BJ552" t="s">
        <v>0</v>
      </c>
      <c r="BK552">
        <v>42358912</v>
      </c>
      <c r="BN552" t="s">
        <v>104</v>
      </c>
      <c r="BO552">
        <v>42358924</v>
      </c>
      <c r="BR552">
        <v>5760</v>
      </c>
      <c r="BS552">
        <v>42358928</v>
      </c>
      <c r="BT552" s="73">
        <v>45367.583333333336</v>
      </c>
      <c r="BU552" t="s">
        <v>226</v>
      </c>
      <c r="BV552" t="s">
        <v>410</v>
      </c>
      <c r="BW552" t="s">
        <v>235</v>
      </c>
      <c r="CH552" t="s">
        <v>229</v>
      </c>
      <c r="CI552" t="s">
        <v>103</v>
      </c>
      <c r="CJ552" t="s">
        <v>226</v>
      </c>
      <c r="CK552" t="s">
        <v>410</v>
      </c>
      <c r="CL552" t="s">
        <v>235</v>
      </c>
      <c r="CM552" t="s">
        <v>236</v>
      </c>
      <c r="CN552" t="s">
        <v>104</v>
      </c>
      <c r="CO552">
        <v>5760</v>
      </c>
      <c r="CP552">
        <v>42358928</v>
      </c>
      <c r="CQ552" s="73">
        <v>45367.583333333336</v>
      </c>
      <c r="CR552" t="s">
        <v>229</v>
      </c>
      <c r="CS552" t="s">
        <v>103</v>
      </c>
      <c r="CU552" t="s">
        <v>225</v>
      </c>
    </row>
    <row r="553" spans="1:99">
      <c r="A553" t="s">
        <v>52</v>
      </c>
      <c r="B553" t="s">
        <v>92</v>
      </c>
      <c r="J553" t="s">
        <v>225</v>
      </c>
      <c r="K553" t="s">
        <v>225</v>
      </c>
      <c r="M553" s="73">
        <v>45367.583333333336</v>
      </c>
      <c r="N553">
        <v>42358889</v>
      </c>
      <c r="O553">
        <v>-1294</v>
      </c>
      <c r="P553" t="s">
        <v>45</v>
      </c>
      <c r="Q553">
        <v>-1294</v>
      </c>
      <c r="R553" t="s">
        <v>45</v>
      </c>
      <c r="U553" t="s">
        <v>226</v>
      </c>
      <c r="V553" t="s">
        <v>411</v>
      </c>
      <c r="W553" t="s">
        <v>228</v>
      </c>
      <c r="X553" t="s">
        <v>229</v>
      </c>
      <c r="Y553" t="s">
        <v>52</v>
      </c>
      <c r="AD553" t="s">
        <v>45</v>
      </c>
      <c r="AE553">
        <v>-1294</v>
      </c>
      <c r="AF553">
        <v>42358889</v>
      </c>
      <c r="AG553" s="73">
        <v>45367.583333333336</v>
      </c>
      <c r="AH553" t="s">
        <v>226</v>
      </c>
      <c r="AI553" t="s">
        <v>411</v>
      </c>
      <c r="AJ553" t="s">
        <v>228</v>
      </c>
      <c r="AK553" t="s">
        <v>229</v>
      </c>
      <c r="AL553" t="s">
        <v>52</v>
      </c>
      <c r="AP553" t="s">
        <v>230</v>
      </c>
      <c r="AQ553" t="s">
        <v>231</v>
      </c>
      <c r="AT553" t="s">
        <v>232</v>
      </c>
      <c r="AU553">
        <v>-99</v>
      </c>
      <c r="AV553" t="s">
        <v>45</v>
      </c>
      <c r="AW553">
        <v>-1294</v>
      </c>
      <c r="AX553">
        <v>42358889</v>
      </c>
      <c r="AY553" s="73">
        <v>45367.583333333336</v>
      </c>
      <c r="AZ553" t="s">
        <v>226</v>
      </c>
      <c r="BA553" t="s">
        <v>411</v>
      </c>
      <c r="BB553" t="s">
        <v>228</v>
      </c>
      <c r="BC553" t="s">
        <v>229</v>
      </c>
      <c r="BD553" t="s">
        <v>52</v>
      </c>
      <c r="BI553" t="s">
        <v>233</v>
      </c>
      <c r="BJ553" t="s">
        <v>0</v>
      </c>
      <c r="BK553">
        <v>42358873</v>
      </c>
      <c r="BN553" t="s">
        <v>45</v>
      </c>
      <c r="BR553">
        <v>-1294</v>
      </c>
      <c r="BS553">
        <v>42358889</v>
      </c>
      <c r="BT553" s="73">
        <v>45367.583333333336</v>
      </c>
      <c r="BU553" t="s">
        <v>226</v>
      </c>
      <c r="BV553" t="s">
        <v>411</v>
      </c>
      <c r="BW553" t="s">
        <v>228</v>
      </c>
      <c r="CH553" t="s">
        <v>229</v>
      </c>
      <c r="CI553" t="s">
        <v>52</v>
      </c>
      <c r="CJ553" t="s">
        <v>226</v>
      </c>
      <c r="CK553" t="s">
        <v>411</v>
      </c>
      <c r="CL553" t="s">
        <v>228</v>
      </c>
      <c r="CM553" t="s">
        <v>234</v>
      </c>
      <c r="CN553" t="s">
        <v>45</v>
      </c>
      <c r="CO553">
        <v>-1294</v>
      </c>
      <c r="CP553">
        <v>42358889</v>
      </c>
      <c r="CQ553" s="73">
        <v>45367.583333333336</v>
      </c>
      <c r="CR553" t="s">
        <v>229</v>
      </c>
      <c r="CS553" t="s">
        <v>52</v>
      </c>
      <c r="CU553" t="s">
        <v>225</v>
      </c>
    </row>
    <row r="554" spans="1:99">
      <c r="A554" t="s">
        <v>101</v>
      </c>
      <c r="B554" t="s">
        <v>98</v>
      </c>
      <c r="J554" t="s">
        <v>225</v>
      </c>
      <c r="K554" t="s">
        <v>225</v>
      </c>
      <c r="M554" s="73">
        <v>45367.583333333336</v>
      </c>
      <c r="N554">
        <v>42358888</v>
      </c>
      <c r="O554">
        <v>-64.5</v>
      </c>
      <c r="P554" t="s">
        <v>73</v>
      </c>
      <c r="Q554">
        <v>-64.5</v>
      </c>
      <c r="R554" t="s">
        <v>73</v>
      </c>
      <c r="U554" t="s">
        <v>226</v>
      </c>
      <c r="V554" t="s">
        <v>411</v>
      </c>
      <c r="W554" t="s">
        <v>228</v>
      </c>
      <c r="X554" t="s">
        <v>229</v>
      </c>
      <c r="Y554" t="s">
        <v>101</v>
      </c>
      <c r="AD554" t="s">
        <v>73</v>
      </c>
      <c r="AE554">
        <v>-64.5</v>
      </c>
      <c r="AF554">
        <v>42358888</v>
      </c>
      <c r="AG554" s="73">
        <v>45367.583333333336</v>
      </c>
      <c r="AH554" t="s">
        <v>226</v>
      </c>
      <c r="AI554" t="s">
        <v>411</v>
      </c>
      <c r="AJ554" t="s">
        <v>228</v>
      </c>
      <c r="AK554" t="s">
        <v>229</v>
      </c>
      <c r="AL554" t="s">
        <v>101</v>
      </c>
      <c r="AP554" t="s">
        <v>230</v>
      </c>
      <c r="AQ554" t="s">
        <v>231</v>
      </c>
      <c r="AT554" t="s">
        <v>232</v>
      </c>
      <c r="AU554">
        <v>-99</v>
      </c>
      <c r="AV554" t="s">
        <v>73</v>
      </c>
      <c r="AW554">
        <v>-64.5</v>
      </c>
      <c r="AX554">
        <v>42358888</v>
      </c>
      <c r="AY554" s="73">
        <v>45367.583333333336</v>
      </c>
      <c r="AZ554" t="s">
        <v>226</v>
      </c>
      <c r="BA554" t="s">
        <v>411</v>
      </c>
      <c r="BB554" t="s">
        <v>228</v>
      </c>
      <c r="BC554" t="s">
        <v>229</v>
      </c>
      <c r="BD554" t="s">
        <v>101</v>
      </c>
      <c r="BI554" t="s">
        <v>233</v>
      </c>
      <c r="BJ554" t="s">
        <v>0</v>
      </c>
      <c r="BK554">
        <v>42358873</v>
      </c>
      <c r="BN554" t="s">
        <v>73</v>
      </c>
      <c r="BR554">
        <v>-64.5</v>
      </c>
      <c r="BS554">
        <v>42358888</v>
      </c>
      <c r="BT554" s="73">
        <v>45367.583333333336</v>
      </c>
      <c r="BU554" t="s">
        <v>226</v>
      </c>
      <c r="BV554" t="s">
        <v>411</v>
      </c>
      <c r="BW554" t="s">
        <v>228</v>
      </c>
      <c r="CH554" t="s">
        <v>229</v>
      </c>
      <c r="CI554" t="s">
        <v>101</v>
      </c>
      <c r="CJ554" t="s">
        <v>226</v>
      </c>
      <c r="CK554" t="s">
        <v>411</v>
      </c>
      <c r="CL554" t="s">
        <v>228</v>
      </c>
      <c r="CM554" t="s">
        <v>234</v>
      </c>
      <c r="CN554" t="s">
        <v>73</v>
      </c>
      <c r="CO554">
        <v>-64.5</v>
      </c>
      <c r="CP554">
        <v>42358888</v>
      </c>
      <c r="CQ554" s="73">
        <v>45367.583333333336</v>
      </c>
      <c r="CR554" t="s">
        <v>229</v>
      </c>
      <c r="CS554" t="s">
        <v>101</v>
      </c>
      <c r="CU554" t="s">
        <v>225</v>
      </c>
    </row>
    <row r="555" spans="1:99">
      <c r="A555" t="s">
        <v>107</v>
      </c>
      <c r="B555" t="s">
        <v>98</v>
      </c>
      <c r="J555" t="s">
        <v>225</v>
      </c>
      <c r="K555" t="s">
        <v>225</v>
      </c>
      <c r="M555" s="73">
        <v>45367.583333333336</v>
      </c>
      <c r="N555">
        <v>42358887</v>
      </c>
      <c r="O555">
        <v>1290</v>
      </c>
      <c r="P555" t="s">
        <v>104</v>
      </c>
      <c r="Q555">
        <v>1290</v>
      </c>
      <c r="R555" t="s">
        <v>104</v>
      </c>
      <c r="S555">
        <v>64.5</v>
      </c>
      <c r="T555" t="s">
        <v>73</v>
      </c>
      <c r="U555" t="s">
        <v>226</v>
      </c>
      <c r="V555" t="s">
        <v>411</v>
      </c>
      <c r="W555" t="s">
        <v>235</v>
      </c>
      <c r="X555" t="s">
        <v>229</v>
      </c>
      <c r="Y555" t="s">
        <v>107</v>
      </c>
      <c r="AD555" t="s">
        <v>104</v>
      </c>
      <c r="AE555">
        <v>1290</v>
      </c>
      <c r="AF555">
        <v>42358887</v>
      </c>
      <c r="AG555" s="73">
        <v>45367.583333333336</v>
      </c>
      <c r="AH555" t="s">
        <v>226</v>
      </c>
      <c r="AI555" t="s">
        <v>411</v>
      </c>
      <c r="AJ555" t="s">
        <v>235</v>
      </c>
      <c r="AK555" t="s">
        <v>229</v>
      </c>
      <c r="AL555" t="s">
        <v>107</v>
      </c>
      <c r="AP555" t="s">
        <v>230</v>
      </c>
      <c r="AQ555" t="s">
        <v>231</v>
      </c>
      <c r="AT555" t="s">
        <v>232</v>
      </c>
      <c r="AU555">
        <v>-99</v>
      </c>
      <c r="AV555" t="s">
        <v>104</v>
      </c>
      <c r="AW555">
        <v>1290</v>
      </c>
      <c r="AX555">
        <v>42358887</v>
      </c>
      <c r="AY555" s="73">
        <v>45367.583333333336</v>
      </c>
      <c r="AZ555" t="s">
        <v>226</v>
      </c>
      <c r="BA555" t="s">
        <v>411</v>
      </c>
      <c r="BB555" t="s">
        <v>235</v>
      </c>
      <c r="BC555" t="s">
        <v>229</v>
      </c>
      <c r="BD555" t="s">
        <v>107</v>
      </c>
      <c r="BI555" t="s">
        <v>233</v>
      </c>
      <c r="BJ555" t="s">
        <v>0</v>
      </c>
      <c r="BK555">
        <v>42358873</v>
      </c>
      <c r="BN555" t="s">
        <v>104</v>
      </c>
      <c r="BO555">
        <v>42358879</v>
      </c>
      <c r="BR555">
        <v>1290</v>
      </c>
      <c r="BS555">
        <v>42358887</v>
      </c>
      <c r="BT555" s="73">
        <v>45367.583333333336</v>
      </c>
      <c r="BU555" t="s">
        <v>226</v>
      </c>
      <c r="BV555" t="s">
        <v>411</v>
      </c>
      <c r="BW555" t="s">
        <v>235</v>
      </c>
      <c r="CH555" t="s">
        <v>229</v>
      </c>
      <c r="CI555" t="s">
        <v>107</v>
      </c>
      <c r="CJ555" t="s">
        <v>226</v>
      </c>
      <c r="CK555" t="s">
        <v>411</v>
      </c>
      <c r="CL555" t="s">
        <v>235</v>
      </c>
      <c r="CM555" t="s">
        <v>236</v>
      </c>
      <c r="CN555" t="s">
        <v>104</v>
      </c>
      <c r="CO555">
        <v>1290</v>
      </c>
      <c r="CP555">
        <v>42358887</v>
      </c>
      <c r="CQ555" s="73">
        <v>45367.583333333336</v>
      </c>
      <c r="CR555" t="s">
        <v>229</v>
      </c>
      <c r="CS555" t="s">
        <v>107</v>
      </c>
      <c r="CU555" t="s">
        <v>225</v>
      </c>
    </row>
    <row r="556" spans="1:99">
      <c r="A556" t="s">
        <v>111</v>
      </c>
      <c r="B556" t="s">
        <v>77</v>
      </c>
      <c r="J556" t="s">
        <v>225</v>
      </c>
      <c r="K556" t="s">
        <v>225</v>
      </c>
      <c r="M556" s="73">
        <v>45367.583333333336</v>
      </c>
      <c r="N556">
        <v>42358886</v>
      </c>
      <c r="O556">
        <v>4</v>
      </c>
      <c r="P556" t="s">
        <v>45</v>
      </c>
      <c r="Q556">
        <v>4</v>
      </c>
      <c r="R556" t="s">
        <v>45</v>
      </c>
      <c r="U556" t="s">
        <v>226</v>
      </c>
      <c r="V556" t="s">
        <v>411</v>
      </c>
      <c r="W556" t="s">
        <v>237</v>
      </c>
      <c r="X556" t="s">
        <v>229</v>
      </c>
      <c r="Y556" t="s">
        <v>111</v>
      </c>
      <c r="AD556" t="s">
        <v>45</v>
      </c>
      <c r="AE556">
        <v>4</v>
      </c>
      <c r="AF556">
        <v>42358886</v>
      </c>
      <c r="AG556" s="73">
        <v>45367.583333333336</v>
      </c>
      <c r="AH556" t="s">
        <v>226</v>
      </c>
      <c r="AI556" t="s">
        <v>411</v>
      </c>
      <c r="AJ556" t="s">
        <v>237</v>
      </c>
      <c r="AK556" t="s">
        <v>229</v>
      </c>
      <c r="AL556" t="s">
        <v>111</v>
      </c>
      <c r="AP556" t="s">
        <v>230</v>
      </c>
      <c r="AQ556" t="s">
        <v>231</v>
      </c>
      <c r="AT556" t="s">
        <v>232</v>
      </c>
      <c r="AU556">
        <v>-99</v>
      </c>
      <c r="AV556" t="s">
        <v>45</v>
      </c>
      <c r="AW556">
        <v>4</v>
      </c>
      <c r="AX556">
        <v>42358886</v>
      </c>
      <c r="AY556" s="73">
        <v>45367.583333333336</v>
      </c>
      <c r="AZ556" t="s">
        <v>226</v>
      </c>
      <c r="BA556" t="s">
        <v>411</v>
      </c>
      <c r="BB556" t="s">
        <v>237</v>
      </c>
      <c r="BC556" t="s">
        <v>229</v>
      </c>
      <c r="BD556" t="s">
        <v>111</v>
      </c>
      <c r="BI556" t="s">
        <v>233</v>
      </c>
      <c r="BJ556" t="s">
        <v>0</v>
      </c>
      <c r="BK556">
        <v>42358873</v>
      </c>
      <c r="BN556" t="s">
        <v>45</v>
      </c>
      <c r="BO556">
        <v>42358881</v>
      </c>
      <c r="BR556">
        <v>4</v>
      </c>
      <c r="BS556">
        <v>42358886</v>
      </c>
      <c r="BT556" s="73">
        <v>45367.583333333336</v>
      </c>
      <c r="BU556" t="s">
        <v>226</v>
      </c>
      <c r="BV556" t="s">
        <v>411</v>
      </c>
      <c r="BW556" t="s">
        <v>237</v>
      </c>
      <c r="CH556" t="s">
        <v>229</v>
      </c>
      <c r="CI556" t="s">
        <v>111</v>
      </c>
      <c r="CJ556" t="s">
        <v>226</v>
      </c>
      <c r="CK556" t="s">
        <v>411</v>
      </c>
      <c r="CL556" t="s">
        <v>237</v>
      </c>
      <c r="CM556" t="s">
        <v>236</v>
      </c>
      <c r="CN556" t="s">
        <v>45</v>
      </c>
      <c r="CO556">
        <v>4</v>
      </c>
      <c r="CP556">
        <v>42358886</v>
      </c>
      <c r="CQ556" s="73">
        <v>45367.583333333336</v>
      </c>
      <c r="CR556" t="s">
        <v>229</v>
      </c>
      <c r="CS556" t="s">
        <v>111</v>
      </c>
      <c r="CU556" t="s">
        <v>225</v>
      </c>
    </row>
    <row r="557" spans="1:99">
      <c r="A557" t="s">
        <v>46</v>
      </c>
      <c r="B557" t="s">
        <v>92</v>
      </c>
      <c r="J557" t="s">
        <v>225</v>
      </c>
      <c r="K557" t="s">
        <v>225</v>
      </c>
      <c r="M557" s="73">
        <v>45367.583333333336</v>
      </c>
      <c r="N557">
        <v>42358833</v>
      </c>
      <c r="O557">
        <v>-200</v>
      </c>
      <c r="P557" t="s">
        <v>45</v>
      </c>
      <c r="Q557">
        <v>-200</v>
      </c>
      <c r="R557" t="s">
        <v>45</v>
      </c>
      <c r="U557" t="s">
        <v>226</v>
      </c>
      <c r="V557" t="s">
        <v>412</v>
      </c>
      <c r="W557" t="s">
        <v>228</v>
      </c>
      <c r="X557" t="s">
        <v>229</v>
      </c>
      <c r="Y557" t="s">
        <v>46</v>
      </c>
      <c r="AD557" t="s">
        <v>45</v>
      </c>
      <c r="AE557">
        <v>-200</v>
      </c>
      <c r="AF557">
        <v>42358833</v>
      </c>
      <c r="AG557" s="73">
        <v>45367.583333333336</v>
      </c>
      <c r="AH557" t="s">
        <v>226</v>
      </c>
      <c r="AI557" t="s">
        <v>412</v>
      </c>
      <c r="AJ557" t="s">
        <v>228</v>
      </c>
      <c r="AK557" t="s">
        <v>229</v>
      </c>
      <c r="AL557" t="s">
        <v>46</v>
      </c>
      <c r="AP557" t="s">
        <v>230</v>
      </c>
      <c r="AQ557" t="s">
        <v>231</v>
      </c>
      <c r="AT557" t="s">
        <v>232</v>
      </c>
      <c r="AU557">
        <v>-99</v>
      </c>
      <c r="AV557" t="s">
        <v>45</v>
      </c>
      <c r="AW557">
        <v>-200</v>
      </c>
      <c r="AX557">
        <v>42358833</v>
      </c>
      <c r="AY557" s="73">
        <v>45367.583333333336</v>
      </c>
      <c r="AZ557" t="s">
        <v>226</v>
      </c>
      <c r="BA557" t="s">
        <v>412</v>
      </c>
      <c r="BB557" t="s">
        <v>228</v>
      </c>
      <c r="BC557" t="s">
        <v>229</v>
      </c>
      <c r="BD557" t="s">
        <v>46</v>
      </c>
      <c r="BI557" t="s">
        <v>233</v>
      </c>
      <c r="BJ557" t="s">
        <v>0</v>
      </c>
      <c r="BK557">
        <v>42358820</v>
      </c>
      <c r="BN557" t="s">
        <v>45</v>
      </c>
      <c r="BR557">
        <v>-200</v>
      </c>
      <c r="BS557">
        <v>42358833</v>
      </c>
      <c r="BT557" s="73">
        <v>45367.583333333336</v>
      </c>
      <c r="BU557" t="s">
        <v>226</v>
      </c>
      <c r="BV557" t="s">
        <v>412</v>
      </c>
      <c r="BW557" t="s">
        <v>228</v>
      </c>
      <c r="CH557" t="s">
        <v>229</v>
      </c>
      <c r="CI557" t="s">
        <v>46</v>
      </c>
      <c r="CJ557" t="s">
        <v>226</v>
      </c>
      <c r="CK557" t="s">
        <v>412</v>
      </c>
      <c r="CL557" t="s">
        <v>228</v>
      </c>
      <c r="CM557" t="s">
        <v>234</v>
      </c>
      <c r="CN557" t="s">
        <v>45</v>
      </c>
      <c r="CO557">
        <v>-200</v>
      </c>
      <c r="CP557">
        <v>42358833</v>
      </c>
      <c r="CQ557" s="73">
        <v>45367.583333333336</v>
      </c>
      <c r="CR557" t="s">
        <v>229</v>
      </c>
      <c r="CS557" t="s">
        <v>46</v>
      </c>
      <c r="CU557" t="s">
        <v>225</v>
      </c>
    </row>
    <row r="558" spans="1:99">
      <c r="A558" t="s">
        <v>93</v>
      </c>
      <c r="B558" t="s">
        <v>98</v>
      </c>
      <c r="J558" t="s">
        <v>225</v>
      </c>
      <c r="K558" t="s">
        <v>225</v>
      </c>
      <c r="M558" s="73">
        <v>45367.583333333336</v>
      </c>
      <c r="N558">
        <v>42358832</v>
      </c>
      <c r="O558">
        <v>-10</v>
      </c>
      <c r="P558" t="s">
        <v>73</v>
      </c>
      <c r="Q558">
        <v>-10</v>
      </c>
      <c r="R558" t="s">
        <v>73</v>
      </c>
      <c r="U558" t="s">
        <v>226</v>
      </c>
      <c r="V558" t="s">
        <v>412</v>
      </c>
      <c r="W558" t="s">
        <v>228</v>
      </c>
      <c r="X558" t="s">
        <v>229</v>
      </c>
      <c r="Y558" t="s">
        <v>93</v>
      </c>
      <c r="AD558" t="s">
        <v>73</v>
      </c>
      <c r="AE558">
        <v>-10</v>
      </c>
      <c r="AF558">
        <v>42358832</v>
      </c>
      <c r="AG558" s="73">
        <v>45367.583333333336</v>
      </c>
      <c r="AH558" t="s">
        <v>226</v>
      </c>
      <c r="AI558" t="s">
        <v>412</v>
      </c>
      <c r="AJ558" t="s">
        <v>228</v>
      </c>
      <c r="AK558" t="s">
        <v>229</v>
      </c>
      <c r="AL558" t="s">
        <v>93</v>
      </c>
      <c r="AP558" t="s">
        <v>230</v>
      </c>
      <c r="AQ558" t="s">
        <v>231</v>
      </c>
      <c r="AT558" t="s">
        <v>232</v>
      </c>
      <c r="AU558">
        <v>-99</v>
      </c>
      <c r="AV558" t="s">
        <v>73</v>
      </c>
      <c r="AW558">
        <v>-10</v>
      </c>
      <c r="AX558">
        <v>42358832</v>
      </c>
      <c r="AY558" s="73">
        <v>45367.583333333336</v>
      </c>
      <c r="AZ558" t="s">
        <v>226</v>
      </c>
      <c r="BA558" t="s">
        <v>412</v>
      </c>
      <c r="BB558" t="s">
        <v>228</v>
      </c>
      <c r="BC558" t="s">
        <v>229</v>
      </c>
      <c r="BD558" t="s">
        <v>93</v>
      </c>
      <c r="BI558" t="s">
        <v>233</v>
      </c>
      <c r="BJ558" t="s">
        <v>0</v>
      </c>
      <c r="BK558">
        <v>42358820</v>
      </c>
      <c r="BN558" t="s">
        <v>73</v>
      </c>
      <c r="BR558">
        <v>-10</v>
      </c>
      <c r="BS558">
        <v>42358832</v>
      </c>
      <c r="BT558" s="73">
        <v>45367.583333333336</v>
      </c>
      <c r="BU558" t="s">
        <v>226</v>
      </c>
      <c r="BV558" t="s">
        <v>412</v>
      </c>
      <c r="BW558" t="s">
        <v>228</v>
      </c>
      <c r="CH558" t="s">
        <v>229</v>
      </c>
      <c r="CI558" t="s">
        <v>93</v>
      </c>
      <c r="CJ558" t="s">
        <v>226</v>
      </c>
      <c r="CK558" t="s">
        <v>412</v>
      </c>
      <c r="CL558" t="s">
        <v>228</v>
      </c>
      <c r="CM558" t="s">
        <v>234</v>
      </c>
      <c r="CN558" t="s">
        <v>73</v>
      </c>
      <c r="CO558">
        <v>-10</v>
      </c>
      <c r="CP558">
        <v>42358832</v>
      </c>
      <c r="CQ558" s="73">
        <v>45367.583333333336</v>
      </c>
      <c r="CR558" t="s">
        <v>229</v>
      </c>
      <c r="CS558" t="s">
        <v>93</v>
      </c>
      <c r="CU558" t="s">
        <v>225</v>
      </c>
    </row>
    <row r="559" spans="1:99">
      <c r="A559" t="s">
        <v>108</v>
      </c>
      <c r="B559" t="s">
        <v>98</v>
      </c>
      <c r="J559" t="s">
        <v>225</v>
      </c>
      <c r="K559" t="s">
        <v>225</v>
      </c>
      <c r="M559" s="73">
        <v>45367.583333333336</v>
      </c>
      <c r="N559">
        <v>42358831</v>
      </c>
      <c r="O559">
        <v>200</v>
      </c>
      <c r="P559" t="s">
        <v>104</v>
      </c>
      <c r="Q559">
        <v>200</v>
      </c>
      <c r="R559" t="s">
        <v>104</v>
      </c>
      <c r="S559">
        <v>10</v>
      </c>
      <c r="T559" t="s">
        <v>73</v>
      </c>
      <c r="U559" t="s">
        <v>226</v>
      </c>
      <c r="V559" t="s">
        <v>412</v>
      </c>
      <c r="W559" t="s">
        <v>235</v>
      </c>
      <c r="X559" t="s">
        <v>229</v>
      </c>
      <c r="Y559" t="s">
        <v>108</v>
      </c>
      <c r="AD559" t="s">
        <v>104</v>
      </c>
      <c r="AE559">
        <v>200</v>
      </c>
      <c r="AF559">
        <v>42358831</v>
      </c>
      <c r="AG559" s="73">
        <v>45367.583333333336</v>
      </c>
      <c r="AH559" t="s">
        <v>226</v>
      </c>
      <c r="AI559" t="s">
        <v>412</v>
      </c>
      <c r="AJ559" t="s">
        <v>235</v>
      </c>
      <c r="AK559" t="s">
        <v>229</v>
      </c>
      <c r="AL559" t="s">
        <v>108</v>
      </c>
      <c r="AP559" t="s">
        <v>230</v>
      </c>
      <c r="AQ559" t="s">
        <v>231</v>
      </c>
      <c r="AT559" t="s">
        <v>232</v>
      </c>
      <c r="AU559">
        <v>-99</v>
      </c>
      <c r="AV559" t="s">
        <v>104</v>
      </c>
      <c r="AW559">
        <v>200</v>
      </c>
      <c r="AX559">
        <v>42358831</v>
      </c>
      <c r="AY559" s="73">
        <v>45367.583333333336</v>
      </c>
      <c r="AZ559" t="s">
        <v>226</v>
      </c>
      <c r="BA559" t="s">
        <v>412</v>
      </c>
      <c r="BB559" t="s">
        <v>235</v>
      </c>
      <c r="BC559" t="s">
        <v>229</v>
      </c>
      <c r="BD559" t="s">
        <v>108</v>
      </c>
      <c r="BI559" t="s">
        <v>233</v>
      </c>
      <c r="BJ559" t="s">
        <v>0</v>
      </c>
      <c r="BK559">
        <v>42358820</v>
      </c>
      <c r="BN559" t="s">
        <v>104</v>
      </c>
      <c r="BO559">
        <v>42358827</v>
      </c>
      <c r="BR559">
        <v>200</v>
      </c>
      <c r="BS559">
        <v>42358831</v>
      </c>
      <c r="BT559" s="73">
        <v>45367.583333333336</v>
      </c>
      <c r="BU559" t="s">
        <v>226</v>
      </c>
      <c r="BV559" t="s">
        <v>412</v>
      </c>
      <c r="BW559" t="s">
        <v>235</v>
      </c>
      <c r="CH559" t="s">
        <v>229</v>
      </c>
      <c r="CI559" t="s">
        <v>108</v>
      </c>
      <c r="CJ559" t="s">
        <v>226</v>
      </c>
      <c r="CK559" t="s">
        <v>412</v>
      </c>
      <c r="CL559" t="s">
        <v>235</v>
      </c>
      <c r="CM559" t="s">
        <v>236</v>
      </c>
      <c r="CN559" t="s">
        <v>104</v>
      </c>
      <c r="CO559">
        <v>200</v>
      </c>
      <c r="CP559">
        <v>42358831</v>
      </c>
      <c r="CQ559" s="73">
        <v>45367.583333333336</v>
      </c>
      <c r="CR559" t="s">
        <v>229</v>
      </c>
      <c r="CS559" t="s">
        <v>108</v>
      </c>
      <c r="CU559" t="s">
        <v>225</v>
      </c>
    </row>
    <row r="560" spans="1:99">
      <c r="A560" t="s">
        <v>52</v>
      </c>
      <c r="B560" t="s">
        <v>92</v>
      </c>
      <c r="J560" t="s">
        <v>225</v>
      </c>
      <c r="K560" t="s">
        <v>225</v>
      </c>
      <c r="M560" s="73">
        <v>45367.583333333336</v>
      </c>
      <c r="N560">
        <v>42358710</v>
      </c>
      <c r="O560">
        <v>-70</v>
      </c>
      <c r="P560" t="s">
        <v>45</v>
      </c>
      <c r="Q560">
        <v>-70</v>
      </c>
      <c r="R560" t="s">
        <v>45</v>
      </c>
      <c r="U560" t="s">
        <v>226</v>
      </c>
      <c r="V560" t="s">
        <v>413</v>
      </c>
      <c r="W560" t="s">
        <v>228</v>
      </c>
      <c r="X560" t="s">
        <v>229</v>
      </c>
      <c r="Y560" t="s">
        <v>52</v>
      </c>
      <c r="AD560" t="s">
        <v>45</v>
      </c>
      <c r="AE560">
        <v>-70</v>
      </c>
      <c r="AF560">
        <v>42358710</v>
      </c>
      <c r="AG560" s="73">
        <v>45367.583333333336</v>
      </c>
      <c r="AH560" t="s">
        <v>226</v>
      </c>
      <c r="AI560" t="s">
        <v>413</v>
      </c>
      <c r="AJ560" t="s">
        <v>228</v>
      </c>
      <c r="AK560" t="s">
        <v>229</v>
      </c>
      <c r="AL560" t="s">
        <v>52</v>
      </c>
      <c r="AP560" t="s">
        <v>230</v>
      </c>
      <c r="AQ560" t="s">
        <v>231</v>
      </c>
      <c r="AT560" t="s">
        <v>232</v>
      </c>
      <c r="AU560">
        <v>-99</v>
      </c>
      <c r="AV560" t="s">
        <v>45</v>
      </c>
      <c r="AW560">
        <v>-70</v>
      </c>
      <c r="AX560">
        <v>42358710</v>
      </c>
      <c r="AY560" s="73">
        <v>45367.583333333336</v>
      </c>
      <c r="AZ560" t="s">
        <v>226</v>
      </c>
      <c r="BA560" t="s">
        <v>413</v>
      </c>
      <c r="BB560" t="s">
        <v>228</v>
      </c>
      <c r="BC560" t="s">
        <v>229</v>
      </c>
      <c r="BD560" t="s">
        <v>52</v>
      </c>
      <c r="BI560" t="s">
        <v>233</v>
      </c>
      <c r="BJ560" t="s">
        <v>0</v>
      </c>
      <c r="BK560">
        <v>42358691</v>
      </c>
      <c r="BN560" t="s">
        <v>45</v>
      </c>
      <c r="BR560">
        <v>-70</v>
      </c>
      <c r="BS560">
        <v>42358710</v>
      </c>
      <c r="BT560" s="73">
        <v>45367.583333333336</v>
      </c>
      <c r="BU560" t="s">
        <v>226</v>
      </c>
      <c r="BV560" t="s">
        <v>413</v>
      </c>
      <c r="BW560" t="s">
        <v>228</v>
      </c>
      <c r="CH560" t="s">
        <v>229</v>
      </c>
      <c r="CI560" t="s">
        <v>52</v>
      </c>
      <c r="CJ560" t="s">
        <v>226</v>
      </c>
      <c r="CK560" t="s">
        <v>413</v>
      </c>
      <c r="CL560" t="s">
        <v>228</v>
      </c>
      <c r="CM560" t="s">
        <v>234</v>
      </c>
      <c r="CN560" t="s">
        <v>45</v>
      </c>
      <c r="CO560">
        <v>-70</v>
      </c>
      <c r="CP560">
        <v>42358710</v>
      </c>
      <c r="CQ560" s="73">
        <v>45367.583333333336</v>
      </c>
      <c r="CR560" t="s">
        <v>229</v>
      </c>
      <c r="CS560" t="s">
        <v>52</v>
      </c>
      <c r="CU560" t="s">
        <v>225</v>
      </c>
    </row>
    <row r="561" spans="1:99">
      <c r="A561" t="s">
        <v>101</v>
      </c>
      <c r="B561" t="s">
        <v>98</v>
      </c>
      <c r="J561" t="s">
        <v>225</v>
      </c>
      <c r="K561" t="s">
        <v>225</v>
      </c>
      <c r="M561" s="73">
        <v>45367.583333333336</v>
      </c>
      <c r="N561">
        <v>42358709</v>
      </c>
      <c r="O561">
        <v>-3.5</v>
      </c>
      <c r="P561" t="s">
        <v>73</v>
      </c>
      <c r="Q561">
        <v>-3.5</v>
      </c>
      <c r="R561" t="s">
        <v>73</v>
      </c>
      <c r="U561" t="s">
        <v>226</v>
      </c>
      <c r="V561" t="s">
        <v>413</v>
      </c>
      <c r="W561" t="s">
        <v>228</v>
      </c>
      <c r="X561" t="s">
        <v>229</v>
      </c>
      <c r="Y561" t="s">
        <v>101</v>
      </c>
      <c r="AD561" t="s">
        <v>73</v>
      </c>
      <c r="AE561">
        <v>-3.5</v>
      </c>
      <c r="AF561">
        <v>42358709</v>
      </c>
      <c r="AG561" s="73">
        <v>45367.583333333336</v>
      </c>
      <c r="AH561" t="s">
        <v>226</v>
      </c>
      <c r="AI561" t="s">
        <v>413</v>
      </c>
      <c r="AJ561" t="s">
        <v>228</v>
      </c>
      <c r="AK561" t="s">
        <v>229</v>
      </c>
      <c r="AL561" t="s">
        <v>101</v>
      </c>
      <c r="AP561" t="s">
        <v>230</v>
      </c>
      <c r="AQ561" t="s">
        <v>231</v>
      </c>
      <c r="AT561" t="s">
        <v>232</v>
      </c>
      <c r="AU561">
        <v>-99</v>
      </c>
      <c r="AV561" t="s">
        <v>73</v>
      </c>
      <c r="AW561">
        <v>-3.5</v>
      </c>
      <c r="AX561">
        <v>42358709</v>
      </c>
      <c r="AY561" s="73">
        <v>45367.583333333336</v>
      </c>
      <c r="AZ561" t="s">
        <v>226</v>
      </c>
      <c r="BA561" t="s">
        <v>413</v>
      </c>
      <c r="BB561" t="s">
        <v>228</v>
      </c>
      <c r="BC561" t="s">
        <v>229</v>
      </c>
      <c r="BD561" t="s">
        <v>101</v>
      </c>
      <c r="BI561" t="s">
        <v>233</v>
      </c>
      <c r="BJ561" t="s">
        <v>0</v>
      </c>
      <c r="BK561">
        <v>42358691</v>
      </c>
      <c r="BN561" t="s">
        <v>73</v>
      </c>
      <c r="BR561">
        <v>-3.5</v>
      </c>
      <c r="BS561">
        <v>42358709</v>
      </c>
      <c r="BT561" s="73">
        <v>45367.583333333336</v>
      </c>
      <c r="BU561" t="s">
        <v>226</v>
      </c>
      <c r="BV561" t="s">
        <v>413</v>
      </c>
      <c r="BW561" t="s">
        <v>228</v>
      </c>
      <c r="CH561" t="s">
        <v>229</v>
      </c>
      <c r="CI561" t="s">
        <v>101</v>
      </c>
      <c r="CJ561" t="s">
        <v>226</v>
      </c>
      <c r="CK561" t="s">
        <v>413</v>
      </c>
      <c r="CL561" t="s">
        <v>228</v>
      </c>
      <c r="CM561" t="s">
        <v>234</v>
      </c>
      <c r="CN561" t="s">
        <v>73</v>
      </c>
      <c r="CO561">
        <v>-3.5</v>
      </c>
      <c r="CP561">
        <v>42358709</v>
      </c>
      <c r="CQ561" s="73">
        <v>45367.583333333336</v>
      </c>
      <c r="CR561" t="s">
        <v>229</v>
      </c>
      <c r="CS561" t="s">
        <v>101</v>
      </c>
      <c r="CU561" t="s">
        <v>225</v>
      </c>
    </row>
    <row r="562" spans="1:99">
      <c r="A562" t="s">
        <v>107</v>
      </c>
      <c r="B562" t="s">
        <v>98</v>
      </c>
      <c r="J562" t="s">
        <v>225</v>
      </c>
      <c r="K562" t="s">
        <v>225</v>
      </c>
      <c r="M562" s="73">
        <v>45367.583333333336</v>
      </c>
      <c r="N562">
        <v>42358708</v>
      </c>
      <c r="O562">
        <v>70</v>
      </c>
      <c r="P562" t="s">
        <v>104</v>
      </c>
      <c r="Q562">
        <v>70</v>
      </c>
      <c r="R562" t="s">
        <v>104</v>
      </c>
      <c r="S562">
        <v>3.5</v>
      </c>
      <c r="T562" t="s">
        <v>73</v>
      </c>
      <c r="U562" t="s">
        <v>226</v>
      </c>
      <c r="V562" t="s">
        <v>413</v>
      </c>
      <c r="W562" t="s">
        <v>235</v>
      </c>
      <c r="X562" t="s">
        <v>229</v>
      </c>
      <c r="Y562" t="s">
        <v>107</v>
      </c>
      <c r="AD562" t="s">
        <v>104</v>
      </c>
      <c r="AE562">
        <v>70</v>
      </c>
      <c r="AF562">
        <v>42358708</v>
      </c>
      <c r="AG562" s="73">
        <v>45367.583333333336</v>
      </c>
      <c r="AH562" t="s">
        <v>226</v>
      </c>
      <c r="AI562" t="s">
        <v>413</v>
      </c>
      <c r="AJ562" t="s">
        <v>235</v>
      </c>
      <c r="AK562" t="s">
        <v>229</v>
      </c>
      <c r="AL562" t="s">
        <v>107</v>
      </c>
      <c r="AP562" t="s">
        <v>230</v>
      </c>
      <c r="AQ562" t="s">
        <v>231</v>
      </c>
      <c r="AT562" t="s">
        <v>232</v>
      </c>
      <c r="AU562">
        <v>-99</v>
      </c>
      <c r="AV562" t="s">
        <v>104</v>
      </c>
      <c r="AW562">
        <v>70</v>
      </c>
      <c r="AX562">
        <v>42358708</v>
      </c>
      <c r="AY562" s="73">
        <v>45367.583333333336</v>
      </c>
      <c r="AZ562" t="s">
        <v>226</v>
      </c>
      <c r="BA562" t="s">
        <v>413</v>
      </c>
      <c r="BB562" t="s">
        <v>235</v>
      </c>
      <c r="BC562" t="s">
        <v>229</v>
      </c>
      <c r="BD562" t="s">
        <v>107</v>
      </c>
      <c r="BI562" t="s">
        <v>233</v>
      </c>
      <c r="BJ562" t="s">
        <v>0</v>
      </c>
      <c r="BK562">
        <v>42358691</v>
      </c>
      <c r="BN562" t="s">
        <v>104</v>
      </c>
      <c r="BO562">
        <v>42358704</v>
      </c>
      <c r="BR562">
        <v>70</v>
      </c>
      <c r="BS562">
        <v>42358708</v>
      </c>
      <c r="BT562" s="73">
        <v>45367.583333333336</v>
      </c>
      <c r="BU562" t="s">
        <v>226</v>
      </c>
      <c r="BV562" t="s">
        <v>413</v>
      </c>
      <c r="BW562" t="s">
        <v>235</v>
      </c>
      <c r="CH562" t="s">
        <v>229</v>
      </c>
      <c r="CI562" t="s">
        <v>107</v>
      </c>
      <c r="CJ562" t="s">
        <v>226</v>
      </c>
      <c r="CK562" t="s">
        <v>413</v>
      </c>
      <c r="CL562" t="s">
        <v>235</v>
      </c>
      <c r="CM562" t="s">
        <v>236</v>
      </c>
      <c r="CN562" t="s">
        <v>104</v>
      </c>
      <c r="CO562">
        <v>70</v>
      </c>
      <c r="CP562">
        <v>42358708</v>
      </c>
      <c r="CQ562" s="73">
        <v>45367.583333333336</v>
      </c>
      <c r="CR562" t="s">
        <v>229</v>
      </c>
      <c r="CS562" t="s">
        <v>107</v>
      </c>
      <c r="CU562" t="s">
        <v>225</v>
      </c>
    </row>
    <row r="563" spans="1:99">
      <c r="A563" t="s">
        <v>52</v>
      </c>
      <c r="B563" t="s">
        <v>92</v>
      </c>
      <c r="J563" t="s">
        <v>225</v>
      </c>
      <c r="K563" t="s">
        <v>225</v>
      </c>
      <c r="M563" s="73">
        <v>45367.301516203705</v>
      </c>
      <c r="N563">
        <v>42344034</v>
      </c>
      <c r="O563">
        <v>-400</v>
      </c>
      <c r="P563" t="s">
        <v>45</v>
      </c>
      <c r="Q563">
        <v>-400</v>
      </c>
      <c r="R563" t="s">
        <v>45</v>
      </c>
      <c r="U563" t="s">
        <v>226</v>
      </c>
      <c r="V563" t="s">
        <v>414</v>
      </c>
      <c r="W563" t="s">
        <v>228</v>
      </c>
      <c r="X563" t="s">
        <v>229</v>
      </c>
      <c r="Y563" t="s">
        <v>52</v>
      </c>
      <c r="AD563" t="s">
        <v>45</v>
      </c>
      <c r="AE563">
        <v>-400</v>
      </c>
      <c r="AF563">
        <v>42344034</v>
      </c>
      <c r="AG563" s="73">
        <v>45367.301516203705</v>
      </c>
      <c r="AH563" t="s">
        <v>226</v>
      </c>
      <c r="AI563" t="s">
        <v>414</v>
      </c>
      <c r="AJ563" t="s">
        <v>228</v>
      </c>
      <c r="AK563" t="s">
        <v>229</v>
      </c>
      <c r="AL563" t="s">
        <v>52</v>
      </c>
      <c r="AP563" t="s">
        <v>230</v>
      </c>
      <c r="AQ563" t="s">
        <v>231</v>
      </c>
      <c r="AT563" t="s">
        <v>232</v>
      </c>
      <c r="AU563">
        <v>-99</v>
      </c>
      <c r="AV563" t="s">
        <v>45</v>
      </c>
      <c r="AW563">
        <v>-400</v>
      </c>
      <c r="AX563">
        <v>42344034</v>
      </c>
      <c r="AY563" s="73">
        <v>45367.301516203705</v>
      </c>
      <c r="AZ563" t="s">
        <v>226</v>
      </c>
      <c r="BA563" t="s">
        <v>414</v>
      </c>
      <c r="BB563" t="s">
        <v>228</v>
      </c>
      <c r="BC563" t="s">
        <v>229</v>
      </c>
      <c r="BD563" t="s">
        <v>52</v>
      </c>
      <c r="BI563" t="s">
        <v>233</v>
      </c>
      <c r="BJ563" t="s">
        <v>0</v>
      </c>
      <c r="BK563">
        <v>42344022</v>
      </c>
      <c r="BN563" t="s">
        <v>45</v>
      </c>
      <c r="BR563">
        <v>-400</v>
      </c>
      <c r="BS563">
        <v>42344034</v>
      </c>
      <c r="BT563" s="73">
        <v>45367.301516203705</v>
      </c>
      <c r="BU563" t="s">
        <v>226</v>
      </c>
      <c r="BV563" t="s">
        <v>414</v>
      </c>
      <c r="BW563" t="s">
        <v>228</v>
      </c>
      <c r="CH563" t="s">
        <v>229</v>
      </c>
      <c r="CI563" t="s">
        <v>52</v>
      </c>
      <c r="CJ563" t="s">
        <v>226</v>
      </c>
      <c r="CK563" t="s">
        <v>414</v>
      </c>
      <c r="CL563" t="s">
        <v>228</v>
      </c>
      <c r="CM563" t="s">
        <v>234</v>
      </c>
      <c r="CN563" t="s">
        <v>45</v>
      </c>
      <c r="CO563">
        <v>-400</v>
      </c>
      <c r="CP563">
        <v>42344034</v>
      </c>
      <c r="CQ563" s="73">
        <v>45367.301516203705</v>
      </c>
      <c r="CR563" t="s">
        <v>229</v>
      </c>
      <c r="CS563" t="s">
        <v>52</v>
      </c>
      <c r="CU563" t="s">
        <v>225</v>
      </c>
    </row>
    <row r="564" spans="1:99">
      <c r="A564" t="s">
        <v>101</v>
      </c>
      <c r="B564" t="s">
        <v>98</v>
      </c>
      <c r="J564" t="s">
        <v>225</v>
      </c>
      <c r="K564" t="s">
        <v>225</v>
      </c>
      <c r="M564" s="73">
        <v>45367.301516203705</v>
      </c>
      <c r="N564">
        <v>42344033</v>
      </c>
      <c r="O564">
        <v>-20</v>
      </c>
      <c r="P564" t="s">
        <v>73</v>
      </c>
      <c r="Q564">
        <v>-20</v>
      </c>
      <c r="R564" t="s">
        <v>73</v>
      </c>
      <c r="U564" t="s">
        <v>226</v>
      </c>
      <c r="V564" t="s">
        <v>414</v>
      </c>
      <c r="W564" t="s">
        <v>228</v>
      </c>
      <c r="X564" t="s">
        <v>229</v>
      </c>
      <c r="Y564" t="s">
        <v>101</v>
      </c>
      <c r="AD564" t="s">
        <v>73</v>
      </c>
      <c r="AE564">
        <v>-20</v>
      </c>
      <c r="AF564">
        <v>42344033</v>
      </c>
      <c r="AG564" s="73">
        <v>45367.301516203705</v>
      </c>
      <c r="AH564" t="s">
        <v>226</v>
      </c>
      <c r="AI564" t="s">
        <v>414</v>
      </c>
      <c r="AJ564" t="s">
        <v>228</v>
      </c>
      <c r="AK564" t="s">
        <v>229</v>
      </c>
      <c r="AL564" t="s">
        <v>101</v>
      </c>
      <c r="AP564" t="s">
        <v>230</v>
      </c>
      <c r="AQ564" t="s">
        <v>231</v>
      </c>
      <c r="AT564" t="s">
        <v>232</v>
      </c>
      <c r="AU564">
        <v>-99</v>
      </c>
      <c r="AV564" t="s">
        <v>73</v>
      </c>
      <c r="AW564">
        <v>-20</v>
      </c>
      <c r="AX564">
        <v>42344033</v>
      </c>
      <c r="AY564" s="73">
        <v>45367.301516203705</v>
      </c>
      <c r="AZ564" t="s">
        <v>226</v>
      </c>
      <c r="BA564" t="s">
        <v>414</v>
      </c>
      <c r="BB564" t="s">
        <v>228</v>
      </c>
      <c r="BC564" t="s">
        <v>229</v>
      </c>
      <c r="BD564" t="s">
        <v>101</v>
      </c>
      <c r="BI564" t="s">
        <v>233</v>
      </c>
      <c r="BJ564" t="s">
        <v>0</v>
      </c>
      <c r="BK564">
        <v>42344022</v>
      </c>
      <c r="BN564" t="s">
        <v>73</v>
      </c>
      <c r="BR564">
        <v>-20</v>
      </c>
      <c r="BS564">
        <v>42344033</v>
      </c>
      <c r="BT564" s="73">
        <v>45367.301516203705</v>
      </c>
      <c r="BU564" t="s">
        <v>226</v>
      </c>
      <c r="BV564" t="s">
        <v>414</v>
      </c>
      <c r="BW564" t="s">
        <v>228</v>
      </c>
      <c r="CH564" t="s">
        <v>229</v>
      </c>
      <c r="CI564" t="s">
        <v>101</v>
      </c>
      <c r="CJ564" t="s">
        <v>226</v>
      </c>
      <c r="CK564" t="s">
        <v>414</v>
      </c>
      <c r="CL564" t="s">
        <v>228</v>
      </c>
      <c r="CM564" t="s">
        <v>234</v>
      </c>
      <c r="CN564" t="s">
        <v>73</v>
      </c>
      <c r="CO564">
        <v>-20</v>
      </c>
      <c r="CP564">
        <v>42344033</v>
      </c>
      <c r="CQ564" s="73">
        <v>45367.301516203705</v>
      </c>
      <c r="CR564" t="s">
        <v>229</v>
      </c>
      <c r="CS564" t="s">
        <v>101</v>
      </c>
      <c r="CU564" t="s">
        <v>225</v>
      </c>
    </row>
    <row r="565" spans="1:99">
      <c r="A565" t="s">
        <v>107</v>
      </c>
      <c r="B565" t="s">
        <v>98</v>
      </c>
      <c r="J565" t="s">
        <v>225</v>
      </c>
      <c r="K565" t="s">
        <v>225</v>
      </c>
      <c r="M565" s="73">
        <v>45367.301516203705</v>
      </c>
      <c r="N565">
        <v>42344032</v>
      </c>
      <c r="O565">
        <v>400</v>
      </c>
      <c r="P565" t="s">
        <v>104</v>
      </c>
      <c r="Q565">
        <v>400</v>
      </c>
      <c r="R565" t="s">
        <v>104</v>
      </c>
      <c r="S565">
        <v>20</v>
      </c>
      <c r="T565" t="s">
        <v>73</v>
      </c>
      <c r="U565" t="s">
        <v>226</v>
      </c>
      <c r="V565" t="s">
        <v>414</v>
      </c>
      <c r="W565" t="s">
        <v>235</v>
      </c>
      <c r="X565" t="s">
        <v>229</v>
      </c>
      <c r="Y565" t="s">
        <v>107</v>
      </c>
      <c r="AD565" t="s">
        <v>104</v>
      </c>
      <c r="AE565">
        <v>400</v>
      </c>
      <c r="AF565">
        <v>42344032</v>
      </c>
      <c r="AG565" s="73">
        <v>45367.301516203705</v>
      </c>
      <c r="AH565" t="s">
        <v>226</v>
      </c>
      <c r="AI565" t="s">
        <v>414</v>
      </c>
      <c r="AJ565" t="s">
        <v>235</v>
      </c>
      <c r="AK565" t="s">
        <v>229</v>
      </c>
      <c r="AL565" t="s">
        <v>107</v>
      </c>
      <c r="AP565" t="s">
        <v>230</v>
      </c>
      <c r="AQ565" t="s">
        <v>231</v>
      </c>
      <c r="AT565" t="s">
        <v>232</v>
      </c>
      <c r="AU565">
        <v>-99</v>
      </c>
      <c r="AV565" t="s">
        <v>104</v>
      </c>
      <c r="AW565">
        <v>400</v>
      </c>
      <c r="AX565">
        <v>42344032</v>
      </c>
      <c r="AY565" s="73">
        <v>45367.301516203705</v>
      </c>
      <c r="AZ565" t="s">
        <v>226</v>
      </c>
      <c r="BA565" t="s">
        <v>414</v>
      </c>
      <c r="BB565" t="s">
        <v>235</v>
      </c>
      <c r="BC565" t="s">
        <v>229</v>
      </c>
      <c r="BD565" t="s">
        <v>107</v>
      </c>
      <c r="BI565" t="s">
        <v>233</v>
      </c>
      <c r="BJ565" t="s">
        <v>0</v>
      </c>
      <c r="BK565">
        <v>42344022</v>
      </c>
      <c r="BN565" t="s">
        <v>104</v>
      </c>
      <c r="BO565">
        <v>42344028</v>
      </c>
      <c r="BR565">
        <v>400</v>
      </c>
      <c r="BS565">
        <v>42344032</v>
      </c>
      <c r="BT565" s="73">
        <v>45367.301516203705</v>
      </c>
      <c r="BU565" t="s">
        <v>226</v>
      </c>
      <c r="BV565" t="s">
        <v>414</v>
      </c>
      <c r="BW565" t="s">
        <v>235</v>
      </c>
      <c r="CH565" t="s">
        <v>229</v>
      </c>
      <c r="CI565" t="s">
        <v>107</v>
      </c>
      <c r="CJ565" t="s">
        <v>226</v>
      </c>
      <c r="CK565" t="s">
        <v>414</v>
      </c>
      <c r="CL565" t="s">
        <v>235</v>
      </c>
      <c r="CM565" t="s">
        <v>236</v>
      </c>
      <c r="CN565" t="s">
        <v>104</v>
      </c>
      <c r="CO565">
        <v>400</v>
      </c>
      <c r="CP565">
        <v>42344032</v>
      </c>
      <c r="CQ565" s="73">
        <v>45367.301516203705</v>
      </c>
      <c r="CR565" t="s">
        <v>229</v>
      </c>
      <c r="CS565" t="s">
        <v>107</v>
      </c>
      <c r="CU565" t="s">
        <v>225</v>
      </c>
    </row>
    <row r="566" spans="1:99">
      <c r="A566" t="s">
        <v>42</v>
      </c>
      <c r="B566" t="s">
        <v>92</v>
      </c>
      <c r="J566" t="s">
        <v>225</v>
      </c>
      <c r="K566" t="s">
        <v>225</v>
      </c>
      <c r="M566" s="73">
        <v>45367.299791666665</v>
      </c>
      <c r="N566">
        <v>42343999</v>
      </c>
      <c r="O566">
        <v>-793</v>
      </c>
      <c r="P566" t="s">
        <v>45</v>
      </c>
      <c r="Q566">
        <v>-793</v>
      </c>
      <c r="R566" t="s">
        <v>45</v>
      </c>
      <c r="U566" t="s">
        <v>226</v>
      </c>
      <c r="V566" t="s">
        <v>415</v>
      </c>
      <c r="W566" t="s">
        <v>228</v>
      </c>
      <c r="X566" t="s">
        <v>229</v>
      </c>
      <c r="Y566" t="s">
        <v>42</v>
      </c>
      <c r="AD566" t="s">
        <v>45</v>
      </c>
      <c r="AE566">
        <v>-793</v>
      </c>
      <c r="AF566">
        <v>42343999</v>
      </c>
      <c r="AG566" s="73">
        <v>45367.299791666665</v>
      </c>
      <c r="AH566" t="s">
        <v>226</v>
      </c>
      <c r="AI566" t="s">
        <v>415</v>
      </c>
      <c r="AJ566" t="s">
        <v>228</v>
      </c>
      <c r="AK566" t="s">
        <v>229</v>
      </c>
      <c r="AL566" t="s">
        <v>42</v>
      </c>
      <c r="AP566" t="s">
        <v>230</v>
      </c>
      <c r="AQ566" t="s">
        <v>231</v>
      </c>
      <c r="AT566" t="s">
        <v>232</v>
      </c>
      <c r="AU566">
        <v>-99</v>
      </c>
      <c r="AV566" t="s">
        <v>45</v>
      </c>
      <c r="AW566">
        <v>-793</v>
      </c>
      <c r="AX566">
        <v>42343999</v>
      </c>
      <c r="AY566" s="73">
        <v>45367.299791666665</v>
      </c>
      <c r="AZ566" t="s">
        <v>226</v>
      </c>
      <c r="BA566" t="s">
        <v>415</v>
      </c>
      <c r="BB566" t="s">
        <v>228</v>
      </c>
      <c r="BC566" t="s">
        <v>229</v>
      </c>
      <c r="BD566" t="s">
        <v>42</v>
      </c>
      <c r="BI566" t="s">
        <v>233</v>
      </c>
      <c r="BJ566" t="s">
        <v>0</v>
      </c>
      <c r="BK566">
        <v>42343987</v>
      </c>
      <c r="BN566" t="s">
        <v>45</v>
      </c>
      <c r="BR566">
        <v>-793</v>
      </c>
      <c r="BS566">
        <v>42343999</v>
      </c>
      <c r="BT566" s="73">
        <v>45367.299791666665</v>
      </c>
      <c r="BU566" t="s">
        <v>226</v>
      </c>
      <c r="BV566" t="s">
        <v>415</v>
      </c>
      <c r="BW566" t="s">
        <v>228</v>
      </c>
      <c r="CH566" t="s">
        <v>229</v>
      </c>
      <c r="CI566" t="s">
        <v>42</v>
      </c>
      <c r="CJ566" t="s">
        <v>226</v>
      </c>
      <c r="CK566" t="s">
        <v>415</v>
      </c>
      <c r="CL566" t="s">
        <v>228</v>
      </c>
      <c r="CM566" t="s">
        <v>234</v>
      </c>
      <c r="CN566" t="s">
        <v>45</v>
      </c>
      <c r="CO566">
        <v>-793</v>
      </c>
      <c r="CP566">
        <v>42343999</v>
      </c>
      <c r="CQ566" s="73">
        <v>45367.299791666665</v>
      </c>
      <c r="CR566" t="s">
        <v>229</v>
      </c>
      <c r="CS566" t="s">
        <v>42</v>
      </c>
      <c r="CU566" t="s">
        <v>225</v>
      </c>
    </row>
    <row r="567" spans="1:99">
      <c r="A567" t="s">
        <v>99</v>
      </c>
      <c r="B567" t="s">
        <v>98</v>
      </c>
      <c r="J567" t="s">
        <v>225</v>
      </c>
      <c r="K567" t="s">
        <v>225</v>
      </c>
      <c r="M567" s="73">
        <v>45367.299791666665</v>
      </c>
      <c r="N567">
        <v>42343998</v>
      </c>
      <c r="O567">
        <v>-39.65</v>
      </c>
      <c r="P567" t="s">
        <v>73</v>
      </c>
      <c r="Q567">
        <v>-39.65</v>
      </c>
      <c r="R567" t="s">
        <v>73</v>
      </c>
      <c r="U567" t="s">
        <v>226</v>
      </c>
      <c r="V567" t="s">
        <v>415</v>
      </c>
      <c r="W567" t="s">
        <v>228</v>
      </c>
      <c r="X567" t="s">
        <v>229</v>
      </c>
      <c r="Y567" t="s">
        <v>99</v>
      </c>
      <c r="AD567" t="s">
        <v>73</v>
      </c>
      <c r="AE567">
        <v>-39.65</v>
      </c>
      <c r="AF567">
        <v>42343998</v>
      </c>
      <c r="AG567" s="73">
        <v>45367.299791666665</v>
      </c>
      <c r="AH567" t="s">
        <v>226</v>
      </c>
      <c r="AI567" t="s">
        <v>415</v>
      </c>
      <c r="AJ567" t="s">
        <v>228</v>
      </c>
      <c r="AK567" t="s">
        <v>229</v>
      </c>
      <c r="AL567" t="s">
        <v>99</v>
      </c>
      <c r="AP567" t="s">
        <v>230</v>
      </c>
      <c r="AQ567" t="s">
        <v>231</v>
      </c>
      <c r="AT567" t="s">
        <v>232</v>
      </c>
      <c r="AU567">
        <v>-99</v>
      </c>
      <c r="AV567" t="s">
        <v>73</v>
      </c>
      <c r="AW567">
        <v>-39.65</v>
      </c>
      <c r="AX567">
        <v>42343998</v>
      </c>
      <c r="AY567" s="73">
        <v>45367.299791666665</v>
      </c>
      <c r="AZ567" t="s">
        <v>226</v>
      </c>
      <c r="BA567" t="s">
        <v>415</v>
      </c>
      <c r="BB567" t="s">
        <v>228</v>
      </c>
      <c r="BC567" t="s">
        <v>229</v>
      </c>
      <c r="BD567" t="s">
        <v>99</v>
      </c>
      <c r="BI567" t="s">
        <v>233</v>
      </c>
      <c r="BJ567" t="s">
        <v>0</v>
      </c>
      <c r="BK567">
        <v>42343987</v>
      </c>
      <c r="BN567" t="s">
        <v>73</v>
      </c>
      <c r="BR567">
        <v>-39.65</v>
      </c>
      <c r="BS567">
        <v>42343998</v>
      </c>
      <c r="BT567" s="73">
        <v>45367.299791666665</v>
      </c>
      <c r="BU567" t="s">
        <v>226</v>
      </c>
      <c r="BV567" t="s">
        <v>415</v>
      </c>
      <c r="BW567" t="s">
        <v>228</v>
      </c>
      <c r="CH567" t="s">
        <v>229</v>
      </c>
      <c r="CI567" t="s">
        <v>99</v>
      </c>
      <c r="CJ567" t="s">
        <v>226</v>
      </c>
      <c r="CK567" t="s">
        <v>415</v>
      </c>
      <c r="CL567" t="s">
        <v>228</v>
      </c>
      <c r="CM567" t="s">
        <v>234</v>
      </c>
      <c r="CN567" t="s">
        <v>73</v>
      </c>
      <c r="CO567">
        <v>-39.65</v>
      </c>
      <c r="CP567">
        <v>42343998</v>
      </c>
      <c r="CQ567" s="73">
        <v>45367.299791666665</v>
      </c>
      <c r="CR567" t="s">
        <v>229</v>
      </c>
      <c r="CS567" t="s">
        <v>99</v>
      </c>
      <c r="CU567" t="s">
        <v>225</v>
      </c>
    </row>
    <row r="568" spans="1:99">
      <c r="A568" t="s">
        <v>103</v>
      </c>
      <c r="B568" t="s">
        <v>98</v>
      </c>
      <c r="J568" t="s">
        <v>225</v>
      </c>
      <c r="K568" t="s">
        <v>225</v>
      </c>
      <c r="M568" s="73">
        <v>45367.299791666665</v>
      </c>
      <c r="N568">
        <v>42343997</v>
      </c>
      <c r="O568">
        <v>793</v>
      </c>
      <c r="P568" t="s">
        <v>104</v>
      </c>
      <c r="Q568">
        <v>793</v>
      </c>
      <c r="R568" t="s">
        <v>104</v>
      </c>
      <c r="S568">
        <v>39.65</v>
      </c>
      <c r="T568" t="s">
        <v>73</v>
      </c>
      <c r="U568" t="s">
        <v>226</v>
      </c>
      <c r="V568" t="s">
        <v>415</v>
      </c>
      <c r="W568" t="s">
        <v>235</v>
      </c>
      <c r="X568" t="s">
        <v>229</v>
      </c>
      <c r="Y568" t="s">
        <v>103</v>
      </c>
      <c r="AD568" t="s">
        <v>104</v>
      </c>
      <c r="AE568">
        <v>793</v>
      </c>
      <c r="AF568">
        <v>42343997</v>
      </c>
      <c r="AG568" s="73">
        <v>45367.299791666665</v>
      </c>
      <c r="AH568" t="s">
        <v>226</v>
      </c>
      <c r="AI568" t="s">
        <v>415</v>
      </c>
      <c r="AJ568" t="s">
        <v>235</v>
      </c>
      <c r="AK568" t="s">
        <v>229</v>
      </c>
      <c r="AL568" t="s">
        <v>103</v>
      </c>
      <c r="AP568" t="s">
        <v>230</v>
      </c>
      <c r="AQ568" t="s">
        <v>231</v>
      </c>
      <c r="AT568" t="s">
        <v>232</v>
      </c>
      <c r="AU568">
        <v>-99</v>
      </c>
      <c r="AV568" t="s">
        <v>104</v>
      </c>
      <c r="AW568">
        <v>793</v>
      </c>
      <c r="AX568">
        <v>42343997</v>
      </c>
      <c r="AY568" s="73">
        <v>45367.299791666665</v>
      </c>
      <c r="AZ568" t="s">
        <v>226</v>
      </c>
      <c r="BA568" t="s">
        <v>415</v>
      </c>
      <c r="BB568" t="s">
        <v>235</v>
      </c>
      <c r="BC568" t="s">
        <v>229</v>
      </c>
      <c r="BD568" t="s">
        <v>103</v>
      </c>
      <c r="BI568" t="s">
        <v>233</v>
      </c>
      <c r="BJ568" t="s">
        <v>0</v>
      </c>
      <c r="BK568">
        <v>42343987</v>
      </c>
      <c r="BN568" t="s">
        <v>104</v>
      </c>
      <c r="BO568">
        <v>42343993</v>
      </c>
      <c r="BR568">
        <v>793</v>
      </c>
      <c r="BS568">
        <v>42343997</v>
      </c>
      <c r="BT568" s="73">
        <v>45367.299791666665</v>
      </c>
      <c r="BU568" t="s">
        <v>226</v>
      </c>
      <c r="BV568" t="s">
        <v>415</v>
      </c>
      <c r="BW568" t="s">
        <v>235</v>
      </c>
      <c r="CH568" t="s">
        <v>229</v>
      </c>
      <c r="CI568" t="s">
        <v>103</v>
      </c>
      <c r="CJ568" t="s">
        <v>226</v>
      </c>
      <c r="CK568" t="s">
        <v>415</v>
      </c>
      <c r="CL568" t="s">
        <v>235</v>
      </c>
      <c r="CM568" t="s">
        <v>236</v>
      </c>
      <c r="CN568" t="s">
        <v>104</v>
      </c>
      <c r="CO568">
        <v>793</v>
      </c>
      <c r="CP568">
        <v>42343997</v>
      </c>
      <c r="CQ568" s="73">
        <v>45367.299791666665</v>
      </c>
      <c r="CR568" t="s">
        <v>229</v>
      </c>
      <c r="CS568" t="s">
        <v>103</v>
      </c>
      <c r="CU568" t="s">
        <v>225</v>
      </c>
    </row>
    <row r="569" spans="1:99">
      <c r="A569" t="s">
        <v>52</v>
      </c>
      <c r="B569" t="s">
        <v>92</v>
      </c>
      <c r="J569" t="s">
        <v>225</v>
      </c>
      <c r="K569" t="s">
        <v>225</v>
      </c>
      <c r="M569" s="73">
        <v>45367.298379629632</v>
      </c>
      <c r="N569">
        <v>42343985</v>
      </c>
      <c r="O569">
        <v>-1800</v>
      </c>
      <c r="P569" t="s">
        <v>45</v>
      </c>
      <c r="Q569">
        <v>-1800</v>
      </c>
      <c r="R569" t="s">
        <v>45</v>
      </c>
      <c r="U569" t="s">
        <v>226</v>
      </c>
      <c r="V569" t="s">
        <v>416</v>
      </c>
      <c r="W569" t="s">
        <v>228</v>
      </c>
      <c r="X569" t="s">
        <v>229</v>
      </c>
      <c r="Y569" t="s">
        <v>52</v>
      </c>
      <c r="AD569" t="s">
        <v>45</v>
      </c>
      <c r="AE569">
        <v>-1800</v>
      </c>
      <c r="AF569">
        <v>42343985</v>
      </c>
      <c r="AG569" s="73">
        <v>45367.298379629632</v>
      </c>
      <c r="AH569" t="s">
        <v>226</v>
      </c>
      <c r="AI569" t="s">
        <v>416</v>
      </c>
      <c r="AJ569" t="s">
        <v>228</v>
      </c>
      <c r="AK569" t="s">
        <v>229</v>
      </c>
      <c r="AL569" t="s">
        <v>52</v>
      </c>
      <c r="AP569" t="s">
        <v>230</v>
      </c>
      <c r="AQ569" t="s">
        <v>231</v>
      </c>
      <c r="AT569" t="s">
        <v>232</v>
      </c>
      <c r="AU569">
        <v>-99</v>
      </c>
      <c r="AV569" t="s">
        <v>45</v>
      </c>
      <c r="AW569">
        <v>-1800</v>
      </c>
      <c r="AX569">
        <v>42343985</v>
      </c>
      <c r="AY569" s="73">
        <v>45367.298379629632</v>
      </c>
      <c r="AZ569" t="s">
        <v>226</v>
      </c>
      <c r="BA569" t="s">
        <v>416</v>
      </c>
      <c r="BB569" t="s">
        <v>228</v>
      </c>
      <c r="BC569" t="s">
        <v>229</v>
      </c>
      <c r="BD569" t="s">
        <v>52</v>
      </c>
      <c r="BI569" t="s">
        <v>233</v>
      </c>
      <c r="BJ569" t="s">
        <v>0</v>
      </c>
      <c r="BK569">
        <v>42343972</v>
      </c>
      <c r="BN569" t="s">
        <v>45</v>
      </c>
      <c r="BR569">
        <v>-1800</v>
      </c>
      <c r="BS569">
        <v>42343985</v>
      </c>
      <c r="BT569" s="73">
        <v>45367.298379629632</v>
      </c>
      <c r="BU569" t="s">
        <v>226</v>
      </c>
      <c r="BV569" t="s">
        <v>416</v>
      </c>
      <c r="BW569" t="s">
        <v>228</v>
      </c>
      <c r="CH569" t="s">
        <v>229</v>
      </c>
      <c r="CI569" t="s">
        <v>52</v>
      </c>
      <c r="CJ569" t="s">
        <v>226</v>
      </c>
      <c r="CK569" t="s">
        <v>416</v>
      </c>
      <c r="CL569" t="s">
        <v>228</v>
      </c>
      <c r="CM569" t="s">
        <v>234</v>
      </c>
      <c r="CN569" t="s">
        <v>45</v>
      </c>
      <c r="CO569">
        <v>-1800</v>
      </c>
      <c r="CP569">
        <v>42343985</v>
      </c>
      <c r="CQ569" s="73">
        <v>45367.298379629632</v>
      </c>
      <c r="CR569" t="s">
        <v>229</v>
      </c>
      <c r="CS569" t="s">
        <v>52</v>
      </c>
      <c r="CU569" t="s">
        <v>225</v>
      </c>
    </row>
    <row r="570" spans="1:99">
      <c r="A570" t="s">
        <v>101</v>
      </c>
      <c r="B570" t="s">
        <v>98</v>
      </c>
      <c r="J570" t="s">
        <v>225</v>
      </c>
      <c r="K570" t="s">
        <v>225</v>
      </c>
      <c r="M570" s="73">
        <v>45367.298379629632</v>
      </c>
      <c r="N570">
        <v>42343984</v>
      </c>
      <c r="O570">
        <v>-90</v>
      </c>
      <c r="P570" t="s">
        <v>73</v>
      </c>
      <c r="Q570">
        <v>-90</v>
      </c>
      <c r="R570" t="s">
        <v>73</v>
      </c>
      <c r="U570" t="s">
        <v>226</v>
      </c>
      <c r="V570" t="s">
        <v>416</v>
      </c>
      <c r="W570" t="s">
        <v>228</v>
      </c>
      <c r="X570" t="s">
        <v>229</v>
      </c>
      <c r="Y570" t="s">
        <v>101</v>
      </c>
      <c r="AD570" t="s">
        <v>73</v>
      </c>
      <c r="AE570">
        <v>-90</v>
      </c>
      <c r="AF570">
        <v>42343984</v>
      </c>
      <c r="AG570" s="73">
        <v>45367.298379629632</v>
      </c>
      <c r="AH570" t="s">
        <v>226</v>
      </c>
      <c r="AI570" t="s">
        <v>416</v>
      </c>
      <c r="AJ570" t="s">
        <v>228</v>
      </c>
      <c r="AK570" t="s">
        <v>229</v>
      </c>
      <c r="AL570" t="s">
        <v>101</v>
      </c>
      <c r="AP570" t="s">
        <v>230</v>
      </c>
      <c r="AQ570" t="s">
        <v>231</v>
      </c>
      <c r="AT570" t="s">
        <v>232</v>
      </c>
      <c r="AU570">
        <v>-99</v>
      </c>
      <c r="AV570" t="s">
        <v>73</v>
      </c>
      <c r="AW570">
        <v>-90</v>
      </c>
      <c r="AX570">
        <v>42343984</v>
      </c>
      <c r="AY570" s="73">
        <v>45367.298379629632</v>
      </c>
      <c r="AZ570" t="s">
        <v>226</v>
      </c>
      <c r="BA570" t="s">
        <v>416</v>
      </c>
      <c r="BB570" t="s">
        <v>228</v>
      </c>
      <c r="BC570" t="s">
        <v>229</v>
      </c>
      <c r="BD570" t="s">
        <v>101</v>
      </c>
      <c r="BI570" t="s">
        <v>233</v>
      </c>
      <c r="BJ570" t="s">
        <v>0</v>
      </c>
      <c r="BK570">
        <v>42343972</v>
      </c>
      <c r="BN570" t="s">
        <v>73</v>
      </c>
      <c r="BR570">
        <v>-90</v>
      </c>
      <c r="BS570">
        <v>42343984</v>
      </c>
      <c r="BT570" s="73">
        <v>45367.298379629632</v>
      </c>
      <c r="BU570" t="s">
        <v>226</v>
      </c>
      <c r="BV570" t="s">
        <v>416</v>
      </c>
      <c r="BW570" t="s">
        <v>228</v>
      </c>
      <c r="CH570" t="s">
        <v>229</v>
      </c>
      <c r="CI570" t="s">
        <v>101</v>
      </c>
      <c r="CJ570" t="s">
        <v>226</v>
      </c>
      <c r="CK570" t="s">
        <v>416</v>
      </c>
      <c r="CL570" t="s">
        <v>228</v>
      </c>
      <c r="CM570" t="s">
        <v>234</v>
      </c>
      <c r="CN570" t="s">
        <v>73</v>
      </c>
      <c r="CO570">
        <v>-90</v>
      </c>
      <c r="CP570">
        <v>42343984</v>
      </c>
      <c r="CQ570" s="73">
        <v>45367.298379629632</v>
      </c>
      <c r="CR570" t="s">
        <v>229</v>
      </c>
      <c r="CS570" t="s">
        <v>101</v>
      </c>
      <c r="CU570" t="s">
        <v>225</v>
      </c>
    </row>
    <row r="571" spans="1:99">
      <c r="A571" t="s">
        <v>107</v>
      </c>
      <c r="B571" t="s">
        <v>98</v>
      </c>
      <c r="J571" t="s">
        <v>225</v>
      </c>
      <c r="K571" t="s">
        <v>225</v>
      </c>
      <c r="M571" s="73">
        <v>45367.298379629632</v>
      </c>
      <c r="N571">
        <v>42343983</v>
      </c>
      <c r="O571">
        <v>1800</v>
      </c>
      <c r="P571" t="s">
        <v>104</v>
      </c>
      <c r="Q571">
        <v>1800</v>
      </c>
      <c r="R571" t="s">
        <v>104</v>
      </c>
      <c r="S571">
        <v>90</v>
      </c>
      <c r="T571" t="s">
        <v>73</v>
      </c>
      <c r="U571" t="s">
        <v>226</v>
      </c>
      <c r="V571" t="s">
        <v>416</v>
      </c>
      <c r="W571" t="s">
        <v>235</v>
      </c>
      <c r="X571" t="s">
        <v>229</v>
      </c>
      <c r="Y571" t="s">
        <v>107</v>
      </c>
      <c r="AD571" t="s">
        <v>104</v>
      </c>
      <c r="AE571">
        <v>1800</v>
      </c>
      <c r="AF571">
        <v>42343983</v>
      </c>
      <c r="AG571" s="73">
        <v>45367.298379629632</v>
      </c>
      <c r="AH571" t="s">
        <v>226</v>
      </c>
      <c r="AI571" t="s">
        <v>416</v>
      </c>
      <c r="AJ571" t="s">
        <v>235</v>
      </c>
      <c r="AK571" t="s">
        <v>229</v>
      </c>
      <c r="AL571" t="s">
        <v>107</v>
      </c>
      <c r="AP571" t="s">
        <v>230</v>
      </c>
      <c r="AQ571" t="s">
        <v>231</v>
      </c>
      <c r="AT571" t="s">
        <v>232</v>
      </c>
      <c r="AU571">
        <v>-99</v>
      </c>
      <c r="AV571" t="s">
        <v>104</v>
      </c>
      <c r="AW571">
        <v>1800</v>
      </c>
      <c r="AX571">
        <v>42343983</v>
      </c>
      <c r="AY571" s="73">
        <v>45367.298379629632</v>
      </c>
      <c r="AZ571" t="s">
        <v>226</v>
      </c>
      <c r="BA571" t="s">
        <v>416</v>
      </c>
      <c r="BB571" t="s">
        <v>235</v>
      </c>
      <c r="BC571" t="s">
        <v>229</v>
      </c>
      <c r="BD571" t="s">
        <v>107</v>
      </c>
      <c r="BI571" t="s">
        <v>233</v>
      </c>
      <c r="BJ571" t="s">
        <v>0</v>
      </c>
      <c r="BK571">
        <v>42343972</v>
      </c>
      <c r="BN571" t="s">
        <v>104</v>
      </c>
      <c r="BO571">
        <v>42343979</v>
      </c>
      <c r="BR571">
        <v>1800</v>
      </c>
      <c r="BS571">
        <v>42343983</v>
      </c>
      <c r="BT571" s="73">
        <v>45367.298379629632</v>
      </c>
      <c r="BU571" t="s">
        <v>226</v>
      </c>
      <c r="BV571" t="s">
        <v>416</v>
      </c>
      <c r="BW571" t="s">
        <v>235</v>
      </c>
      <c r="CH571" t="s">
        <v>229</v>
      </c>
      <c r="CI571" t="s">
        <v>107</v>
      </c>
      <c r="CJ571" t="s">
        <v>226</v>
      </c>
      <c r="CK571" t="s">
        <v>416</v>
      </c>
      <c r="CL571" t="s">
        <v>235</v>
      </c>
      <c r="CM571" t="s">
        <v>236</v>
      </c>
      <c r="CN571" t="s">
        <v>104</v>
      </c>
      <c r="CO571">
        <v>1800</v>
      </c>
      <c r="CP571">
        <v>42343983</v>
      </c>
      <c r="CQ571" s="73">
        <v>45367.298379629632</v>
      </c>
      <c r="CR571" t="s">
        <v>229</v>
      </c>
      <c r="CS571" t="s">
        <v>107</v>
      </c>
      <c r="CU571" t="s">
        <v>225</v>
      </c>
    </row>
    <row r="572" spans="1:99">
      <c r="A572" t="s">
        <v>42</v>
      </c>
      <c r="B572" t="s">
        <v>92</v>
      </c>
      <c r="J572" t="s">
        <v>225</v>
      </c>
      <c r="K572" t="s">
        <v>225</v>
      </c>
      <c r="M572" s="73">
        <v>45367.296944444446</v>
      </c>
      <c r="N572">
        <v>42343965</v>
      </c>
      <c r="O572">
        <v>-5802</v>
      </c>
      <c r="P572" t="s">
        <v>45</v>
      </c>
      <c r="Q572">
        <v>-5802</v>
      </c>
      <c r="R572" t="s">
        <v>45</v>
      </c>
      <c r="U572" t="s">
        <v>226</v>
      </c>
      <c r="V572" t="s">
        <v>417</v>
      </c>
      <c r="W572" t="s">
        <v>228</v>
      </c>
      <c r="X572" t="s">
        <v>229</v>
      </c>
      <c r="Y572" t="s">
        <v>42</v>
      </c>
      <c r="AD572" t="s">
        <v>45</v>
      </c>
      <c r="AE572">
        <v>-5802</v>
      </c>
      <c r="AF572">
        <v>42343965</v>
      </c>
      <c r="AG572" s="73">
        <v>45367.296944444446</v>
      </c>
      <c r="AH572" t="s">
        <v>226</v>
      </c>
      <c r="AI572" t="s">
        <v>417</v>
      </c>
      <c r="AJ572" t="s">
        <v>228</v>
      </c>
      <c r="AK572" t="s">
        <v>229</v>
      </c>
      <c r="AL572" t="s">
        <v>42</v>
      </c>
      <c r="AP572" t="s">
        <v>230</v>
      </c>
      <c r="AQ572" t="s">
        <v>231</v>
      </c>
      <c r="AT572" t="s">
        <v>232</v>
      </c>
      <c r="AU572">
        <v>-99</v>
      </c>
      <c r="AV572" t="s">
        <v>45</v>
      </c>
      <c r="AW572">
        <v>-5802</v>
      </c>
      <c r="AX572">
        <v>42343965</v>
      </c>
      <c r="AY572" s="73">
        <v>45367.296944444446</v>
      </c>
      <c r="AZ572" t="s">
        <v>226</v>
      </c>
      <c r="BA572" t="s">
        <v>417</v>
      </c>
      <c r="BB572" t="s">
        <v>228</v>
      </c>
      <c r="BC572" t="s">
        <v>229</v>
      </c>
      <c r="BD572" t="s">
        <v>42</v>
      </c>
      <c r="BI572" t="s">
        <v>233</v>
      </c>
      <c r="BJ572" t="s">
        <v>0</v>
      </c>
      <c r="BK572">
        <v>42343949</v>
      </c>
      <c r="BN572" t="s">
        <v>45</v>
      </c>
      <c r="BR572">
        <v>-5802</v>
      </c>
      <c r="BS572">
        <v>42343965</v>
      </c>
      <c r="BT572" s="73">
        <v>45367.296944444446</v>
      </c>
      <c r="BU572" t="s">
        <v>226</v>
      </c>
      <c r="BV572" t="s">
        <v>417</v>
      </c>
      <c r="BW572" t="s">
        <v>228</v>
      </c>
      <c r="CH572" t="s">
        <v>229</v>
      </c>
      <c r="CI572" t="s">
        <v>42</v>
      </c>
      <c r="CJ572" t="s">
        <v>226</v>
      </c>
      <c r="CK572" t="s">
        <v>417</v>
      </c>
      <c r="CL572" t="s">
        <v>228</v>
      </c>
      <c r="CM572" t="s">
        <v>234</v>
      </c>
      <c r="CN572" t="s">
        <v>45</v>
      </c>
      <c r="CO572">
        <v>-5802</v>
      </c>
      <c r="CP572">
        <v>42343965</v>
      </c>
      <c r="CQ572" s="73">
        <v>45367.296944444446</v>
      </c>
      <c r="CR572" t="s">
        <v>229</v>
      </c>
      <c r="CS572" t="s">
        <v>42</v>
      </c>
      <c r="CU572" t="s">
        <v>225</v>
      </c>
    </row>
    <row r="573" spans="1:99">
      <c r="A573" t="s">
        <v>99</v>
      </c>
      <c r="B573" t="s">
        <v>98</v>
      </c>
      <c r="J573" t="s">
        <v>225</v>
      </c>
      <c r="K573" t="s">
        <v>225</v>
      </c>
      <c r="M573" s="73">
        <v>45367.296944444446</v>
      </c>
      <c r="N573">
        <v>42343964</v>
      </c>
      <c r="O573">
        <v>-290</v>
      </c>
      <c r="P573" t="s">
        <v>73</v>
      </c>
      <c r="Q573">
        <v>-290</v>
      </c>
      <c r="R573" t="s">
        <v>73</v>
      </c>
      <c r="U573" t="s">
        <v>226</v>
      </c>
      <c r="V573" t="s">
        <v>417</v>
      </c>
      <c r="W573" t="s">
        <v>228</v>
      </c>
      <c r="X573" t="s">
        <v>229</v>
      </c>
      <c r="Y573" t="s">
        <v>99</v>
      </c>
      <c r="AD573" t="s">
        <v>73</v>
      </c>
      <c r="AE573">
        <v>-290</v>
      </c>
      <c r="AF573">
        <v>42343964</v>
      </c>
      <c r="AG573" s="73">
        <v>45367.296944444446</v>
      </c>
      <c r="AH573" t="s">
        <v>226</v>
      </c>
      <c r="AI573" t="s">
        <v>417</v>
      </c>
      <c r="AJ573" t="s">
        <v>228</v>
      </c>
      <c r="AK573" t="s">
        <v>229</v>
      </c>
      <c r="AL573" t="s">
        <v>99</v>
      </c>
      <c r="AP573" t="s">
        <v>230</v>
      </c>
      <c r="AQ573" t="s">
        <v>231</v>
      </c>
      <c r="AT573" t="s">
        <v>232</v>
      </c>
      <c r="AU573">
        <v>-99</v>
      </c>
      <c r="AV573" t="s">
        <v>73</v>
      </c>
      <c r="AW573">
        <v>-290</v>
      </c>
      <c r="AX573">
        <v>42343964</v>
      </c>
      <c r="AY573" s="73">
        <v>45367.296944444446</v>
      </c>
      <c r="AZ573" t="s">
        <v>226</v>
      </c>
      <c r="BA573" t="s">
        <v>417</v>
      </c>
      <c r="BB573" t="s">
        <v>228</v>
      </c>
      <c r="BC573" t="s">
        <v>229</v>
      </c>
      <c r="BD573" t="s">
        <v>99</v>
      </c>
      <c r="BI573" t="s">
        <v>233</v>
      </c>
      <c r="BJ573" t="s">
        <v>0</v>
      </c>
      <c r="BK573">
        <v>42343949</v>
      </c>
      <c r="BN573" t="s">
        <v>73</v>
      </c>
      <c r="BR573">
        <v>-290</v>
      </c>
      <c r="BS573">
        <v>42343964</v>
      </c>
      <c r="BT573" s="73">
        <v>45367.296944444446</v>
      </c>
      <c r="BU573" t="s">
        <v>226</v>
      </c>
      <c r="BV573" t="s">
        <v>417</v>
      </c>
      <c r="BW573" t="s">
        <v>228</v>
      </c>
      <c r="CH573" t="s">
        <v>229</v>
      </c>
      <c r="CI573" t="s">
        <v>99</v>
      </c>
      <c r="CJ573" t="s">
        <v>226</v>
      </c>
      <c r="CK573" t="s">
        <v>417</v>
      </c>
      <c r="CL573" t="s">
        <v>228</v>
      </c>
      <c r="CM573" t="s">
        <v>234</v>
      </c>
      <c r="CN573" t="s">
        <v>73</v>
      </c>
      <c r="CO573">
        <v>-290</v>
      </c>
      <c r="CP573">
        <v>42343964</v>
      </c>
      <c r="CQ573" s="73">
        <v>45367.296944444446</v>
      </c>
      <c r="CR573" t="s">
        <v>229</v>
      </c>
      <c r="CS573" t="s">
        <v>99</v>
      </c>
      <c r="CU573" t="s">
        <v>225</v>
      </c>
    </row>
    <row r="574" spans="1:99">
      <c r="A574" t="s">
        <v>103</v>
      </c>
      <c r="B574" t="s">
        <v>98</v>
      </c>
      <c r="J574" t="s">
        <v>225</v>
      </c>
      <c r="K574" t="s">
        <v>225</v>
      </c>
      <c r="M574" s="73">
        <v>45367.296944444446</v>
      </c>
      <c r="N574">
        <v>42343963</v>
      </c>
      <c r="O574">
        <v>5800</v>
      </c>
      <c r="P574" t="s">
        <v>104</v>
      </c>
      <c r="Q574">
        <v>5800</v>
      </c>
      <c r="R574" t="s">
        <v>104</v>
      </c>
      <c r="S574">
        <v>290</v>
      </c>
      <c r="T574" t="s">
        <v>73</v>
      </c>
      <c r="U574" t="s">
        <v>226</v>
      </c>
      <c r="V574" t="s">
        <v>417</v>
      </c>
      <c r="W574" t="s">
        <v>235</v>
      </c>
      <c r="X574" t="s">
        <v>229</v>
      </c>
      <c r="Y574" t="s">
        <v>103</v>
      </c>
      <c r="AD574" t="s">
        <v>104</v>
      </c>
      <c r="AE574">
        <v>5800</v>
      </c>
      <c r="AF574">
        <v>42343963</v>
      </c>
      <c r="AG574" s="73">
        <v>45367.296944444446</v>
      </c>
      <c r="AH574" t="s">
        <v>226</v>
      </c>
      <c r="AI574" t="s">
        <v>417</v>
      </c>
      <c r="AJ574" t="s">
        <v>235</v>
      </c>
      <c r="AK574" t="s">
        <v>229</v>
      </c>
      <c r="AL574" t="s">
        <v>103</v>
      </c>
      <c r="AP574" t="s">
        <v>230</v>
      </c>
      <c r="AQ574" t="s">
        <v>231</v>
      </c>
      <c r="AT574" t="s">
        <v>232</v>
      </c>
      <c r="AU574">
        <v>-99</v>
      </c>
      <c r="AV574" t="s">
        <v>104</v>
      </c>
      <c r="AW574">
        <v>5800</v>
      </c>
      <c r="AX574">
        <v>42343963</v>
      </c>
      <c r="AY574" s="73">
        <v>45367.296944444446</v>
      </c>
      <c r="AZ574" t="s">
        <v>226</v>
      </c>
      <c r="BA574" t="s">
        <v>417</v>
      </c>
      <c r="BB574" t="s">
        <v>235</v>
      </c>
      <c r="BC574" t="s">
        <v>229</v>
      </c>
      <c r="BD574" t="s">
        <v>103</v>
      </c>
      <c r="BI574" t="s">
        <v>233</v>
      </c>
      <c r="BJ574" t="s">
        <v>0</v>
      </c>
      <c r="BK574">
        <v>42343949</v>
      </c>
      <c r="BN574" t="s">
        <v>104</v>
      </c>
      <c r="BO574">
        <v>42343955</v>
      </c>
      <c r="BR574">
        <v>5800</v>
      </c>
      <c r="BS574">
        <v>42343963</v>
      </c>
      <c r="BT574" s="73">
        <v>45367.296944444446</v>
      </c>
      <c r="BU574" t="s">
        <v>226</v>
      </c>
      <c r="BV574" t="s">
        <v>417</v>
      </c>
      <c r="BW574" t="s">
        <v>235</v>
      </c>
      <c r="CH574" t="s">
        <v>229</v>
      </c>
      <c r="CI574" t="s">
        <v>103</v>
      </c>
      <c r="CJ574" t="s">
        <v>226</v>
      </c>
      <c r="CK574" t="s">
        <v>417</v>
      </c>
      <c r="CL574" t="s">
        <v>235</v>
      </c>
      <c r="CM574" t="s">
        <v>236</v>
      </c>
      <c r="CN574" t="s">
        <v>104</v>
      </c>
      <c r="CO574">
        <v>5800</v>
      </c>
      <c r="CP574">
        <v>42343963</v>
      </c>
      <c r="CQ574" s="73">
        <v>45367.296944444446</v>
      </c>
      <c r="CR574" t="s">
        <v>229</v>
      </c>
      <c r="CS574" t="s">
        <v>103</v>
      </c>
      <c r="CU574" t="s">
        <v>225</v>
      </c>
    </row>
    <row r="575" spans="1:99">
      <c r="A575" t="s">
        <v>111</v>
      </c>
      <c r="B575" t="s">
        <v>77</v>
      </c>
      <c r="J575" t="s">
        <v>225</v>
      </c>
      <c r="K575" t="s">
        <v>225</v>
      </c>
      <c r="M575" s="73">
        <v>45367.296944444446</v>
      </c>
      <c r="N575">
        <v>42343962</v>
      </c>
      <c r="O575">
        <v>2</v>
      </c>
      <c r="P575" t="s">
        <v>45</v>
      </c>
      <c r="Q575">
        <v>2</v>
      </c>
      <c r="R575" t="s">
        <v>45</v>
      </c>
      <c r="U575" t="s">
        <v>226</v>
      </c>
      <c r="V575" t="s">
        <v>417</v>
      </c>
      <c r="W575" t="s">
        <v>237</v>
      </c>
      <c r="X575" t="s">
        <v>229</v>
      </c>
      <c r="Y575" t="s">
        <v>111</v>
      </c>
      <c r="AD575" t="s">
        <v>45</v>
      </c>
      <c r="AE575">
        <v>2</v>
      </c>
      <c r="AF575">
        <v>42343962</v>
      </c>
      <c r="AG575" s="73">
        <v>45367.296944444446</v>
      </c>
      <c r="AH575" t="s">
        <v>226</v>
      </c>
      <c r="AI575" t="s">
        <v>417</v>
      </c>
      <c r="AJ575" t="s">
        <v>237</v>
      </c>
      <c r="AK575" t="s">
        <v>229</v>
      </c>
      <c r="AL575" t="s">
        <v>111</v>
      </c>
      <c r="AP575" t="s">
        <v>230</v>
      </c>
      <c r="AQ575" t="s">
        <v>231</v>
      </c>
      <c r="AT575" t="s">
        <v>232</v>
      </c>
      <c r="AU575">
        <v>-99</v>
      </c>
      <c r="AV575" t="s">
        <v>45</v>
      </c>
      <c r="AW575">
        <v>2</v>
      </c>
      <c r="AX575">
        <v>42343962</v>
      </c>
      <c r="AY575" s="73">
        <v>45367.296944444446</v>
      </c>
      <c r="AZ575" t="s">
        <v>226</v>
      </c>
      <c r="BA575" t="s">
        <v>417</v>
      </c>
      <c r="BB575" t="s">
        <v>237</v>
      </c>
      <c r="BC575" t="s">
        <v>229</v>
      </c>
      <c r="BD575" t="s">
        <v>111</v>
      </c>
      <c r="BI575" t="s">
        <v>233</v>
      </c>
      <c r="BJ575" t="s">
        <v>0</v>
      </c>
      <c r="BK575">
        <v>42343949</v>
      </c>
      <c r="BN575" t="s">
        <v>45</v>
      </c>
      <c r="BO575">
        <v>42343957</v>
      </c>
      <c r="BR575">
        <v>2</v>
      </c>
      <c r="BS575">
        <v>42343962</v>
      </c>
      <c r="BT575" s="73">
        <v>45367.296944444446</v>
      </c>
      <c r="BU575" t="s">
        <v>226</v>
      </c>
      <c r="BV575" t="s">
        <v>417</v>
      </c>
      <c r="BW575" t="s">
        <v>237</v>
      </c>
      <c r="CH575" t="s">
        <v>229</v>
      </c>
      <c r="CI575" t="s">
        <v>111</v>
      </c>
      <c r="CJ575" t="s">
        <v>226</v>
      </c>
      <c r="CK575" t="s">
        <v>417</v>
      </c>
      <c r="CL575" t="s">
        <v>237</v>
      </c>
      <c r="CM575" t="s">
        <v>236</v>
      </c>
      <c r="CN575" t="s">
        <v>45</v>
      </c>
      <c r="CO575">
        <v>2</v>
      </c>
      <c r="CP575">
        <v>42343962</v>
      </c>
      <c r="CQ575" s="73">
        <v>45367.296944444446</v>
      </c>
      <c r="CR575" t="s">
        <v>229</v>
      </c>
      <c r="CS575" t="s">
        <v>111</v>
      </c>
      <c r="CU575" t="s">
        <v>225</v>
      </c>
    </row>
    <row r="576" spans="1:99">
      <c r="A576" t="s">
        <v>113</v>
      </c>
      <c r="B576" t="s">
        <v>90</v>
      </c>
      <c r="J576" t="s">
        <v>225</v>
      </c>
      <c r="K576" t="s">
        <v>225</v>
      </c>
      <c r="M576" s="73">
        <v>45367.256956018522</v>
      </c>
      <c r="N576">
        <v>42355428</v>
      </c>
      <c r="O576">
        <v>-250</v>
      </c>
      <c r="P576" t="s">
        <v>115</v>
      </c>
      <c r="Q576">
        <v>-250</v>
      </c>
      <c r="R576" t="s">
        <v>115</v>
      </c>
      <c r="U576" t="s">
        <v>226</v>
      </c>
      <c r="V576" t="s">
        <v>408</v>
      </c>
      <c r="W576" t="s">
        <v>228</v>
      </c>
      <c r="X576" t="s">
        <v>229</v>
      </c>
      <c r="Y576" t="s">
        <v>113</v>
      </c>
      <c r="AD576" t="s">
        <v>115</v>
      </c>
      <c r="AE576">
        <v>-250</v>
      </c>
      <c r="AF576">
        <v>42355428</v>
      </c>
      <c r="AG576" s="73">
        <v>45367.256956018522</v>
      </c>
      <c r="AH576" t="s">
        <v>226</v>
      </c>
      <c r="AI576" t="s">
        <v>408</v>
      </c>
      <c r="AJ576" t="s">
        <v>228</v>
      </c>
      <c r="AK576" t="s">
        <v>229</v>
      </c>
      <c r="AL576" t="s">
        <v>113</v>
      </c>
      <c r="AP576" t="s">
        <v>230</v>
      </c>
      <c r="AQ576" t="s">
        <v>231</v>
      </c>
      <c r="AT576" t="s">
        <v>232</v>
      </c>
      <c r="AU576">
        <v>-99</v>
      </c>
      <c r="AV576" t="s">
        <v>115</v>
      </c>
      <c r="AW576">
        <v>-250</v>
      </c>
      <c r="AX576">
        <v>42355428</v>
      </c>
      <c r="AY576" s="73">
        <v>45367.256956018522</v>
      </c>
      <c r="AZ576" t="s">
        <v>226</v>
      </c>
      <c r="BA576" t="s">
        <v>408</v>
      </c>
      <c r="BB576" t="s">
        <v>228</v>
      </c>
      <c r="BC576" t="s">
        <v>229</v>
      </c>
      <c r="BD576" t="s">
        <v>113</v>
      </c>
      <c r="BI576" t="s">
        <v>233</v>
      </c>
      <c r="BJ576" t="s">
        <v>0</v>
      </c>
      <c r="BK576">
        <v>42355420</v>
      </c>
      <c r="BN576" t="s">
        <v>115</v>
      </c>
      <c r="BR576">
        <v>-250</v>
      </c>
      <c r="BS576">
        <v>42355428</v>
      </c>
      <c r="BT576" s="73">
        <v>45367.256956018522</v>
      </c>
      <c r="BU576" t="s">
        <v>226</v>
      </c>
      <c r="BV576" t="s">
        <v>408</v>
      </c>
      <c r="BW576" t="s">
        <v>228</v>
      </c>
      <c r="CH576" t="s">
        <v>229</v>
      </c>
      <c r="CI576" t="s">
        <v>113</v>
      </c>
      <c r="CJ576" t="s">
        <v>226</v>
      </c>
      <c r="CK576" t="s">
        <v>408</v>
      </c>
      <c r="CL576" t="s">
        <v>228</v>
      </c>
      <c r="CM576" t="s">
        <v>234</v>
      </c>
      <c r="CN576" t="s">
        <v>115</v>
      </c>
      <c r="CO576">
        <v>-250</v>
      </c>
      <c r="CP576">
        <v>42355428</v>
      </c>
      <c r="CQ576" s="73">
        <v>45367.256956018522</v>
      </c>
      <c r="CR576" t="s">
        <v>229</v>
      </c>
      <c r="CS576" t="s">
        <v>113</v>
      </c>
      <c r="CU576" t="s">
        <v>225</v>
      </c>
    </row>
    <row r="577" spans="1:99">
      <c r="A577" t="s">
        <v>129</v>
      </c>
      <c r="B577" t="s">
        <v>90</v>
      </c>
      <c r="J577" t="s">
        <v>225</v>
      </c>
      <c r="K577" t="s">
        <v>225</v>
      </c>
      <c r="M577" s="73">
        <v>45367.256956018522</v>
      </c>
      <c r="N577">
        <v>42355427</v>
      </c>
      <c r="O577">
        <v>-5.7</v>
      </c>
      <c r="P577" t="s">
        <v>73</v>
      </c>
      <c r="Q577">
        <v>-5.7</v>
      </c>
      <c r="R577" t="s">
        <v>73</v>
      </c>
      <c r="U577" t="s">
        <v>226</v>
      </c>
      <c r="V577" t="s">
        <v>408</v>
      </c>
      <c r="W577" t="s">
        <v>228</v>
      </c>
      <c r="X577" t="s">
        <v>229</v>
      </c>
      <c r="Y577" t="s">
        <v>129</v>
      </c>
      <c r="AD577" t="s">
        <v>73</v>
      </c>
      <c r="AE577">
        <v>-5.7</v>
      </c>
      <c r="AF577">
        <v>42355427</v>
      </c>
      <c r="AG577" s="73">
        <v>45367.256956018522</v>
      </c>
      <c r="AH577" t="s">
        <v>226</v>
      </c>
      <c r="AI577" t="s">
        <v>408</v>
      </c>
      <c r="AJ577" t="s">
        <v>228</v>
      </c>
      <c r="AK577" t="s">
        <v>229</v>
      </c>
      <c r="AL577" t="s">
        <v>129</v>
      </c>
      <c r="AP577" t="s">
        <v>230</v>
      </c>
      <c r="AQ577" t="s">
        <v>231</v>
      </c>
      <c r="AT577" t="s">
        <v>232</v>
      </c>
      <c r="AU577">
        <v>-99</v>
      </c>
      <c r="AV577" t="s">
        <v>73</v>
      </c>
      <c r="AW577">
        <v>-5.7</v>
      </c>
      <c r="AX577">
        <v>42355427</v>
      </c>
      <c r="AY577" s="73">
        <v>45367.256956018522</v>
      </c>
      <c r="AZ577" t="s">
        <v>226</v>
      </c>
      <c r="BA577" t="s">
        <v>408</v>
      </c>
      <c r="BB577" t="s">
        <v>228</v>
      </c>
      <c r="BC577" t="s">
        <v>229</v>
      </c>
      <c r="BD577" t="s">
        <v>129</v>
      </c>
      <c r="BI577" t="s">
        <v>233</v>
      </c>
      <c r="BJ577" t="s">
        <v>0</v>
      </c>
      <c r="BK577">
        <v>42355420</v>
      </c>
      <c r="BN577" t="s">
        <v>73</v>
      </c>
      <c r="BR577">
        <v>-5.7</v>
      </c>
      <c r="BS577">
        <v>42355427</v>
      </c>
      <c r="BT577" s="73">
        <v>45367.256956018522</v>
      </c>
      <c r="BU577" t="s">
        <v>226</v>
      </c>
      <c r="BV577" t="s">
        <v>408</v>
      </c>
      <c r="BW577" t="s">
        <v>228</v>
      </c>
      <c r="CH577" t="s">
        <v>229</v>
      </c>
      <c r="CI577" t="s">
        <v>129</v>
      </c>
      <c r="CJ577" t="s">
        <v>226</v>
      </c>
      <c r="CK577" t="s">
        <v>408</v>
      </c>
      <c r="CL577" t="s">
        <v>228</v>
      </c>
      <c r="CM577" t="s">
        <v>234</v>
      </c>
      <c r="CN577" t="s">
        <v>73</v>
      </c>
      <c r="CO577">
        <v>-5.7</v>
      </c>
      <c r="CP577">
        <v>42355427</v>
      </c>
      <c r="CQ577" s="73">
        <v>45367.256956018522</v>
      </c>
      <c r="CR577" t="s">
        <v>229</v>
      </c>
      <c r="CS577" t="s">
        <v>129</v>
      </c>
      <c r="CU577" t="s">
        <v>225</v>
      </c>
    </row>
    <row r="578" spans="1:99">
      <c r="A578" t="s">
        <v>42</v>
      </c>
      <c r="B578" t="s">
        <v>92</v>
      </c>
      <c r="J578" t="s">
        <v>225</v>
      </c>
      <c r="K578" t="s">
        <v>225</v>
      </c>
      <c r="M578" s="73">
        <v>45367.25</v>
      </c>
      <c r="N578">
        <v>42358804</v>
      </c>
      <c r="O578">
        <v>-4439</v>
      </c>
      <c r="P578" t="s">
        <v>45</v>
      </c>
      <c r="Q578">
        <v>-4439</v>
      </c>
      <c r="R578" t="s">
        <v>45</v>
      </c>
      <c r="U578" t="s">
        <v>226</v>
      </c>
      <c r="V578" t="s">
        <v>418</v>
      </c>
      <c r="W578" t="s">
        <v>228</v>
      </c>
      <c r="X578" t="s">
        <v>229</v>
      </c>
      <c r="Y578" t="s">
        <v>42</v>
      </c>
      <c r="AD578" t="s">
        <v>45</v>
      </c>
      <c r="AE578">
        <v>-4439</v>
      </c>
      <c r="AF578">
        <v>42358804</v>
      </c>
      <c r="AG578" s="73">
        <v>45367.25</v>
      </c>
      <c r="AH578" t="s">
        <v>226</v>
      </c>
      <c r="AI578" t="s">
        <v>418</v>
      </c>
      <c r="AJ578" t="s">
        <v>228</v>
      </c>
      <c r="AK578" t="s">
        <v>229</v>
      </c>
      <c r="AL578" t="s">
        <v>42</v>
      </c>
      <c r="AP578" t="s">
        <v>230</v>
      </c>
      <c r="AQ578" t="s">
        <v>231</v>
      </c>
      <c r="AT578" t="s">
        <v>232</v>
      </c>
      <c r="AU578">
        <v>-99</v>
      </c>
      <c r="AV578" t="s">
        <v>45</v>
      </c>
      <c r="AW578">
        <v>-4439</v>
      </c>
      <c r="AX578">
        <v>42358804</v>
      </c>
      <c r="AY578" s="73">
        <v>45367.25</v>
      </c>
      <c r="AZ578" t="s">
        <v>226</v>
      </c>
      <c r="BA578" t="s">
        <v>418</v>
      </c>
      <c r="BB578" t="s">
        <v>228</v>
      </c>
      <c r="BC578" t="s">
        <v>229</v>
      </c>
      <c r="BD578" t="s">
        <v>42</v>
      </c>
      <c r="BI578" t="s">
        <v>233</v>
      </c>
      <c r="BJ578" t="s">
        <v>0</v>
      </c>
      <c r="BK578">
        <v>42358778</v>
      </c>
      <c r="BN578" t="s">
        <v>45</v>
      </c>
      <c r="BR578">
        <v>-4439</v>
      </c>
      <c r="BS578">
        <v>42358804</v>
      </c>
      <c r="BT578" s="73">
        <v>45367.25</v>
      </c>
      <c r="BU578" t="s">
        <v>226</v>
      </c>
      <c r="BV578" t="s">
        <v>418</v>
      </c>
      <c r="BW578" t="s">
        <v>228</v>
      </c>
      <c r="CH578" t="s">
        <v>229</v>
      </c>
      <c r="CI578" t="s">
        <v>42</v>
      </c>
      <c r="CJ578" t="s">
        <v>226</v>
      </c>
      <c r="CK578" t="s">
        <v>418</v>
      </c>
      <c r="CL578" t="s">
        <v>228</v>
      </c>
      <c r="CM578" t="s">
        <v>234</v>
      </c>
      <c r="CN578" t="s">
        <v>45</v>
      </c>
      <c r="CO578">
        <v>-4439</v>
      </c>
      <c r="CP578">
        <v>42358804</v>
      </c>
      <c r="CQ578" s="73">
        <v>45367.25</v>
      </c>
      <c r="CR578" t="s">
        <v>229</v>
      </c>
      <c r="CS578" t="s">
        <v>42</v>
      </c>
      <c r="CU578" t="s">
        <v>225</v>
      </c>
    </row>
    <row r="579" spans="1:99">
      <c r="A579" t="s">
        <v>99</v>
      </c>
      <c r="B579" t="s">
        <v>98</v>
      </c>
      <c r="J579" t="s">
        <v>225</v>
      </c>
      <c r="K579" t="s">
        <v>225</v>
      </c>
      <c r="M579" s="73">
        <v>45367.25</v>
      </c>
      <c r="N579">
        <v>42358803</v>
      </c>
      <c r="O579">
        <v>-221.85</v>
      </c>
      <c r="P579" t="s">
        <v>73</v>
      </c>
      <c r="Q579">
        <v>-221.85</v>
      </c>
      <c r="R579" t="s">
        <v>73</v>
      </c>
      <c r="U579" t="s">
        <v>226</v>
      </c>
      <c r="V579" t="s">
        <v>418</v>
      </c>
      <c r="W579" t="s">
        <v>228</v>
      </c>
      <c r="X579" t="s">
        <v>229</v>
      </c>
      <c r="Y579" t="s">
        <v>99</v>
      </c>
      <c r="AD579" t="s">
        <v>73</v>
      </c>
      <c r="AE579">
        <v>-221.85</v>
      </c>
      <c r="AF579">
        <v>42358803</v>
      </c>
      <c r="AG579" s="73">
        <v>45367.25</v>
      </c>
      <c r="AH579" t="s">
        <v>226</v>
      </c>
      <c r="AI579" t="s">
        <v>418</v>
      </c>
      <c r="AJ579" t="s">
        <v>228</v>
      </c>
      <c r="AK579" t="s">
        <v>229</v>
      </c>
      <c r="AL579" t="s">
        <v>99</v>
      </c>
      <c r="AP579" t="s">
        <v>230</v>
      </c>
      <c r="AQ579" t="s">
        <v>231</v>
      </c>
      <c r="AT579" t="s">
        <v>232</v>
      </c>
      <c r="AU579">
        <v>-99</v>
      </c>
      <c r="AV579" t="s">
        <v>73</v>
      </c>
      <c r="AW579">
        <v>-221.85</v>
      </c>
      <c r="AX579">
        <v>42358803</v>
      </c>
      <c r="AY579" s="73">
        <v>45367.25</v>
      </c>
      <c r="AZ579" t="s">
        <v>226</v>
      </c>
      <c r="BA579" t="s">
        <v>418</v>
      </c>
      <c r="BB579" t="s">
        <v>228</v>
      </c>
      <c r="BC579" t="s">
        <v>229</v>
      </c>
      <c r="BD579" t="s">
        <v>99</v>
      </c>
      <c r="BI579" t="s">
        <v>233</v>
      </c>
      <c r="BJ579" t="s">
        <v>0</v>
      </c>
      <c r="BK579">
        <v>42358778</v>
      </c>
      <c r="BN579" t="s">
        <v>73</v>
      </c>
      <c r="BR579">
        <v>-221.85</v>
      </c>
      <c r="BS579">
        <v>42358803</v>
      </c>
      <c r="BT579" s="73">
        <v>45367.25</v>
      </c>
      <c r="BU579" t="s">
        <v>226</v>
      </c>
      <c r="BV579" t="s">
        <v>418</v>
      </c>
      <c r="BW579" t="s">
        <v>228</v>
      </c>
      <c r="CH579" t="s">
        <v>229</v>
      </c>
      <c r="CI579" t="s">
        <v>99</v>
      </c>
      <c r="CJ579" t="s">
        <v>226</v>
      </c>
      <c r="CK579" t="s">
        <v>418</v>
      </c>
      <c r="CL579" t="s">
        <v>228</v>
      </c>
      <c r="CM579" t="s">
        <v>234</v>
      </c>
      <c r="CN579" t="s">
        <v>73</v>
      </c>
      <c r="CO579">
        <v>-221.85</v>
      </c>
      <c r="CP579">
        <v>42358803</v>
      </c>
      <c r="CQ579" s="73">
        <v>45367.25</v>
      </c>
      <c r="CR579" t="s">
        <v>229</v>
      </c>
      <c r="CS579" t="s">
        <v>99</v>
      </c>
      <c r="CU579" t="s">
        <v>225</v>
      </c>
    </row>
    <row r="580" spans="1:99">
      <c r="A580" t="s">
        <v>103</v>
      </c>
      <c r="B580" t="s">
        <v>98</v>
      </c>
      <c r="J580" t="s">
        <v>225</v>
      </c>
      <c r="K580" t="s">
        <v>225</v>
      </c>
      <c r="M580" s="73">
        <v>45367.25</v>
      </c>
      <c r="N580">
        <v>42358802</v>
      </c>
      <c r="O580">
        <v>4437</v>
      </c>
      <c r="P580" t="s">
        <v>104</v>
      </c>
      <c r="Q580">
        <v>4437</v>
      </c>
      <c r="R580" t="s">
        <v>104</v>
      </c>
      <c r="S580">
        <v>221.85</v>
      </c>
      <c r="T580" t="s">
        <v>73</v>
      </c>
      <c r="U580" t="s">
        <v>226</v>
      </c>
      <c r="V580" t="s">
        <v>418</v>
      </c>
      <c r="W580" t="s">
        <v>235</v>
      </c>
      <c r="X580" t="s">
        <v>229</v>
      </c>
      <c r="Y580" t="s">
        <v>103</v>
      </c>
      <c r="AD580" t="s">
        <v>104</v>
      </c>
      <c r="AE580">
        <v>4437</v>
      </c>
      <c r="AF580">
        <v>42358802</v>
      </c>
      <c r="AG580" s="73">
        <v>45367.25</v>
      </c>
      <c r="AH580" t="s">
        <v>226</v>
      </c>
      <c r="AI580" t="s">
        <v>418</v>
      </c>
      <c r="AJ580" t="s">
        <v>235</v>
      </c>
      <c r="AK580" t="s">
        <v>229</v>
      </c>
      <c r="AL580" t="s">
        <v>103</v>
      </c>
      <c r="AP580" t="s">
        <v>230</v>
      </c>
      <c r="AQ580" t="s">
        <v>231</v>
      </c>
      <c r="AT580" t="s">
        <v>232</v>
      </c>
      <c r="AU580">
        <v>-99</v>
      </c>
      <c r="AV580" t="s">
        <v>104</v>
      </c>
      <c r="AW580">
        <v>4437</v>
      </c>
      <c r="AX580">
        <v>42358802</v>
      </c>
      <c r="AY580" s="73">
        <v>45367.25</v>
      </c>
      <c r="AZ580" t="s">
        <v>226</v>
      </c>
      <c r="BA580" t="s">
        <v>418</v>
      </c>
      <c r="BB580" t="s">
        <v>235</v>
      </c>
      <c r="BC580" t="s">
        <v>229</v>
      </c>
      <c r="BD580" t="s">
        <v>103</v>
      </c>
      <c r="BI580" t="s">
        <v>233</v>
      </c>
      <c r="BJ580" t="s">
        <v>0</v>
      </c>
      <c r="BK580">
        <v>42358778</v>
      </c>
      <c r="BN580" t="s">
        <v>104</v>
      </c>
      <c r="BO580">
        <v>42358794</v>
      </c>
      <c r="BR580">
        <v>4437</v>
      </c>
      <c r="BS580">
        <v>42358802</v>
      </c>
      <c r="BT580" s="73">
        <v>45367.25</v>
      </c>
      <c r="BU580" t="s">
        <v>226</v>
      </c>
      <c r="BV580" t="s">
        <v>418</v>
      </c>
      <c r="BW580" t="s">
        <v>235</v>
      </c>
      <c r="CH580" t="s">
        <v>229</v>
      </c>
      <c r="CI580" t="s">
        <v>103</v>
      </c>
      <c r="CJ580" t="s">
        <v>226</v>
      </c>
      <c r="CK580" t="s">
        <v>418</v>
      </c>
      <c r="CL580" t="s">
        <v>235</v>
      </c>
      <c r="CM580" t="s">
        <v>236</v>
      </c>
      <c r="CN580" t="s">
        <v>104</v>
      </c>
      <c r="CO580">
        <v>4437</v>
      </c>
      <c r="CP580">
        <v>42358802</v>
      </c>
      <c r="CQ580" s="73">
        <v>45367.25</v>
      </c>
      <c r="CR580" t="s">
        <v>229</v>
      </c>
      <c r="CS580" t="s">
        <v>103</v>
      </c>
      <c r="CU580" t="s">
        <v>225</v>
      </c>
    </row>
    <row r="581" spans="1:99">
      <c r="A581" t="s">
        <v>111</v>
      </c>
      <c r="B581" t="s">
        <v>77</v>
      </c>
      <c r="J581" t="s">
        <v>225</v>
      </c>
      <c r="K581" t="s">
        <v>225</v>
      </c>
      <c r="M581" s="73">
        <v>45367.25</v>
      </c>
      <c r="N581">
        <v>42358801</v>
      </c>
      <c r="O581">
        <v>2</v>
      </c>
      <c r="P581" t="s">
        <v>45</v>
      </c>
      <c r="Q581">
        <v>2</v>
      </c>
      <c r="R581" t="s">
        <v>45</v>
      </c>
      <c r="U581" t="s">
        <v>226</v>
      </c>
      <c r="V581" t="s">
        <v>418</v>
      </c>
      <c r="W581" t="s">
        <v>237</v>
      </c>
      <c r="X581" t="s">
        <v>229</v>
      </c>
      <c r="Y581" t="s">
        <v>111</v>
      </c>
      <c r="AD581" t="s">
        <v>45</v>
      </c>
      <c r="AE581">
        <v>2</v>
      </c>
      <c r="AF581">
        <v>42358801</v>
      </c>
      <c r="AG581" s="73">
        <v>45367.25</v>
      </c>
      <c r="AH581" t="s">
        <v>226</v>
      </c>
      <c r="AI581" t="s">
        <v>418</v>
      </c>
      <c r="AJ581" t="s">
        <v>237</v>
      </c>
      <c r="AK581" t="s">
        <v>229</v>
      </c>
      <c r="AL581" t="s">
        <v>111</v>
      </c>
      <c r="AP581" t="s">
        <v>230</v>
      </c>
      <c r="AQ581" t="s">
        <v>231</v>
      </c>
      <c r="AT581" t="s">
        <v>232</v>
      </c>
      <c r="AU581">
        <v>-99</v>
      </c>
      <c r="AV581" t="s">
        <v>45</v>
      </c>
      <c r="AW581">
        <v>2</v>
      </c>
      <c r="AX581">
        <v>42358801</v>
      </c>
      <c r="AY581" s="73">
        <v>45367.25</v>
      </c>
      <c r="AZ581" t="s">
        <v>226</v>
      </c>
      <c r="BA581" t="s">
        <v>418</v>
      </c>
      <c r="BB581" t="s">
        <v>237</v>
      </c>
      <c r="BC581" t="s">
        <v>229</v>
      </c>
      <c r="BD581" t="s">
        <v>111</v>
      </c>
      <c r="BI581" t="s">
        <v>233</v>
      </c>
      <c r="BJ581" t="s">
        <v>0</v>
      </c>
      <c r="BK581">
        <v>42358778</v>
      </c>
      <c r="BN581" t="s">
        <v>45</v>
      </c>
      <c r="BO581">
        <v>42358796</v>
      </c>
      <c r="BR581">
        <v>2</v>
      </c>
      <c r="BS581">
        <v>42358801</v>
      </c>
      <c r="BT581" s="73">
        <v>45367.25</v>
      </c>
      <c r="BU581" t="s">
        <v>226</v>
      </c>
      <c r="BV581" t="s">
        <v>418</v>
      </c>
      <c r="BW581" t="s">
        <v>237</v>
      </c>
      <c r="CH581" t="s">
        <v>229</v>
      </c>
      <c r="CI581" t="s">
        <v>111</v>
      </c>
      <c r="CJ581" t="s">
        <v>226</v>
      </c>
      <c r="CK581" t="s">
        <v>418</v>
      </c>
      <c r="CL581" t="s">
        <v>237</v>
      </c>
      <c r="CM581" t="s">
        <v>236</v>
      </c>
      <c r="CN581" t="s">
        <v>45</v>
      </c>
      <c r="CO581">
        <v>2</v>
      </c>
      <c r="CP581">
        <v>42358801</v>
      </c>
      <c r="CQ581" s="73">
        <v>45367.25</v>
      </c>
      <c r="CR581" t="s">
        <v>229</v>
      </c>
      <c r="CS581" t="s">
        <v>111</v>
      </c>
      <c r="CU581" t="s">
        <v>225</v>
      </c>
    </row>
    <row r="582" spans="1:99">
      <c r="A582" t="s">
        <v>46</v>
      </c>
      <c r="B582" t="s">
        <v>92</v>
      </c>
      <c r="J582" t="s">
        <v>225</v>
      </c>
      <c r="K582" t="s">
        <v>225</v>
      </c>
      <c r="M582" s="73">
        <v>45367.25</v>
      </c>
      <c r="N582">
        <v>42358754</v>
      </c>
      <c r="O582">
        <v>-100</v>
      </c>
      <c r="P582" t="s">
        <v>45</v>
      </c>
      <c r="Q582">
        <v>-100</v>
      </c>
      <c r="R582" t="s">
        <v>45</v>
      </c>
      <c r="U582" t="s">
        <v>226</v>
      </c>
      <c r="V582" t="s">
        <v>419</v>
      </c>
      <c r="W582" t="s">
        <v>228</v>
      </c>
      <c r="X582" t="s">
        <v>229</v>
      </c>
      <c r="Y582" t="s">
        <v>46</v>
      </c>
      <c r="AD582" t="s">
        <v>45</v>
      </c>
      <c r="AE582">
        <v>-100</v>
      </c>
      <c r="AF582">
        <v>42358754</v>
      </c>
      <c r="AG582" s="73">
        <v>45367.25</v>
      </c>
      <c r="AH582" t="s">
        <v>226</v>
      </c>
      <c r="AI582" t="s">
        <v>419</v>
      </c>
      <c r="AJ582" t="s">
        <v>228</v>
      </c>
      <c r="AK582" t="s">
        <v>229</v>
      </c>
      <c r="AL582" t="s">
        <v>46</v>
      </c>
      <c r="AP582" t="s">
        <v>230</v>
      </c>
      <c r="AQ582" t="s">
        <v>231</v>
      </c>
      <c r="AT582" t="s">
        <v>232</v>
      </c>
      <c r="AU582">
        <v>-99</v>
      </c>
      <c r="AV582" t="s">
        <v>45</v>
      </c>
      <c r="AW582">
        <v>-100</v>
      </c>
      <c r="AX582">
        <v>42358754</v>
      </c>
      <c r="AY582" s="73">
        <v>45367.25</v>
      </c>
      <c r="AZ582" t="s">
        <v>226</v>
      </c>
      <c r="BA582" t="s">
        <v>419</v>
      </c>
      <c r="BB582" t="s">
        <v>228</v>
      </c>
      <c r="BC582" t="s">
        <v>229</v>
      </c>
      <c r="BD582" t="s">
        <v>46</v>
      </c>
      <c r="BI582" t="s">
        <v>233</v>
      </c>
      <c r="BJ582" t="s">
        <v>0</v>
      </c>
      <c r="BK582">
        <v>42358742</v>
      </c>
      <c r="BN582" t="s">
        <v>45</v>
      </c>
      <c r="BR582">
        <v>-100</v>
      </c>
      <c r="BS582">
        <v>42358754</v>
      </c>
      <c r="BT582" s="73">
        <v>45367.25</v>
      </c>
      <c r="BU582" t="s">
        <v>226</v>
      </c>
      <c r="BV582" t="s">
        <v>419</v>
      </c>
      <c r="BW582" t="s">
        <v>228</v>
      </c>
      <c r="CH582" t="s">
        <v>229</v>
      </c>
      <c r="CI582" t="s">
        <v>46</v>
      </c>
      <c r="CJ582" t="s">
        <v>226</v>
      </c>
      <c r="CK582" t="s">
        <v>419</v>
      </c>
      <c r="CL582" t="s">
        <v>228</v>
      </c>
      <c r="CM582" t="s">
        <v>234</v>
      </c>
      <c r="CN582" t="s">
        <v>45</v>
      </c>
      <c r="CO582">
        <v>-100</v>
      </c>
      <c r="CP582">
        <v>42358754</v>
      </c>
      <c r="CQ582" s="73">
        <v>45367.25</v>
      </c>
      <c r="CR582" t="s">
        <v>229</v>
      </c>
      <c r="CS582" t="s">
        <v>46</v>
      </c>
      <c r="CU582" t="s">
        <v>225</v>
      </c>
    </row>
    <row r="583" spans="1:99">
      <c r="A583" t="s">
        <v>93</v>
      </c>
      <c r="B583" t="s">
        <v>98</v>
      </c>
      <c r="J583" t="s">
        <v>225</v>
      </c>
      <c r="K583" t="s">
        <v>225</v>
      </c>
      <c r="M583" s="73">
        <v>45367.25</v>
      </c>
      <c r="N583">
        <v>42358753</v>
      </c>
      <c r="O583">
        <v>-5</v>
      </c>
      <c r="P583" t="s">
        <v>73</v>
      </c>
      <c r="Q583">
        <v>-5</v>
      </c>
      <c r="R583" t="s">
        <v>73</v>
      </c>
      <c r="U583" t="s">
        <v>226</v>
      </c>
      <c r="V583" t="s">
        <v>419</v>
      </c>
      <c r="W583" t="s">
        <v>228</v>
      </c>
      <c r="X583" t="s">
        <v>229</v>
      </c>
      <c r="Y583" t="s">
        <v>93</v>
      </c>
      <c r="AD583" t="s">
        <v>73</v>
      </c>
      <c r="AE583">
        <v>-5</v>
      </c>
      <c r="AF583">
        <v>42358753</v>
      </c>
      <c r="AG583" s="73">
        <v>45367.25</v>
      </c>
      <c r="AH583" t="s">
        <v>226</v>
      </c>
      <c r="AI583" t="s">
        <v>419</v>
      </c>
      <c r="AJ583" t="s">
        <v>228</v>
      </c>
      <c r="AK583" t="s">
        <v>229</v>
      </c>
      <c r="AL583" t="s">
        <v>93</v>
      </c>
      <c r="AP583" t="s">
        <v>230</v>
      </c>
      <c r="AQ583" t="s">
        <v>231</v>
      </c>
      <c r="AT583" t="s">
        <v>232</v>
      </c>
      <c r="AU583">
        <v>-99</v>
      </c>
      <c r="AV583" t="s">
        <v>73</v>
      </c>
      <c r="AW583">
        <v>-5</v>
      </c>
      <c r="AX583">
        <v>42358753</v>
      </c>
      <c r="AY583" s="73">
        <v>45367.25</v>
      </c>
      <c r="AZ583" t="s">
        <v>226</v>
      </c>
      <c r="BA583" t="s">
        <v>419</v>
      </c>
      <c r="BB583" t="s">
        <v>228</v>
      </c>
      <c r="BC583" t="s">
        <v>229</v>
      </c>
      <c r="BD583" t="s">
        <v>93</v>
      </c>
      <c r="BI583" t="s">
        <v>233</v>
      </c>
      <c r="BJ583" t="s">
        <v>0</v>
      </c>
      <c r="BK583">
        <v>42358742</v>
      </c>
      <c r="BN583" t="s">
        <v>73</v>
      </c>
      <c r="BR583">
        <v>-5</v>
      </c>
      <c r="BS583">
        <v>42358753</v>
      </c>
      <c r="BT583" s="73">
        <v>45367.25</v>
      </c>
      <c r="BU583" t="s">
        <v>226</v>
      </c>
      <c r="BV583" t="s">
        <v>419</v>
      </c>
      <c r="BW583" t="s">
        <v>228</v>
      </c>
      <c r="CH583" t="s">
        <v>229</v>
      </c>
      <c r="CI583" t="s">
        <v>93</v>
      </c>
      <c r="CJ583" t="s">
        <v>226</v>
      </c>
      <c r="CK583" t="s">
        <v>419</v>
      </c>
      <c r="CL583" t="s">
        <v>228</v>
      </c>
      <c r="CM583" t="s">
        <v>234</v>
      </c>
      <c r="CN583" t="s">
        <v>73</v>
      </c>
      <c r="CO583">
        <v>-5</v>
      </c>
      <c r="CP583">
        <v>42358753</v>
      </c>
      <c r="CQ583" s="73">
        <v>45367.25</v>
      </c>
      <c r="CR583" t="s">
        <v>229</v>
      </c>
      <c r="CS583" t="s">
        <v>93</v>
      </c>
      <c r="CU583" t="s">
        <v>225</v>
      </c>
    </row>
    <row r="584" spans="1:99">
      <c r="A584" t="s">
        <v>108</v>
      </c>
      <c r="B584" t="s">
        <v>98</v>
      </c>
      <c r="J584" t="s">
        <v>225</v>
      </c>
      <c r="K584" t="s">
        <v>225</v>
      </c>
      <c r="M584" s="73">
        <v>45367.25</v>
      </c>
      <c r="N584">
        <v>42358752</v>
      </c>
      <c r="O584">
        <v>100</v>
      </c>
      <c r="P584" t="s">
        <v>104</v>
      </c>
      <c r="Q584">
        <v>100</v>
      </c>
      <c r="R584" t="s">
        <v>104</v>
      </c>
      <c r="S584">
        <v>5</v>
      </c>
      <c r="T584" t="s">
        <v>73</v>
      </c>
      <c r="U584" t="s">
        <v>226</v>
      </c>
      <c r="V584" t="s">
        <v>419</v>
      </c>
      <c r="W584" t="s">
        <v>235</v>
      </c>
      <c r="X584" t="s">
        <v>229</v>
      </c>
      <c r="Y584" t="s">
        <v>108</v>
      </c>
      <c r="AD584" t="s">
        <v>104</v>
      </c>
      <c r="AE584">
        <v>100</v>
      </c>
      <c r="AF584">
        <v>42358752</v>
      </c>
      <c r="AG584" s="73">
        <v>45367.25</v>
      </c>
      <c r="AH584" t="s">
        <v>226</v>
      </c>
      <c r="AI584" t="s">
        <v>419</v>
      </c>
      <c r="AJ584" t="s">
        <v>235</v>
      </c>
      <c r="AK584" t="s">
        <v>229</v>
      </c>
      <c r="AL584" t="s">
        <v>108</v>
      </c>
      <c r="AP584" t="s">
        <v>230</v>
      </c>
      <c r="AQ584" t="s">
        <v>231</v>
      </c>
      <c r="AT584" t="s">
        <v>232</v>
      </c>
      <c r="AU584">
        <v>-99</v>
      </c>
      <c r="AV584" t="s">
        <v>104</v>
      </c>
      <c r="AW584">
        <v>100</v>
      </c>
      <c r="AX584">
        <v>42358752</v>
      </c>
      <c r="AY584" s="73">
        <v>45367.25</v>
      </c>
      <c r="AZ584" t="s">
        <v>226</v>
      </c>
      <c r="BA584" t="s">
        <v>419</v>
      </c>
      <c r="BB584" t="s">
        <v>235</v>
      </c>
      <c r="BC584" t="s">
        <v>229</v>
      </c>
      <c r="BD584" t="s">
        <v>108</v>
      </c>
      <c r="BI584" t="s">
        <v>233</v>
      </c>
      <c r="BJ584" t="s">
        <v>0</v>
      </c>
      <c r="BK584">
        <v>42358742</v>
      </c>
      <c r="BN584" t="s">
        <v>104</v>
      </c>
      <c r="BO584">
        <v>42358748</v>
      </c>
      <c r="BR584">
        <v>100</v>
      </c>
      <c r="BS584">
        <v>42358752</v>
      </c>
      <c r="BT584" s="73">
        <v>45367.25</v>
      </c>
      <c r="BU584" t="s">
        <v>226</v>
      </c>
      <c r="BV584" t="s">
        <v>419</v>
      </c>
      <c r="BW584" t="s">
        <v>235</v>
      </c>
      <c r="CH584" t="s">
        <v>229</v>
      </c>
      <c r="CI584" t="s">
        <v>108</v>
      </c>
      <c r="CJ584" t="s">
        <v>226</v>
      </c>
      <c r="CK584" t="s">
        <v>419</v>
      </c>
      <c r="CL584" t="s">
        <v>235</v>
      </c>
      <c r="CM584" t="s">
        <v>236</v>
      </c>
      <c r="CN584" t="s">
        <v>104</v>
      </c>
      <c r="CO584">
        <v>100</v>
      </c>
      <c r="CP584">
        <v>42358752</v>
      </c>
      <c r="CQ584" s="73">
        <v>45367.25</v>
      </c>
      <c r="CR584" t="s">
        <v>229</v>
      </c>
      <c r="CS584" t="s">
        <v>108</v>
      </c>
      <c r="CU584" t="s">
        <v>225</v>
      </c>
    </row>
    <row r="585" spans="1:99">
      <c r="A585" t="s">
        <v>113</v>
      </c>
      <c r="B585" t="s">
        <v>90</v>
      </c>
      <c r="J585" t="s">
        <v>225</v>
      </c>
      <c r="K585" t="s">
        <v>225</v>
      </c>
      <c r="M585" s="73">
        <v>45366.923622685186</v>
      </c>
      <c r="N585">
        <v>42343749</v>
      </c>
      <c r="O585">
        <v>-250</v>
      </c>
      <c r="P585" t="s">
        <v>115</v>
      </c>
      <c r="Q585">
        <v>-250</v>
      </c>
      <c r="R585" t="s">
        <v>115</v>
      </c>
      <c r="U585" t="s">
        <v>226</v>
      </c>
      <c r="V585" t="s">
        <v>420</v>
      </c>
      <c r="W585" t="s">
        <v>228</v>
      </c>
      <c r="X585" t="s">
        <v>229</v>
      </c>
      <c r="Y585" t="s">
        <v>113</v>
      </c>
      <c r="AD585" t="s">
        <v>115</v>
      </c>
      <c r="AE585">
        <v>-250</v>
      </c>
      <c r="AF585">
        <v>42343749</v>
      </c>
      <c r="AG585" s="73">
        <v>45366.923622685186</v>
      </c>
      <c r="AH585" t="s">
        <v>226</v>
      </c>
      <c r="AI585" t="s">
        <v>420</v>
      </c>
      <c r="AJ585" t="s">
        <v>228</v>
      </c>
      <c r="AK585" t="s">
        <v>229</v>
      </c>
      <c r="AL585" t="s">
        <v>113</v>
      </c>
      <c r="AP585" t="s">
        <v>230</v>
      </c>
      <c r="AQ585" t="s">
        <v>231</v>
      </c>
      <c r="AT585" t="s">
        <v>232</v>
      </c>
      <c r="AU585">
        <v>-99</v>
      </c>
      <c r="AV585" t="s">
        <v>115</v>
      </c>
      <c r="AW585">
        <v>-250</v>
      </c>
      <c r="AX585">
        <v>42343749</v>
      </c>
      <c r="AY585" s="73">
        <v>45366.923622685186</v>
      </c>
      <c r="AZ585" t="s">
        <v>226</v>
      </c>
      <c r="BA585" t="s">
        <v>420</v>
      </c>
      <c r="BB585" t="s">
        <v>228</v>
      </c>
      <c r="BC585" t="s">
        <v>229</v>
      </c>
      <c r="BD585" t="s">
        <v>113</v>
      </c>
      <c r="BI585" t="s">
        <v>233</v>
      </c>
      <c r="BJ585" t="s">
        <v>0</v>
      </c>
      <c r="BK585">
        <v>42343697</v>
      </c>
      <c r="BN585" t="s">
        <v>115</v>
      </c>
      <c r="BR585">
        <v>-250</v>
      </c>
      <c r="BS585">
        <v>42343749</v>
      </c>
      <c r="BT585" s="73">
        <v>45366.923622685186</v>
      </c>
      <c r="BU585" t="s">
        <v>226</v>
      </c>
      <c r="BV585" t="s">
        <v>420</v>
      </c>
      <c r="BW585" t="s">
        <v>228</v>
      </c>
      <c r="CH585" t="s">
        <v>229</v>
      </c>
      <c r="CI585" t="s">
        <v>113</v>
      </c>
      <c r="CJ585" t="s">
        <v>226</v>
      </c>
      <c r="CK585" t="s">
        <v>420</v>
      </c>
      <c r="CL585" t="s">
        <v>228</v>
      </c>
      <c r="CM585" t="s">
        <v>234</v>
      </c>
      <c r="CN585" t="s">
        <v>115</v>
      </c>
      <c r="CO585">
        <v>-250</v>
      </c>
      <c r="CP585">
        <v>42343749</v>
      </c>
      <c r="CQ585" s="73">
        <v>45366.923622685186</v>
      </c>
      <c r="CR585" t="s">
        <v>229</v>
      </c>
      <c r="CS585" t="s">
        <v>113</v>
      </c>
      <c r="CU585" t="s">
        <v>225</v>
      </c>
    </row>
    <row r="586" spans="1:99">
      <c r="A586" t="s">
        <v>129</v>
      </c>
      <c r="B586" t="s">
        <v>90</v>
      </c>
      <c r="J586" t="s">
        <v>225</v>
      </c>
      <c r="K586" t="s">
        <v>225</v>
      </c>
      <c r="M586" s="73">
        <v>45366.923622685186</v>
      </c>
      <c r="N586">
        <v>42343748</v>
      </c>
      <c r="O586">
        <v>-4.8</v>
      </c>
      <c r="P586" t="s">
        <v>73</v>
      </c>
      <c r="Q586">
        <v>-4.8</v>
      </c>
      <c r="R586" t="s">
        <v>73</v>
      </c>
      <c r="U586" t="s">
        <v>226</v>
      </c>
      <c r="V586" t="s">
        <v>420</v>
      </c>
      <c r="W586" t="s">
        <v>228</v>
      </c>
      <c r="X586" t="s">
        <v>229</v>
      </c>
      <c r="Y586" t="s">
        <v>129</v>
      </c>
      <c r="AD586" t="s">
        <v>73</v>
      </c>
      <c r="AE586">
        <v>-4.8</v>
      </c>
      <c r="AF586">
        <v>42343748</v>
      </c>
      <c r="AG586" s="73">
        <v>45366.923622685186</v>
      </c>
      <c r="AH586" t="s">
        <v>226</v>
      </c>
      <c r="AI586" t="s">
        <v>420</v>
      </c>
      <c r="AJ586" t="s">
        <v>228</v>
      </c>
      <c r="AK586" t="s">
        <v>229</v>
      </c>
      <c r="AL586" t="s">
        <v>129</v>
      </c>
      <c r="AP586" t="s">
        <v>230</v>
      </c>
      <c r="AQ586" t="s">
        <v>231</v>
      </c>
      <c r="AT586" t="s">
        <v>232</v>
      </c>
      <c r="AU586">
        <v>-99</v>
      </c>
      <c r="AV586" t="s">
        <v>73</v>
      </c>
      <c r="AW586">
        <v>-4.8</v>
      </c>
      <c r="AX586">
        <v>42343748</v>
      </c>
      <c r="AY586" s="73">
        <v>45366.923622685186</v>
      </c>
      <c r="AZ586" t="s">
        <v>226</v>
      </c>
      <c r="BA586" t="s">
        <v>420</v>
      </c>
      <c r="BB586" t="s">
        <v>228</v>
      </c>
      <c r="BC586" t="s">
        <v>229</v>
      </c>
      <c r="BD586" t="s">
        <v>129</v>
      </c>
      <c r="BI586" t="s">
        <v>233</v>
      </c>
      <c r="BJ586" t="s">
        <v>0</v>
      </c>
      <c r="BK586">
        <v>42343697</v>
      </c>
      <c r="BN586" t="s">
        <v>73</v>
      </c>
      <c r="BR586">
        <v>-4.8</v>
      </c>
      <c r="BS586">
        <v>42343748</v>
      </c>
      <c r="BT586" s="73">
        <v>45366.923622685186</v>
      </c>
      <c r="BU586" t="s">
        <v>226</v>
      </c>
      <c r="BV586" t="s">
        <v>420</v>
      </c>
      <c r="BW586" t="s">
        <v>228</v>
      </c>
      <c r="CH586" t="s">
        <v>229</v>
      </c>
      <c r="CI586" t="s">
        <v>129</v>
      </c>
      <c r="CJ586" t="s">
        <v>226</v>
      </c>
      <c r="CK586" t="s">
        <v>420</v>
      </c>
      <c r="CL586" t="s">
        <v>228</v>
      </c>
      <c r="CM586" t="s">
        <v>234</v>
      </c>
      <c r="CN586" t="s">
        <v>73</v>
      </c>
      <c r="CO586">
        <v>-4.8</v>
      </c>
      <c r="CP586">
        <v>42343748</v>
      </c>
      <c r="CQ586" s="73">
        <v>45366.923622685186</v>
      </c>
      <c r="CR586" t="s">
        <v>229</v>
      </c>
      <c r="CS586" t="s">
        <v>129</v>
      </c>
      <c r="CU586" t="s">
        <v>225</v>
      </c>
    </row>
    <row r="587" spans="1:99">
      <c r="A587" t="s">
        <v>118</v>
      </c>
      <c r="B587" t="s">
        <v>90</v>
      </c>
      <c r="J587" t="s">
        <v>225</v>
      </c>
      <c r="K587" t="s">
        <v>225</v>
      </c>
      <c r="M587" s="73">
        <v>45366.923622685186</v>
      </c>
      <c r="N587">
        <v>42343747</v>
      </c>
      <c r="O587">
        <v>-55</v>
      </c>
      <c r="P587" t="s">
        <v>120</v>
      </c>
      <c r="Q587">
        <v>-55</v>
      </c>
      <c r="R587" t="s">
        <v>120</v>
      </c>
      <c r="U587" t="s">
        <v>226</v>
      </c>
      <c r="V587" t="s">
        <v>420</v>
      </c>
      <c r="W587" t="s">
        <v>228</v>
      </c>
      <c r="X587" t="s">
        <v>229</v>
      </c>
      <c r="Y587" t="s">
        <v>118</v>
      </c>
      <c r="AD587" t="s">
        <v>120</v>
      </c>
      <c r="AE587">
        <v>-55</v>
      </c>
      <c r="AF587">
        <v>42343747</v>
      </c>
      <c r="AG587" s="73">
        <v>45366.923622685186</v>
      </c>
      <c r="AH587" t="s">
        <v>226</v>
      </c>
      <c r="AI587" t="s">
        <v>420</v>
      </c>
      <c r="AJ587" t="s">
        <v>228</v>
      </c>
      <c r="AK587" t="s">
        <v>229</v>
      </c>
      <c r="AL587" t="s">
        <v>118</v>
      </c>
      <c r="AP587" t="s">
        <v>230</v>
      </c>
      <c r="AQ587" t="s">
        <v>231</v>
      </c>
      <c r="AT587" t="s">
        <v>232</v>
      </c>
      <c r="AU587">
        <v>-99</v>
      </c>
      <c r="AV587" t="s">
        <v>120</v>
      </c>
      <c r="AW587">
        <v>-55</v>
      </c>
      <c r="AX587">
        <v>42343747</v>
      </c>
      <c r="AY587" s="73">
        <v>45366.923622685186</v>
      </c>
      <c r="AZ587" t="s">
        <v>226</v>
      </c>
      <c r="BA587" t="s">
        <v>420</v>
      </c>
      <c r="BB587" t="s">
        <v>228</v>
      </c>
      <c r="BC587" t="s">
        <v>229</v>
      </c>
      <c r="BD587" t="s">
        <v>118</v>
      </c>
      <c r="BI587" t="s">
        <v>233</v>
      </c>
      <c r="BJ587" t="s">
        <v>0</v>
      </c>
      <c r="BK587">
        <v>42343697</v>
      </c>
      <c r="BN587" t="s">
        <v>120</v>
      </c>
      <c r="BR587">
        <v>-55</v>
      </c>
      <c r="BS587">
        <v>42343747</v>
      </c>
      <c r="BT587" s="73">
        <v>45366.923622685186</v>
      </c>
      <c r="BU587" t="s">
        <v>226</v>
      </c>
      <c r="BV587" t="s">
        <v>420</v>
      </c>
      <c r="BW587" t="s">
        <v>228</v>
      </c>
      <c r="CH587" t="s">
        <v>229</v>
      </c>
      <c r="CI587" t="s">
        <v>118</v>
      </c>
      <c r="CJ587" t="s">
        <v>226</v>
      </c>
      <c r="CK587" t="s">
        <v>420</v>
      </c>
      <c r="CL587" t="s">
        <v>228</v>
      </c>
      <c r="CM587" t="s">
        <v>234</v>
      </c>
      <c r="CN587" t="s">
        <v>120</v>
      </c>
      <c r="CO587">
        <v>-55</v>
      </c>
      <c r="CP587">
        <v>42343747</v>
      </c>
      <c r="CQ587" s="73">
        <v>45366.923622685186</v>
      </c>
      <c r="CR587" t="s">
        <v>229</v>
      </c>
      <c r="CS587" t="s">
        <v>118</v>
      </c>
      <c r="CU587" t="s">
        <v>225</v>
      </c>
    </row>
    <row r="588" spans="1:99">
      <c r="A588" t="s">
        <v>99</v>
      </c>
      <c r="B588" t="s">
        <v>98</v>
      </c>
      <c r="J588" t="s">
        <v>225</v>
      </c>
      <c r="K588" t="s">
        <v>225</v>
      </c>
      <c r="M588" s="73">
        <v>45366.923622685186</v>
      </c>
      <c r="N588">
        <v>42343672</v>
      </c>
      <c r="O588">
        <v>1175.33</v>
      </c>
      <c r="P588" t="s">
        <v>73</v>
      </c>
      <c r="Q588">
        <v>1175.33</v>
      </c>
      <c r="R588" t="s">
        <v>73</v>
      </c>
      <c r="U588" t="s">
        <v>226</v>
      </c>
      <c r="V588" t="s">
        <v>420</v>
      </c>
      <c r="W588" t="s">
        <v>235</v>
      </c>
      <c r="X588" t="s">
        <v>229</v>
      </c>
      <c r="Y588" t="s">
        <v>99</v>
      </c>
      <c r="AD588" t="s">
        <v>73</v>
      </c>
      <c r="AE588">
        <v>1175.33</v>
      </c>
      <c r="AF588">
        <v>42343672</v>
      </c>
      <c r="AG588" s="73">
        <v>45366.923622685186</v>
      </c>
      <c r="AH588" t="s">
        <v>226</v>
      </c>
      <c r="AI588" t="s">
        <v>420</v>
      </c>
      <c r="AJ588" t="s">
        <v>235</v>
      </c>
      <c r="AK588" t="s">
        <v>229</v>
      </c>
      <c r="AL588" t="s">
        <v>99</v>
      </c>
      <c r="AP588" t="s">
        <v>230</v>
      </c>
      <c r="AQ588" t="s">
        <v>231</v>
      </c>
      <c r="AT588" t="s">
        <v>232</v>
      </c>
      <c r="AU588">
        <v>-99</v>
      </c>
      <c r="AV588" t="s">
        <v>73</v>
      </c>
      <c r="AW588">
        <v>1175.33</v>
      </c>
      <c r="AX588">
        <v>42343672</v>
      </c>
      <c r="AY588" s="73">
        <v>45366.923622685186</v>
      </c>
      <c r="AZ588" t="s">
        <v>226</v>
      </c>
      <c r="BA588" t="s">
        <v>420</v>
      </c>
      <c r="BB588" t="s">
        <v>235</v>
      </c>
      <c r="BC588" t="s">
        <v>229</v>
      </c>
      <c r="BD588" t="s">
        <v>99</v>
      </c>
      <c r="BI588" t="s">
        <v>233</v>
      </c>
      <c r="BJ588" t="s">
        <v>0</v>
      </c>
      <c r="BK588">
        <v>42343668</v>
      </c>
      <c r="BN588" t="s">
        <v>73</v>
      </c>
      <c r="BO588">
        <v>42343670</v>
      </c>
      <c r="BR588">
        <v>1175.33</v>
      </c>
      <c r="BS588">
        <v>42343672</v>
      </c>
      <c r="BT588" s="73">
        <v>45366.923622685186</v>
      </c>
      <c r="BU588" t="s">
        <v>226</v>
      </c>
      <c r="BV588" t="s">
        <v>420</v>
      </c>
      <c r="BW588" t="s">
        <v>235</v>
      </c>
      <c r="CH588" t="s">
        <v>229</v>
      </c>
      <c r="CI588" t="s">
        <v>99</v>
      </c>
      <c r="CJ588" t="s">
        <v>226</v>
      </c>
      <c r="CK588" t="s">
        <v>420</v>
      </c>
      <c r="CL588" t="s">
        <v>235</v>
      </c>
      <c r="CM588" t="s">
        <v>236</v>
      </c>
      <c r="CN588" t="s">
        <v>73</v>
      </c>
      <c r="CO588">
        <v>1175.33</v>
      </c>
      <c r="CP588">
        <v>42343672</v>
      </c>
      <c r="CQ588" s="73">
        <v>45366.923622685186</v>
      </c>
      <c r="CR588" t="s">
        <v>229</v>
      </c>
      <c r="CS588" t="s">
        <v>99</v>
      </c>
      <c r="CU588" t="s">
        <v>225</v>
      </c>
    </row>
    <row r="589" spans="1:99">
      <c r="A589" t="s">
        <v>71</v>
      </c>
      <c r="B589" t="s">
        <v>77</v>
      </c>
      <c r="J589" t="s">
        <v>225</v>
      </c>
      <c r="K589" t="s">
        <v>225</v>
      </c>
      <c r="M589" s="73">
        <v>45366.923622685186</v>
      </c>
      <c r="N589">
        <v>42343665</v>
      </c>
      <c r="O589">
        <v>0.71</v>
      </c>
      <c r="P589" t="s">
        <v>73</v>
      </c>
      <c r="Q589">
        <v>0.71</v>
      </c>
      <c r="R589" t="s">
        <v>73</v>
      </c>
      <c r="U589" t="s">
        <v>226</v>
      </c>
      <c r="V589" t="s">
        <v>420</v>
      </c>
      <c r="W589" t="s">
        <v>237</v>
      </c>
      <c r="X589" t="s">
        <v>229</v>
      </c>
      <c r="Y589" t="s">
        <v>71</v>
      </c>
      <c r="AD589" t="s">
        <v>73</v>
      </c>
      <c r="AE589">
        <v>0.71</v>
      </c>
      <c r="AF589">
        <v>42343665</v>
      </c>
      <c r="AG589" s="73">
        <v>45366.923622685186</v>
      </c>
      <c r="AH589" t="s">
        <v>226</v>
      </c>
      <c r="AI589" t="s">
        <v>420</v>
      </c>
      <c r="AJ589" t="s">
        <v>237</v>
      </c>
      <c r="AK589" t="s">
        <v>229</v>
      </c>
      <c r="AL589" t="s">
        <v>71</v>
      </c>
      <c r="AP589" t="s">
        <v>230</v>
      </c>
      <c r="AQ589" t="s">
        <v>231</v>
      </c>
      <c r="AT589" t="s">
        <v>232</v>
      </c>
      <c r="AU589">
        <v>-99</v>
      </c>
      <c r="AV589" t="s">
        <v>73</v>
      </c>
      <c r="AW589">
        <v>0.71</v>
      </c>
      <c r="AX589">
        <v>42343665</v>
      </c>
      <c r="AY589" s="73">
        <v>45366.923622685186</v>
      </c>
      <c r="AZ589" t="s">
        <v>226</v>
      </c>
      <c r="BA589" t="s">
        <v>420</v>
      </c>
      <c r="BB589" t="s">
        <v>237</v>
      </c>
      <c r="BC589" t="s">
        <v>229</v>
      </c>
      <c r="BD589" t="s">
        <v>71</v>
      </c>
      <c r="BI589" t="s">
        <v>233</v>
      </c>
      <c r="BJ589" t="s">
        <v>0</v>
      </c>
      <c r="BK589">
        <v>42343661</v>
      </c>
      <c r="BN589" t="s">
        <v>73</v>
      </c>
      <c r="BO589">
        <v>42343663</v>
      </c>
      <c r="BR589">
        <v>0.71</v>
      </c>
      <c r="BS589">
        <v>42343665</v>
      </c>
      <c r="BT589" s="73">
        <v>45366.923622685186</v>
      </c>
      <c r="BU589" t="s">
        <v>226</v>
      </c>
      <c r="BV589" t="s">
        <v>420</v>
      </c>
      <c r="BW589" t="s">
        <v>237</v>
      </c>
      <c r="CH589" t="s">
        <v>229</v>
      </c>
      <c r="CI589" t="s">
        <v>71</v>
      </c>
      <c r="CJ589" t="s">
        <v>226</v>
      </c>
      <c r="CK589" t="s">
        <v>420</v>
      </c>
      <c r="CL589" t="s">
        <v>237</v>
      </c>
      <c r="CM589" t="s">
        <v>236</v>
      </c>
      <c r="CN589" t="s">
        <v>73</v>
      </c>
      <c r="CO589">
        <v>0.71</v>
      </c>
      <c r="CP589">
        <v>42343665</v>
      </c>
      <c r="CQ589" s="73">
        <v>45366.923622685186</v>
      </c>
      <c r="CR589" t="s">
        <v>229</v>
      </c>
      <c r="CS589" t="s">
        <v>71</v>
      </c>
      <c r="CU589" t="s">
        <v>225</v>
      </c>
    </row>
    <row r="590" spans="1:99">
      <c r="A590" t="s">
        <v>87</v>
      </c>
      <c r="B590" t="s">
        <v>90</v>
      </c>
      <c r="J590" t="s">
        <v>225</v>
      </c>
      <c r="K590" t="s">
        <v>225</v>
      </c>
      <c r="M590" s="73">
        <v>45366.923622685186</v>
      </c>
      <c r="N590">
        <v>42343658</v>
      </c>
      <c r="O590">
        <v>-48.8</v>
      </c>
      <c r="P590" t="s">
        <v>73</v>
      </c>
      <c r="Q590">
        <v>-48.8</v>
      </c>
      <c r="R590" t="s">
        <v>73</v>
      </c>
      <c r="U590" t="s">
        <v>226</v>
      </c>
      <c r="V590" t="s">
        <v>420</v>
      </c>
      <c r="W590" t="s">
        <v>228</v>
      </c>
      <c r="X590" t="s">
        <v>229</v>
      </c>
      <c r="Y590" t="s">
        <v>87</v>
      </c>
      <c r="AD590" t="s">
        <v>73</v>
      </c>
      <c r="AE590">
        <v>-48.8</v>
      </c>
      <c r="AF590">
        <v>42343658</v>
      </c>
      <c r="AG590" s="73">
        <v>45366.923622685186</v>
      </c>
      <c r="AH590" t="s">
        <v>226</v>
      </c>
      <c r="AI590" t="s">
        <v>420</v>
      </c>
      <c r="AJ590" t="s">
        <v>228</v>
      </c>
      <c r="AK590" t="s">
        <v>229</v>
      </c>
      <c r="AL590" t="s">
        <v>87</v>
      </c>
      <c r="AP590" t="s">
        <v>230</v>
      </c>
      <c r="AQ590" t="s">
        <v>231</v>
      </c>
      <c r="AT590" t="s">
        <v>232</v>
      </c>
      <c r="AU590">
        <v>-99</v>
      </c>
      <c r="AV590" t="s">
        <v>73</v>
      </c>
      <c r="AW590">
        <v>-48.8</v>
      </c>
      <c r="AX590">
        <v>42343658</v>
      </c>
      <c r="AY590" s="73">
        <v>45366.923622685186</v>
      </c>
      <c r="AZ590" t="s">
        <v>226</v>
      </c>
      <c r="BA590" t="s">
        <v>420</v>
      </c>
      <c r="BB590" t="s">
        <v>228</v>
      </c>
      <c r="BC590" t="s">
        <v>229</v>
      </c>
      <c r="BD590" t="s">
        <v>87</v>
      </c>
      <c r="BI590" t="s">
        <v>233</v>
      </c>
      <c r="BJ590" t="s">
        <v>0</v>
      </c>
      <c r="BK590">
        <v>42343654</v>
      </c>
      <c r="BN590" t="s">
        <v>73</v>
      </c>
      <c r="BR590">
        <v>-48.8</v>
      </c>
      <c r="BS590">
        <v>42343658</v>
      </c>
      <c r="BT590" s="73">
        <v>45366.923622685186</v>
      </c>
      <c r="BU590" t="s">
        <v>226</v>
      </c>
      <c r="BV590" t="s">
        <v>420</v>
      </c>
      <c r="BW590" t="s">
        <v>228</v>
      </c>
      <c r="CH590" t="s">
        <v>229</v>
      </c>
      <c r="CI590" t="s">
        <v>87</v>
      </c>
      <c r="CJ590" t="s">
        <v>226</v>
      </c>
      <c r="CK590" t="s">
        <v>420</v>
      </c>
      <c r="CL590" t="s">
        <v>228</v>
      </c>
      <c r="CM590" t="s">
        <v>234</v>
      </c>
      <c r="CN590" t="s">
        <v>73</v>
      </c>
      <c r="CO590">
        <v>-48.8</v>
      </c>
      <c r="CP590">
        <v>42343658</v>
      </c>
      <c r="CQ590" s="73">
        <v>45366.923622685186</v>
      </c>
      <c r="CR590" t="s">
        <v>229</v>
      </c>
      <c r="CS590" t="s">
        <v>87</v>
      </c>
      <c r="CU590" t="s">
        <v>225</v>
      </c>
    </row>
    <row r="591" spans="1:99">
      <c r="A591" t="s">
        <v>127</v>
      </c>
      <c r="B591" t="s">
        <v>90</v>
      </c>
      <c r="J591" t="s">
        <v>225</v>
      </c>
      <c r="K591" t="s">
        <v>225</v>
      </c>
      <c r="M591" s="73">
        <v>45366.923622685186</v>
      </c>
      <c r="N591">
        <v>42343651</v>
      </c>
      <c r="O591">
        <v>-549.4</v>
      </c>
      <c r="P591" t="s">
        <v>73</v>
      </c>
      <c r="Q591">
        <v>-549.4</v>
      </c>
      <c r="R591" t="s">
        <v>73</v>
      </c>
      <c r="U591" t="s">
        <v>226</v>
      </c>
      <c r="V591" t="s">
        <v>420</v>
      </c>
      <c r="W591" t="s">
        <v>228</v>
      </c>
      <c r="X591" t="s">
        <v>229</v>
      </c>
      <c r="Y591" t="s">
        <v>127</v>
      </c>
      <c r="AD591" t="s">
        <v>73</v>
      </c>
      <c r="AE591">
        <v>-549.4</v>
      </c>
      <c r="AF591">
        <v>42343651</v>
      </c>
      <c r="AG591" s="73">
        <v>45366.923622685186</v>
      </c>
      <c r="AH591" t="s">
        <v>226</v>
      </c>
      <c r="AI591" t="s">
        <v>420</v>
      </c>
      <c r="AJ591" t="s">
        <v>228</v>
      </c>
      <c r="AK591" t="s">
        <v>229</v>
      </c>
      <c r="AL591" t="s">
        <v>127</v>
      </c>
      <c r="AP591" t="s">
        <v>230</v>
      </c>
      <c r="AQ591" t="s">
        <v>231</v>
      </c>
      <c r="AT591" t="s">
        <v>232</v>
      </c>
      <c r="AU591">
        <v>-99</v>
      </c>
      <c r="AV591" t="s">
        <v>73</v>
      </c>
      <c r="AW591">
        <v>-549.4</v>
      </c>
      <c r="AX591">
        <v>42343651</v>
      </c>
      <c r="AY591" s="73">
        <v>45366.923622685186</v>
      </c>
      <c r="AZ591" t="s">
        <v>226</v>
      </c>
      <c r="BA591" t="s">
        <v>420</v>
      </c>
      <c r="BB591" t="s">
        <v>228</v>
      </c>
      <c r="BC591" t="s">
        <v>229</v>
      </c>
      <c r="BD591" t="s">
        <v>127</v>
      </c>
      <c r="BI591" t="s">
        <v>233</v>
      </c>
      <c r="BJ591" t="s">
        <v>0</v>
      </c>
      <c r="BK591">
        <v>42343647</v>
      </c>
      <c r="BN591" t="s">
        <v>73</v>
      </c>
      <c r="BR591">
        <v>-549.4</v>
      </c>
      <c r="BS591">
        <v>42343651</v>
      </c>
      <c r="BT591" s="73">
        <v>45366.923622685186</v>
      </c>
      <c r="BU591" t="s">
        <v>226</v>
      </c>
      <c r="BV591" t="s">
        <v>420</v>
      </c>
      <c r="BW591" t="s">
        <v>228</v>
      </c>
      <c r="CH591" t="s">
        <v>229</v>
      </c>
      <c r="CI591" t="s">
        <v>127</v>
      </c>
      <c r="CJ591" t="s">
        <v>226</v>
      </c>
      <c r="CK591" t="s">
        <v>420</v>
      </c>
      <c r="CL591" t="s">
        <v>228</v>
      </c>
      <c r="CM591" t="s">
        <v>234</v>
      </c>
      <c r="CN591" t="s">
        <v>73</v>
      </c>
      <c r="CO591">
        <v>-549.4</v>
      </c>
      <c r="CP591">
        <v>42343651</v>
      </c>
      <c r="CQ591" s="73">
        <v>45366.923622685186</v>
      </c>
      <c r="CR591" t="s">
        <v>229</v>
      </c>
      <c r="CS591" t="s">
        <v>127</v>
      </c>
      <c r="CU591" t="s">
        <v>225</v>
      </c>
    </row>
    <row r="592" spans="1:99">
      <c r="A592" t="s">
        <v>131</v>
      </c>
      <c r="B592" t="s">
        <v>90</v>
      </c>
      <c r="J592" t="s">
        <v>225</v>
      </c>
      <c r="K592" t="s">
        <v>225</v>
      </c>
      <c r="M592" s="73">
        <v>45366.923622685186</v>
      </c>
      <c r="N592">
        <v>42343644</v>
      </c>
      <c r="O592">
        <v>-108.9</v>
      </c>
      <c r="P592" t="s">
        <v>73</v>
      </c>
      <c r="Q592">
        <v>-108.9</v>
      </c>
      <c r="R592" t="s">
        <v>73</v>
      </c>
      <c r="U592" t="s">
        <v>226</v>
      </c>
      <c r="V592" t="s">
        <v>420</v>
      </c>
      <c r="W592" t="s">
        <v>228</v>
      </c>
      <c r="X592" t="s">
        <v>229</v>
      </c>
      <c r="Y592" t="s">
        <v>131</v>
      </c>
      <c r="AD592" t="s">
        <v>73</v>
      </c>
      <c r="AE592">
        <v>-108.9</v>
      </c>
      <c r="AF592">
        <v>42343644</v>
      </c>
      <c r="AG592" s="73">
        <v>45366.923622685186</v>
      </c>
      <c r="AH592" t="s">
        <v>226</v>
      </c>
      <c r="AI592" t="s">
        <v>420</v>
      </c>
      <c r="AJ592" t="s">
        <v>228</v>
      </c>
      <c r="AK592" t="s">
        <v>229</v>
      </c>
      <c r="AL592" t="s">
        <v>131</v>
      </c>
      <c r="AP592" t="s">
        <v>230</v>
      </c>
      <c r="AQ592" t="s">
        <v>231</v>
      </c>
      <c r="AT592" t="s">
        <v>232</v>
      </c>
      <c r="AU592">
        <v>-99</v>
      </c>
      <c r="AV592" t="s">
        <v>73</v>
      </c>
      <c r="AW592">
        <v>-108.9</v>
      </c>
      <c r="AX592">
        <v>42343644</v>
      </c>
      <c r="AY592" s="73">
        <v>45366.923622685186</v>
      </c>
      <c r="AZ592" t="s">
        <v>226</v>
      </c>
      <c r="BA592" t="s">
        <v>420</v>
      </c>
      <c r="BB592" t="s">
        <v>228</v>
      </c>
      <c r="BC592" t="s">
        <v>229</v>
      </c>
      <c r="BD592" t="s">
        <v>131</v>
      </c>
      <c r="BI592" t="s">
        <v>233</v>
      </c>
      <c r="BJ592" t="s">
        <v>0</v>
      </c>
      <c r="BK592">
        <v>42343640</v>
      </c>
      <c r="BN592" t="s">
        <v>73</v>
      </c>
      <c r="BR592">
        <v>-108.9</v>
      </c>
      <c r="BS592">
        <v>42343644</v>
      </c>
      <c r="BT592" s="73">
        <v>45366.923622685186</v>
      </c>
      <c r="BU592" t="s">
        <v>226</v>
      </c>
      <c r="BV592" t="s">
        <v>420</v>
      </c>
      <c r="BW592" t="s">
        <v>228</v>
      </c>
      <c r="CH592" t="s">
        <v>229</v>
      </c>
      <c r="CI592" t="s">
        <v>131</v>
      </c>
      <c r="CJ592" t="s">
        <v>226</v>
      </c>
      <c r="CK592" t="s">
        <v>420</v>
      </c>
      <c r="CL592" t="s">
        <v>228</v>
      </c>
      <c r="CM592" t="s">
        <v>234</v>
      </c>
      <c r="CN592" t="s">
        <v>73</v>
      </c>
      <c r="CO592">
        <v>-108.9</v>
      </c>
      <c r="CP592">
        <v>42343644</v>
      </c>
      <c r="CQ592" s="73">
        <v>45366.923622685186</v>
      </c>
      <c r="CR592" t="s">
        <v>229</v>
      </c>
      <c r="CS592" t="s">
        <v>131</v>
      </c>
      <c r="CU592" t="s">
        <v>225</v>
      </c>
    </row>
    <row r="593" spans="1:99">
      <c r="A593" t="s">
        <v>133</v>
      </c>
      <c r="B593" t="s">
        <v>90</v>
      </c>
      <c r="J593" t="s">
        <v>225</v>
      </c>
      <c r="K593" t="s">
        <v>225</v>
      </c>
      <c r="M593" s="73">
        <v>45366.923622685186</v>
      </c>
      <c r="N593">
        <v>42343637</v>
      </c>
      <c r="O593">
        <v>-511.7</v>
      </c>
      <c r="P593" t="s">
        <v>73</v>
      </c>
      <c r="Q593">
        <v>-511.7</v>
      </c>
      <c r="R593" t="s">
        <v>73</v>
      </c>
      <c r="U593" t="s">
        <v>226</v>
      </c>
      <c r="V593" t="s">
        <v>420</v>
      </c>
      <c r="W593" t="s">
        <v>228</v>
      </c>
      <c r="X593" t="s">
        <v>229</v>
      </c>
      <c r="Y593" t="s">
        <v>133</v>
      </c>
      <c r="AD593" t="s">
        <v>73</v>
      </c>
      <c r="AE593">
        <v>-511.7</v>
      </c>
      <c r="AF593">
        <v>42343637</v>
      </c>
      <c r="AG593" s="73">
        <v>45366.923622685186</v>
      </c>
      <c r="AH593" t="s">
        <v>226</v>
      </c>
      <c r="AI593" t="s">
        <v>420</v>
      </c>
      <c r="AJ593" t="s">
        <v>228</v>
      </c>
      <c r="AK593" t="s">
        <v>229</v>
      </c>
      <c r="AL593" t="s">
        <v>133</v>
      </c>
      <c r="AP593" t="s">
        <v>230</v>
      </c>
      <c r="AQ593" t="s">
        <v>231</v>
      </c>
      <c r="AT593" t="s">
        <v>232</v>
      </c>
      <c r="AU593">
        <v>-99</v>
      </c>
      <c r="AV593" t="s">
        <v>73</v>
      </c>
      <c r="AW593">
        <v>-511.7</v>
      </c>
      <c r="AX593">
        <v>42343637</v>
      </c>
      <c r="AY593" s="73">
        <v>45366.923622685186</v>
      </c>
      <c r="AZ593" t="s">
        <v>226</v>
      </c>
      <c r="BA593" t="s">
        <v>420</v>
      </c>
      <c r="BB593" t="s">
        <v>228</v>
      </c>
      <c r="BC593" t="s">
        <v>229</v>
      </c>
      <c r="BD593" t="s">
        <v>133</v>
      </c>
      <c r="BI593" t="s">
        <v>233</v>
      </c>
      <c r="BJ593" t="s">
        <v>0</v>
      </c>
      <c r="BK593">
        <v>42343633</v>
      </c>
      <c r="BN593" t="s">
        <v>73</v>
      </c>
      <c r="BR593">
        <v>-511.7</v>
      </c>
      <c r="BS593">
        <v>42343637</v>
      </c>
      <c r="BT593" s="73">
        <v>45366.923622685186</v>
      </c>
      <c r="BU593" t="s">
        <v>226</v>
      </c>
      <c r="BV593" t="s">
        <v>420</v>
      </c>
      <c r="BW593" t="s">
        <v>228</v>
      </c>
      <c r="CH593" t="s">
        <v>229</v>
      </c>
      <c r="CI593" t="s">
        <v>133</v>
      </c>
      <c r="CJ593" t="s">
        <v>226</v>
      </c>
      <c r="CK593" t="s">
        <v>420</v>
      </c>
      <c r="CL593" t="s">
        <v>228</v>
      </c>
      <c r="CM593" t="s">
        <v>234</v>
      </c>
      <c r="CN593" t="s">
        <v>73</v>
      </c>
      <c r="CO593">
        <v>-511.7</v>
      </c>
      <c r="CP593">
        <v>42343637</v>
      </c>
      <c r="CQ593" s="73">
        <v>45366.923622685186</v>
      </c>
      <c r="CR593" t="s">
        <v>229</v>
      </c>
      <c r="CS593" t="s">
        <v>133</v>
      </c>
      <c r="CU593" t="s">
        <v>225</v>
      </c>
    </row>
    <row r="594" spans="1:99">
      <c r="A594" t="s">
        <v>42</v>
      </c>
      <c r="B594" t="s">
        <v>92</v>
      </c>
      <c r="J594" t="s">
        <v>225</v>
      </c>
      <c r="K594" t="s">
        <v>225</v>
      </c>
      <c r="M594" s="73">
        <v>45366.583333333336</v>
      </c>
      <c r="N594">
        <v>42339323</v>
      </c>
      <c r="O594">
        <v>-5031</v>
      </c>
      <c r="P594" t="s">
        <v>45</v>
      </c>
      <c r="Q594">
        <v>-5031</v>
      </c>
      <c r="R594" t="s">
        <v>45</v>
      </c>
      <c r="U594" t="s">
        <v>226</v>
      </c>
      <c r="V594" t="s">
        <v>421</v>
      </c>
      <c r="W594" t="s">
        <v>228</v>
      </c>
      <c r="X594" t="s">
        <v>229</v>
      </c>
      <c r="Y594" t="s">
        <v>42</v>
      </c>
      <c r="AD594" t="s">
        <v>45</v>
      </c>
      <c r="AE594">
        <v>-5031</v>
      </c>
      <c r="AF594">
        <v>42339323</v>
      </c>
      <c r="AG594" s="73">
        <v>45366.583333333336</v>
      </c>
      <c r="AH594" t="s">
        <v>226</v>
      </c>
      <c r="AI594" t="s">
        <v>421</v>
      </c>
      <c r="AJ594" t="s">
        <v>228</v>
      </c>
      <c r="AK594" t="s">
        <v>229</v>
      </c>
      <c r="AL594" t="s">
        <v>42</v>
      </c>
      <c r="AP594" t="s">
        <v>230</v>
      </c>
      <c r="AQ594" t="s">
        <v>231</v>
      </c>
      <c r="AT594" t="s">
        <v>232</v>
      </c>
      <c r="AU594">
        <v>-99</v>
      </c>
      <c r="AV594" t="s">
        <v>45</v>
      </c>
      <c r="AW594">
        <v>-5031</v>
      </c>
      <c r="AX594">
        <v>42339323</v>
      </c>
      <c r="AY594" s="73">
        <v>45366.583333333336</v>
      </c>
      <c r="AZ594" t="s">
        <v>226</v>
      </c>
      <c r="BA594" t="s">
        <v>421</v>
      </c>
      <c r="BB594" t="s">
        <v>228</v>
      </c>
      <c r="BC594" t="s">
        <v>229</v>
      </c>
      <c r="BD594" t="s">
        <v>42</v>
      </c>
      <c r="BI594" t="s">
        <v>233</v>
      </c>
      <c r="BJ594" t="s">
        <v>0</v>
      </c>
      <c r="BK594">
        <v>42339304</v>
      </c>
      <c r="BN594" t="s">
        <v>45</v>
      </c>
      <c r="BR594">
        <v>-5031</v>
      </c>
      <c r="BS594">
        <v>42339323</v>
      </c>
      <c r="BT594" s="73">
        <v>45366.583333333336</v>
      </c>
      <c r="BU594" t="s">
        <v>226</v>
      </c>
      <c r="BV594" t="s">
        <v>421</v>
      </c>
      <c r="BW594" t="s">
        <v>228</v>
      </c>
      <c r="CH594" t="s">
        <v>229</v>
      </c>
      <c r="CI594" t="s">
        <v>42</v>
      </c>
      <c r="CJ594" t="s">
        <v>226</v>
      </c>
      <c r="CK594" t="s">
        <v>421</v>
      </c>
      <c r="CL594" t="s">
        <v>228</v>
      </c>
      <c r="CM594" t="s">
        <v>234</v>
      </c>
      <c r="CN594" t="s">
        <v>45</v>
      </c>
      <c r="CO594">
        <v>-5031</v>
      </c>
      <c r="CP594">
        <v>42339323</v>
      </c>
      <c r="CQ594" s="73">
        <v>45366.583333333336</v>
      </c>
      <c r="CR594" t="s">
        <v>229</v>
      </c>
      <c r="CS594" t="s">
        <v>42</v>
      </c>
      <c r="CU594" t="s">
        <v>225</v>
      </c>
    </row>
    <row r="595" spans="1:99">
      <c r="A595" t="s">
        <v>99</v>
      </c>
      <c r="B595" t="s">
        <v>98</v>
      </c>
      <c r="J595" t="s">
        <v>225</v>
      </c>
      <c r="K595" t="s">
        <v>225</v>
      </c>
      <c r="M595" s="73">
        <v>45366.583333333336</v>
      </c>
      <c r="N595">
        <v>42339322</v>
      </c>
      <c r="O595">
        <v>-251</v>
      </c>
      <c r="P595" t="s">
        <v>73</v>
      </c>
      <c r="Q595">
        <v>-251</v>
      </c>
      <c r="R595" t="s">
        <v>73</v>
      </c>
      <c r="U595" t="s">
        <v>226</v>
      </c>
      <c r="V595" t="s">
        <v>421</v>
      </c>
      <c r="W595" t="s">
        <v>228</v>
      </c>
      <c r="X595" t="s">
        <v>229</v>
      </c>
      <c r="Y595" t="s">
        <v>99</v>
      </c>
      <c r="AD595" t="s">
        <v>73</v>
      </c>
      <c r="AE595">
        <v>-251</v>
      </c>
      <c r="AF595">
        <v>42339322</v>
      </c>
      <c r="AG595" s="73">
        <v>45366.583333333336</v>
      </c>
      <c r="AH595" t="s">
        <v>226</v>
      </c>
      <c r="AI595" t="s">
        <v>421</v>
      </c>
      <c r="AJ595" t="s">
        <v>228</v>
      </c>
      <c r="AK595" t="s">
        <v>229</v>
      </c>
      <c r="AL595" t="s">
        <v>99</v>
      </c>
      <c r="AP595" t="s">
        <v>230</v>
      </c>
      <c r="AQ595" t="s">
        <v>231</v>
      </c>
      <c r="AT595" t="s">
        <v>232</v>
      </c>
      <c r="AU595">
        <v>-99</v>
      </c>
      <c r="AV595" t="s">
        <v>73</v>
      </c>
      <c r="AW595">
        <v>-251</v>
      </c>
      <c r="AX595">
        <v>42339322</v>
      </c>
      <c r="AY595" s="73">
        <v>45366.583333333336</v>
      </c>
      <c r="AZ595" t="s">
        <v>226</v>
      </c>
      <c r="BA595" t="s">
        <v>421</v>
      </c>
      <c r="BB595" t="s">
        <v>228</v>
      </c>
      <c r="BC595" t="s">
        <v>229</v>
      </c>
      <c r="BD595" t="s">
        <v>99</v>
      </c>
      <c r="BI595" t="s">
        <v>233</v>
      </c>
      <c r="BJ595" t="s">
        <v>0</v>
      </c>
      <c r="BK595">
        <v>42339304</v>
      </c>
      <c r="BN595" t="s">
        <v>73</v>
      </c>
      <c r="BR595">
        <v>-251</v>
      </c>
      <c r="BS595">
        <v>42339322</v>
      </c>
      <c r="BT595" s="73">
        <v>45366.583333333336</v>
      </c>
      <c r="BU595" t="s">
        <v>226</v>
      </c>
      <c r="BV595" t="s">
        <v>421</v>
      </c>
      <c r="BW595" t="s">
        <v>228</v>
      </c>
      <c r="CH595" t="s">
        <v>229</v>
      </c>
      <c r="CI595" t="s">
        <v>99</v>
      </c>
      <c r="CJ595" t="s">
        <v>226</v>
      </c>
      <c r="CK595" t="s">
        <v>421</v>
      </c>
      <c r="CL595" t="s">
        <v>228</v>
      </c>
      <c r="CM595" t="s">
        <v>234</v>
      </c>
      <c r="CN595" t="s">
        <v>73</v>
      </c>
      <c r="CO595">
        <v>-251</v>
      </c>
      <c r="CP595">
        <v>42339322</v>
      </c>
      <c r="CQ595" s="73">
        <v>45366.583333333336</v>
      </c>
      <c r="CR595" t="s">
        <v>229</v>
      </c>
      <c r="CS595" t="s">
        <v>99</v>
      </c>
      <c r="CU595" t="s">
        <v>225</v>
      </c>
    </row>
    <row r="596" spans="1:99">
      <c r="A596" t="s">
        <v>103</v>
      </c>
      <c r="B596" t="s">
        <v>98</v>
      </c>
      <c r="J596" t="s">
        <v>225</v>
      </c>
      <c r="K596" t="s">
        <v>225</v>
      </c>
      <c r="M596" s="73">
        <v>45366.583333333336</v>
      </c>
      <c r="N596">
        <v>42339321</v>
      </c>
      <c r="O596">
        <v>5020</v>
      </c>
      <c r="P596" t="s">
        <v>104</v>
      </c>
      <c r="Q596">
        <v>5020</v>
      </c>
      <c r="R596" t="s">
        <v>104</v>
      </c>
      <c r="S596">
        <v>251</v>
      </c>
      <c r="T596" t="s">
        <v>73</v>
      </c>
      <c r="U596" t="s">
        <v>226</v>
      </c>
      <c r="V596" t="s">
        <v>421</v>
      </c>
      <c r="W596" t="s">
        <v>235</v>
      </c>
      <c r="X596" t="s">
        <v>229</v>
      </c>
      <c r="Y596" t="s">
        <v>103</v>
      </c>
      <c r="AD596" t="s">
        <v>104</v>
      </c>
      <c r="AE596">
        <v>5020</v>
      </c>
      <c r="AF596">
        <v>42339321</v>
      </c>
      <c r="AG596" s="73">
        <v>45366.583333333336</v>
      </c>
      <c r="AH596" t="s">
        <v>226</v>
      </c>
      <c r="AI596" t="s">
        <v>421</v>
      </c>
      <c r="AJ596" t="s">
        <v>235</v>
      </c>
      <c r="AK596" t="s">
        <v>229</v>
      </c>
      <c r="AL596" t="s">
        <v>103</v>
      </c>
      <c r="AP596" t="s">
        <v>230</v>
      </c>
      <c r="AQ596" t="s">
        <v>231</v>
      </c>
      <c r="AT596" t="s">
        <v>232</v>
      </c>
      <c r="AU596">
        <v>-99</v>
      </c>
      <c r="AV596" t="s">
        <v>104</v>
      </c>
      <c r="AW596">
        <v>5020</v>
      </c>
      <c r="AX596">
        <v>42339321</v>
      </c>
      <c r="AY596" s="73">
        <v>45366.583333333336</v>
      </c>
      <c r="AZ596" t="s">
        <v>226</v>
      </c>
      <c r="BA596" t="s">
        <v>421</v>
      </c>
      <c r="BB596" t="s">
        <v>235</v>
      </c>
      <c r="BC596" t="s">
        <v>229</v>
      </c>
      <c r="BD596" t="s">
        <v>103</v>
      </c>
      <c r="BI596" t="s">
        <v>233</v>
      </c>
      <c r="BJ596" t="s">
        <v>0</v>
      </c>
      <c r="BK596">
        <v>42339304</v>
      </c>
      <c r="BN596" t="s">
        <v>104</v>
      </c>
      <c r="BO596">
        <v>42339313</v>
      </c>
      <c r="BR596">
        <v>5020</v>
      </c>
      <c r="BS596">
        <v>42339321</v>
      </c>
      <c r="BT596" s="73">
        <v>45366.583333333336</v>
      </c>
      <c r="BU596" t="s">
        <v>226</v>
      </c>
      <c r="BV596" t="s">
        <v>421</v>
      </c>
      <c r="BW596" t="s">
        <v>235</v>
      </c>
      <c r="CH596" t="s">
        <v>229</v>
      </c>
      <c r="CI596" t="s">
        <v>103</v>
      </c>
      <c r="CJ596" t="s">
        <v>226</v>
      </c>
      <c r="CK596" t="s">
        <v>421</v>
      </c>
      <c r="CL596" t="s">
        <v>235</v>
      </c>
      <c r="CM596" t="s">
        <v>236</v>
      </c>
      <c r="CN596" t="s">
        <v>104</v>
      </c>
      <c r="CO596">
        <v>5020</v>
      </c>
      <c r="CP596">
        <v>42339321</v>
      </c>
      <c r="CQ596" s="73">
        <v>45366.583333333336</v>
      </c>
      <c r="CR596" t="s">
        <v>229</v>
      </c>
      <c r="CS596" t="s">
        <v>103</v>
      </c>
      <c r="CU596" t="s">
        <v>225</v>
      </c>
    </row>
    <row r="597" spans="1:99">
      <c r="A597" t="s">
        <v>111</v>
      </c>
      <c r="B597" t="s">
        <v>77</v>
      </c>
      <c r="J597" t="s">
        <v>225</v>
      </c>
      <c r="K597" t="s">
        <v>225</v>
      </c>
      <c r="M597" s="73">
        <v>45366.583333333336</v>
      </c>
      <c r="N597">
        <v>42339320</v>
      </c>
      <c r="O597">
        <v>11</v>
      </c>
      <c r="P597" t="s">
        <v>45</v>
      </c>
      <c r="Q597">
        <v>11</v>
      </c>
      <c r="R597" t="s">
        <v>45</v>
      </c>
      <c r="U597" t="s">
        <v>226</v>
      </c>
      <c r="V597" t="s">
        <v>421</v>
      </c>
      <c r="W597" t="s">
        <v>237</v>
      </c>
      <c r="X597" t="s">
        <v>229</v>
      </c>
      <c r="Y597" t="s">
        <v>111</v>
      </c>
      <c r="AD597" t="s">
        <v>45</v>
      </c>
      <c r="AE597">
        <v>11</v>
      </c>
      <c r="AF597">
        <v>42339320</v>
      </c>
      <c r="AG597" s="73">
        <v>45366.583333333336</v>
      </c>
      <c r="AH597" t="s">
        <v>226</v>
      </c>
      <c r="AI597" t="s">
        <v>421</v>
      </c>
      <c r="AJ597" t="s">
        <v>237</v>
      </c>
      <c r="AK597" t="s">
        <v>229</v>
      </c>
      <c r="AL597" t="s">
        <v>111</v>
      </c>
      <c r="AP597" t="s">
        <v>230</v>
      </c>
      <c r="AQ597" t="s">
        <v>231</v>
      </c>
      <c r="AT597" t="s">
        <v>232</v>
      </c>
      <c r="AU597">
        <v>-99</v>
      </c>
      <c r="AV597" t="s">
        <v>45</v>
      </c>
      <c r="AW597">
        <v>11</v>
      </c>
      <c r="AX597">
        <v>42339320</v>
      </c>
      <c r="AY597" s="73">
        <v>45366.583333333336</v>
      </c>
      <c r="AZ597" t="s">
        <v>226</v>
      </c>
      <c r="BA597" t="s">
        <v>421</v>
      </c>
      <c r="BB597" t="s">
        <v>237</v>
      </c>
      <c r="BC597" t="s">
        <v>229</v>
      </c>
      <c r="BD597" t="s">
        <v>111</v>
      </c>
      <c r="BI597" t="s">
        <v>233</v>
      </c>
      <c r="BJ597" t="s">
        <v>0</v>
      </c>
      <c r="BK597">
        <v>42339304</v>
      </c>
      <c r="BN597" t="s">
        <v>45</v>
      </c>
      <c r="BO597">
        <v>42339315</v>
      </c>
      <c r="BR597">
        <v>11</v>
      </c>
      <c r="BS597">
        <v>42339320</v>
      </c>
      <c r="BT597" s="73">
        <v>45366.583333333336</v>
      </c>
      <c r="BU597" t="s">
        <v>226</v>
      </c>
      <c r="BV597" t="s">
        <v>421</v>
      </c>
      <c r="BW597" t="s">
        <v>237</v>
      </c>
      <c r="CH597" t="s">
        <v>229</v>
      </c>
      <c r="CI597" t="s">
        <v>111</v>
      </c>
      <c r="CJ597" t="s">
        <v>226</v>
      </c>
      <c r="CK597" t="s">
        <v>421</v>
      </c>
      <c r="CL597" t="s">
        <v>237</v>
      </c>
      <c r="CM597" t="s">
        <v>236</v>
      </c>
      <c r="CN597" t="s">
        <v>45</v>
      </c>
      <c r="CO597">
        <v>11</v>
      </c>
      <c r="CP597">
        <v>42339320</v>
      </c>
      <c r="CQ597" s="73">
        <v>45366.583333333336</v>
      </c>
      <c r="CR597" t="s">
        <v>229</v>
      </c>
      <c r="CS597" t="s">
        <v>111</v>
      </c>
      <c r="CU597" t="s">
        <v>225</v>
      </c>
    </row>
    <row r="598" spans="1:99">
      <c r="A598" t="s">
        <v>42</v>
      </c>
      <c r="B598" t="s">
        <v>92</v>
      </c>
      <c r="J598" t="s">
        <v>225</v>
      </c>
      <c r="K598" t="s">
        <v>225</v>
      </c>
      <c r="M598" s="73">
        <v>45366.583333333336</v>
      </c>
      <c r="N598">
        <v>42339302</v>
      </c>
      <c r="O598">
        <v>-1120</v>
      </c>
      <c r="P598" t="s">
        <v>45</v>
      </c>
      <c r="Q598">
        <v>-1120</v>
      </c>
      <c r="R598" t="s">
        <v>45</v>
      </c>
      <c r="U598" t="s">
        <v>226</v>
      </c>
      <c r="V598" t="s">
        <v>422</v>
      </c>
      <c r="W598" t="s">
        <v>228</v>
      </c>
      <c r="X598" t="s">
        <v>229</v>
      </c>
      <c r="Y598" t="s">
        <v>42</v>
      </c>
      <c r="AD598" t="s">
        <v>45</v>
      </c>
      <c r="AE598">
        <v>-1120</v>
      </c>
      <c r="AF598">
        <v>42339302</v>
      </c>
      <c r="AG598" s="73">
        <v>45366.583333333336</v>
      </c>
      <c r="AH598" t="s">
        <v>226</v>
      </c>
      <c r="AI598" t="s">
        <v>422</v>
      </c>
      <c r="AJ598" t="s">
        <v>228</v>
      </c>
      <c r="AK598" t="s">
        <v>229</v>
      </c>
      <c r="AL598" t="s">
        <v>42</v>
      </c>
      <c r="AP598" t="s">
        <v>230</v>
      </c>
      <c r="AQ598" t="s">
        <v>231</v>
      </c>
      <c r="AT598" t="s">
        <v>232</v>
      </c>
      <c r="AU598">
        <v>-99</v>
      </c>
      <c r="AV598" t="s">
        <v>45</v>
      </c>
      <c r="AW598">
        <v>-1120</v>
      </c>
      <c r="AX598">
        <v>42339302</v>
      </c>
      <c r="AY598" s="73">
        <v>45366.583333333336</v>
      </c>
      <c r="AZ598" t="s">
        <v>226</v>
      </c>
      <c r="BA598" t="s">
        <v>422</v>
      </c>
      <c r="BB598" t="s">
        <v>228</v>
      </c>
      <c r="BC598" t="s">
        <v>229</v>
      </c>
      <c r="BD598" t="s">
        <v>42</v>
      </c>
      <c r="BI598" t="s">
        <v>233</v>
      </c>
      <c r="BJ598" t="s">
        <v>0</v>
      </c>
      <c r="BK598">
        <v>42339290</v>
      </c>
      <c r="BN598" t="s">
        <v>45</v>
      </c>
      <c r="BR598">
        <v>-1120</v>
      </c>
      <c r="BS598">
        <v>42339302</v>
      </c>
      <c r="BT598" s="73">
        <v>45366.583333333336</v>
      </c>
      <c r="BU598" t="s">
        <v>226</v>
      </c>
      <c r="BV598" t="s">
        <v>422</v>
      </c>
      <c r="BW598" t="s">
        <v>228</v>
      </c>
      <c r="CH598" t="s">
        <v>229</v>
      </c>
      <c r="CI598" t="s">
        <v>42</v>
      </c>
      <c r="CJ598" t="s">
        <v>226</v>
      </c>
      <c r="CK598" t="s">
        <v>422</v>
      </c>
      <c r="CL598" t="s">
        <v>228</v>
      </c>
      <c r="CM598" t="s">
        <v>234</v>
      </c>
      <c r="CN598" t="s">
        <v>45</v>
      </c>
      <c r="CO598">
        <v>-1120</v>
      </c>
      <c r="CP598">
        <v>42339302</v>
      </c>
      <c r="CQ598" s="73">
        <v>45366.583333333336</v>
      </c>
      <c r="CR598" t="s">
        <v>229</v>
      </c>
      <c r="CS598" t="s">
        <v>42</v>
      </c>
      <c r="CU598" t="s">
        <v>225</v>
      </c>
    </row>
    <row r="599" spans="1:99">
      <c r="A599" t="s">
        <v>99</v>
      </c>
      <c r="B599" t="s">
        <v>98</v>
      </c>
      <c r="J599" t="s">
        <v>225</v>
      </c>
      <c r="K599" t="s">
        <v>225</v>
      </c>
      <c r="M599" s="73">
        <v>45366.583333333336</v>
      </c>
      <c r="N599">
        <v>42339301</v>
      </c>
      <c r="O599">
        <v>-56</v>
      </c>
      <c r="P599" t="s">
        <v>73</v>
      </c>
      <c r="Q599">
        <v>-56</v>
      </c>
      <c r="R599" t="s">
        <v>73</v>
      </c>
      <c r="U599" t="s">
        <v>226</v>
      </c>
      <c r="V599" t="s">
        <v>422</v>
      </c>
      <c r="W599" t="s">
        <v>228</v>
      </c>
      <c r="X599" t="s">
        <v>229</v>
      </c>
      <c r="Y599" t="s">
        <v>99</v>
      </c>
      <c r="AD599" t="s">
        <v>73</v>
      </c>
      <c r="AE599">
        <v>-56</v>
      </c>
      <c r="AF599">
        <v>42339301</v>
      </c>
      <c r="AG599" s="73">
        <v>45366.583333333336</v>
      </c>
      <c r="AH599" t="s">
        <v>226</v>
      </c>
      <c r="AI599" t="s">
        <v>422</v>
      </c>
      <c r="AJ599" t="s">
        <v>228</v>
      </c>
      <c r="AK599" t="s">
        <v>229</v>
      </c>
      <c r="AL599" t="s">
        <v>99</v>
      </c>
      <c r="AP599" t="s">
        <v>230</v>
      </c>
      <c r="AQ599" t="s">
        <v>231</v>
      </c>
      <c r="AT599" t="s">
        <v>232</v>
      </c>
      <c r="AU599">
        <v>-99</v>
      </c>
      <c r="AV599" t="s">
        <v>73</v>
      </c>
      <c r="AW599">
        <v>-56</v>
      </c>
      <c r="AX599">
        <v>42339301</v>
      </c>
      <c r="AY599" s="73">
        <v>45366.583333333336</v>
      </c>
      <c r="AZ599" t="s">
        <v>226</v>
      </c>
      <c r="BA599" t="s">
        <v>422</v>
      </c>
      <c r="BB599" t="s">
        <v>228</v>
      </c>
      <c r="BC599" t="s">
        <v>229</v>
      </c>
      <c r="BD599" t="s">
        <v>99</v>
      </c>
      <c r="BI599" t="s">
        <v>233</v>
      </c>
      <c r="BJ599" t="s">
        <v>0</v>
      </c>
      <c r="BK599">
        <v>42339290</v>
      </c>
      <c r="BN599" t="s">
        <v>73</v>
      </c>
      <c r="BR599">
        <v>-56</v>
      </c>
      <c r="BS599">
        <v>42339301</v>
      </c>
      <c r="BT599" s="73">
        <v>45366.583333333336</v>
      </c>
      <c r="BU599" t="s">
        <v>226</v>
      </c>
      <c r="BV599" t="s">
        <v>422</v>
      </c>
      <c r="BW599" t="s">
        <v>228</v>
      </c>
      <c r="CH599" t="s">
        <v>229</v>
      </c>
      <c r="CI599" t="s">
        <v>99</v>
      </c>
      <c r="CJ599" t="s">
        <v>226</v>
      </c>
      <c r="CK599" t="s">
        <v>422</v>
      </c>
      <c r="CL599" t="s">
        <v>228</v>
      </c>
      <c r="CM599" t="s">
        <v>234</v>
      </c>
      <c r="CN599" t="s">
        <v>73</v>
      </c>
      <c r="CO599">
        <v>-56</v>
      </c>
      <c r="CP599">
        <v>42339301</v>
      </c>
      <c r="CQ599" s="73">
        <v>45366.583333333336</v>
      </c>
      <c r="CR599" t="s">
        <v>229</v>
      </c>
      <c r="CS599" t="s">
        <v>99</v>
      </c>
      <c r="CU599" t="s">
        <v>225</v>
      </c>
    </row>
    <row r="600" spans="1:99">
      <c r="A600" t="s">
        <v>103</v>
      </c>
      <c r="B600" t="s">
        <v>98</v>
      </c>
      <c r="J600" t="s">
        <v>225</v>
      </c>
      <c r="K600" t="s">
        <v>225</v>
      </c>
      <c r="M600" s="73">
        <v>45366.583333333336</v>
      </c>
      <c r="N600">
        <v>42339300</v>
      </c>
      <c r="O600">
        <v>1120</v>
      </c>
      <c r="P600" t="s">
        <v>104</v>
      </c>
      <c r="Q600">
        <v>1120</v>
      </c>
      <c r="R600" t="s">
        <v>104</v>
      </c>
      <c r="S600">
        <v>56</v>
      </c>
      <c r="T600" t="s">
        <v>73</v>
      </c>
      <c r="U600" t="s">
        <v>226</v>
      </c>
      <c r="V600" t="s">
        <v>422</v>
      </c>
      <c r="W600" t="s">
        <v>235</v>
      </c>
      <c r="X600" t="s">
        <v>229</v>
      </c>
      <c r="Y600" t="s">
        <v>103</v>
      </c>
      <c r="AD600" t="s">
        <v>104</v>
      </c>
      <c r="AE600">
        <v>1120</v>
      </c>
      <c r="AF600">
        <v>42339300</v>
      </c>
      <c r="AG600" s="73">
        <v>45366.583333333336</v>
      </c>
      <c r="AH600" t="s">
        <v>226</v>
      </c>
      <c r="AI600" t="s">
        <v>422</v>
      </c>
      <c r="AJ600" t="s">
        <v>235</v>
      </c>
      <c r="AK600" t="s">
        <v>229</v>
      </c>
      <c r="AL600" t="s">
        <v>103</v>
      </c>
      <c r="AP600" t="s">
        <v>230</v>
      </c>
      <c r="AQ600" t="s">
        <v>231</v>
      </c>
      <c r="AT600" t="s">
        <v>232</v>
      </c>
      <c r="AU600">
        <v>-99</v>
      </c>
      <c r="AV600" t="s">
        <v>104</v>
      </c>
      <c r="AW600">
        <v>1120</v>
      </c>
      <c r="AX600">
        <v>42339300</v>
      </c>
      <c r="AY600" s="73">
        <v>45366.583333333336</v>
      </c>
      <c r="AZ600" t="s">
        <v>226</v>
      </c>
      <c r="BA600" t="s">
        <v>422</v>
      </c>
      <c r="BB600" t="s">
        <v>235</v>
      </c>
      <c r="BC600" t="s">
        <v>229</v>
      </c>
      <c r="BD600" t="s">
        <v>103</v>
      </c>
      <c r="BI600" t="s">
        <v>233</v>
      </c>
      <c r="BJ600" t="s">
        <v>0</v>
      </c>
      <c r="BK600">
        <v>42339290</v>
      </c>
      <c r="BN600" t="s">
        <v>104</v>
      </c>
      <c r="BO600">
        <v>42339296</v>
      </c>
      <c r="BR600">
        <v>1120</v>
      </c>
      <c r="BS600">
        <v>42339300</v>
      </c>
      <c r="BT600" s="73">
        <v>45366.583333333336</v>
      </c>
      <c r="BU600" t="s">
        <v>226</v>
      </c>
      <c r="BV600" t="s">
        <v>422</v>
      </c>
      <c r="BW600" t="s">
        <v>235</v>
      </c>
      <c r="CH600" t="s">
        <v>229</v>
      </c>
      <c r="CI600" t="s">
        <v>103</v>
      </c>
      <c r="CJ600" t="s">
        <v>226</v>
      </c>
      <c r="CK600" t="s">
        <v>422</v>
      </c>
      <c r="CL600" t="s">
        <v>235</v>
      </c>
      <c r="CM600" t="s">
        <v>236</v>
      </c>
      <c r="CN600" t="s">
        <v>104</v>
      </c>
      <c r="CO600">
        <v>1120</v>
      </c>
      <c r="CP600">
        <v>42339300</v>
      </c>
      <c r="CQ600" s="73">
        <v>45366.583333333336</v>
      </c>
      <c r="CR600" t="s">
        <v>229</v>
      </c>
      <c r="CS600" t="s">
        <v>103</v>
      </c>
      <c r="CU600" t="s">
        <v>225</v>
      </c>
    </row>
    <row r="601" spans="1:99">
      <c r="A601" t="s">
        <v>46</v>
      </c>
      <c r="B601" t="s">
        <v>92</v>
      </c>
      <c r="J601" t="s">
        <v>225</v>
      </c>
      <c r="K601" t="s">
        <v>225</v>
      </c>
      <c r="M601" s="73">
        <v>45366.583333333336</v>
      </c>
      <c r="N601">
        <v>42339288</v>
      </c>
      <c r="O601">
        <v>-200</v>
      </c>
      <c r="P601" t="s">
        <v>45</v>
      </c>
      <c r="Q601">
        <v>-200</v>
      </c>
      <c r="R601" t="s">
        <v>45</v>
      </c>
      <c r="U601" t="s">
        <v>226</v>
      </c>
      <c r="V601" t="s">
        <v>423</v>
      </c>
      <c r="W601" t="s">
        <v>228</v>
      </c>
      <c r="X601" t="s">
        <v>229</v>
      </c>
      <c r="Y601" t="s">
        <v>46</v>
      </c>
      <c r="AD601" t="s">
        <v>45</v>
      </c>
      <c r="AE601">
        <v>-200</v>
      </c>
      <c r="AF601">
        <v>42339288</v>
      </c>
      <c r="AG601" s="73">
        <v>45366.583333333336</v>
      </c>
      <c r="AH601" t="s">
        <v>226</v>
      </c>
      <c r="AI601" t="s">
        <v>423</v>
      </c>
      <c r="AJ601" t="s">
        <v>228</v>
      </c>
      <c r="AK601" t="s">
        <v>229</v>
      </c>
      <c r="AL601" t="s">
        <v>46</v>
      </c>
      <c r="AP601" t="s">
        <v>230</v>
      </c>
      <c r="AQ601" t="s">
        <v>231</v>
      </c>
      <c r="AT601" t="s">
        <v>232</v>
      </c>
      <c r="AU601">
        <v>-99</v>
      </c>
      <c r="AV601" t="s">
        <v>45</v>
      </c>
      <c r="AW601">
        <v>-200</v>
      </c>
      <c r="AX601">
        <v>42339288</v>
      </c>
      <c r="AY601" s="73">
        <v>45366.583333333336</v>
      </c>
      <c r="AZ601" t="s">
        <v>226</v>
      </c>
      <c r="BA601" t="s">
        <v>423</v>
      </c>
      <c r="BB601" t="s">
        <v>228</v>
      </c>
      <c r="BC601" t="s">
        <v>229</v>
      </c>
      <c r="BD601" t="s">
        <v>46</v>
      </c>
      <c r="BI601" t="s">
        <v>233</v>
      </c>
      <c r="BJ601" t="s">
        <v>0</v>
      </c>
      <c r="BK601">
        <v>42339276</v>
      </c>
      <c r="BN601" t="s">
        <v>45</v>
      </c>
      <c r="BR601">
        <v>-200</v>
      </c>
      <c r="BS601">
        <v>42339288</v>
      </c>
      <c r="BT601" s="73">
        <v>45366.583333333336</v>
      </c>
      <c r="BU601" t="s">
        <v>226</v>
      </c>
      <c r="BV601" t="s">
        <v>423</v>
      </c>
      <c r="BW601" t="s">
        <v>228</v>
      </c>
      <c r="CH601" t="s">
        <v>229</v>
      </c>
      <c r="CI601" t="s">
        <v>46</v>
      </c>
      <c r="CJ601" t="s">
        <v>226</v>
      </c>
      <c r="CK601" t="s">
        <v>423</v>
      </c>
      <c r="CL601" t="s">
        <v>228</v>
      </c>
      <c r="CM601" t="s">
        <v>234</v>
      </c>
      <c r="CN601" t="s">
        <v>45</v>
      </c>
      <c r="CO601">
        <v>-200</v>
      </c>
      <c r="CP601">
        <v>42339288</v>
      </c>
      <c r="CQ601" s="73">
        <v>45366.583333333336</v>
      </c>
      <c r="CR601" t="s">
        <v>229</v>
      </c>
      <c r="CS601" t="s">
        <v>46</v>
      </c>
      <c r="CU601" t="s">
        <v>225</v>
      </c>
    </row>
    <row r="602" spans="1:99">
      <c r="A602" t="s">
        <v>93</v>
      </c>
      <c r="B602" t="s">
        <v>98</v>
      </c>
      <c r="J602" t="s">
        <v>225</v>
      </c>
      <c r="K602" t="s">
        <v>225</v>
      </c>
      <c r="M602" s="73">
        <v>45366.583333333336</v>
      </c>
      <c r="N602">
        <v>42339287</v>
      </c>
      <c r="O602">
        <v>-10</v>
      </c>
      <c r="P602" t="s">
        <v>73</v>
      </c>
      <c r="Q602">
        <v>-10</v>
      </c>
      <c r="R602" t="s">
        <v>73</v>
      </c>
      <c r="U602" t="s">
        <v>226</v>
      </c>
      <c r="V602" t="s">
        <v>423</v>
      </c>
      <c r="W602" t="s">
        <v>228</v>
      </c>
      <c r="X602" t="s">
        <v>229</v>
      </c>
      <c r="Y602" t="s">
        <v>93</v>
      </c>
      <c r="AD602" t="s">
        <v>73</v>
      </c>
      <c r="AE602">
        <v>-10</v>
      </c>
      <c r="AF602">
        <v>42339287</v>
      </c>
      <c r="AG602" s="73">
        <v>45366.583333333336</v>
      </c>
      <c r="AH602" t="s">
        <v>226</v>
      </c>
      <c r="AI602" t="s">
        <v>423</v>
      </c>
      <c r="AJ602" t="s">
        <v>228</v>
      </c>
      <c r="AK602" t="s">
        <v>229</v>
      </c>
      <c r="AL602" t="s">
        <v>93</v>
      </c>
      <c r="AP602" t="s">
        <v>230</v>
      </c>
      <c r="AQ602" t="s">
        <v>231</v>
      </c>
      <c r="AT602" t="s">
        <v>232</v>
      </c>
      <c r="AU602">
        <v>-99</v>
      </c>
      <c r="AV602" t="s">
        <v>73</v>
      </c>
      <c r="AW602">
        <v>-10</v>
      </c>
      <c r="AX602">
        <v>42339287</v>
      </c>
      <c r="AY602" s="73">
        <v>45366.583333333336</v>
      </c>
      <c r="AZ602" t="s">
        <v>226</v>
      </c>
      <c r="BA602" t="s">
        <v>423</v>
      </c>
      <c r="BB602" t="s">
        <v>228</v>
      </c>
      <c r="BC602" t="s">
        <v>229</v>
      </c>
      <c r="BD602" t="s">
        <v>93</v>
      </c>
      <c r="BI602" t="s">
        <v>233</v>
      </c>
      <c r="BJ602" t="s">
        <v>0</v>
      </c>
      <c r="BK602">
        <v>42339276</v>
      </c>
      <c r="BN602" t="s">
        <v>73</v>
      </c>
      <c r="BR602">
        <v>-10</v>
      </c>
      <c r="BS602">
        <v>42339287</v>
      </c>
      <c r="BT602" s="73">
        <v>45366.583333333336</v>
      </c>
      <c r="BU602" t="s">
        <v>226</v>
      </c>
      <c r="BV602" t="s">
        <v>423</v>
      </c>
      <c r="BW602" t="s">
        <v>228</v>
      </c>
      <c r="CH602" t="s">
        <v>229</v>
      </c>
      <c r="CI602" t="s">
        <v>93</v>
      </c>
      <c r="CJ602" t="s">
        <v>226</v>
      </c>
      <c r="CK602" t="s">
        <v>423</v>
      </c>
      <c r="CL602" t="s">
        <v>228</v>
      </c>
      <c r="CM602" t="s">
        <v>234</v>
      </c>
      <c r="CN602" t="s">
        <v>73</v>
      </c>
      <c r="CO602">
        <v>-10</v>
      </c>
      <c r="CP602">
        <v>42339287</v>
      </c>
      <c r="CQ602" s="73">
        <v>45366.583333333336</v>
      </c>
      <c r="CR602" t="s">
        <v>229</v>
      </c>
      <c r="CS602" t="s">
        <v>93</v>
      </c>
      <c r="CU602" t="s">
        <v>225</v>
      </c>
    </row>
    <row r="603" spans="1:99">
      <c r="A603" t="s">
        <v>108</v>
      </c>
      <c r="B603" t="s">
        <v>98</v>
      </c>
      <c r="J603" t="s">
        <v>225</v>
      </c>
      <c r="K603" t="s">
        <v>225</v>
      </c>
      <c r="M603" s="73">
        <v>45366.583333333336</v>
      </c>
      <c r="N603">
        <v>42339286</v>
      </c>
      <c r="O603">
        <v>200</v>
      </c>
      <c r="P603" t="s">
        <v>104</v>
      </c>
      <c r="Q603">
        <v>200</v>
      </c>
      <c r="R603" t="s">
        <v>104</v>
      </c>
      <c r="S603">
        <v>10</v>
      </c>
      <c r="T603" t="s">
        <v>73</v>
      </c>
      <c r="U603" t="s">
        <v>226</v>
      </c>
      <c r="V603" t="s">
        <v>423</v>
      </c>
      <c r="W603" t="s">
        <v>235</v>
      </c>
      <c r="X603" t="s">
        <v>229</v>
      </c>
      <c r="Y603" t="s">
        <v>108</v>
      </c>
      <c r="AD603" t="s">
        <v>104</v>
      </c>
      <c r="AE603">
        <v>200</v>
      </c>
      <c r="AF603">
        <v>42339286</v>
      </c>
      <c r="AG603" s="73">
        <v>45366.583333333336</v>
      </c>
      <c r="AH603" t="s">
        <v>226</v>
      </c>
      <c r="AI603" t="s">
        <v>423</v>
      </c>
      <c r="AJ603" t="s">
        <v>235</v>
      </c>
      <c r="AK603" t="s">
        <v>229</v>
      </c>
      <c r="AL603" t="s">
        <v>108</v>
      </c>
      <c r="AP603" t="s">
        <v>230</v>
      </c>
      <c r="AQ603" t="s">
        <v>231</v>
      </c>
      <c r="AT603" t="s">
        <v>232</v>
      </c>
      <c r="AU603">
        <v>-99</v>
      </c>
      <c r="AV603" t="s">
        <v>104</v>
      </c>
      <c r="AW603">
        <v>200</v>
      </c>
      <c r="AX603">
        <v>42339286</v>
      </c>
      <c r="AY603" s="73">
        <v>45366.583333333336</v>
      </c>
      <c r="AZ603" t="s">
        <v>226</v>
      </c>
      <c r="BA603" t="s">
        <v>423</v>
      </c>
      <c r="BB603" t="s">
        <v>235</v>
      </c>
      <c r="BC603" t="s">
        <v>229</v>
      </c>
      <c r="BD603" t="s">
        <v>108</v>
      </c>
      <c r="BI603" t="s">
        <v>233</v>
      </c>
      <c r="BJ603" t="s">
        <v>0</v>
      </c>
      <c r="BK603">
        <v>42339276</v>
      </c>
      <c r="BN603" t="s">
        <v>104</v>
      </c>
      <c r="BO603">
        <v>42339282</v>
      </c>
      <c r="BR603">
        <v>200</v>
      </c>
      <c r="BS603">
        <v>42339286</v>
      </c>
      <c r="BT603" s="73">
        <v>45366.583333333336</v>
      </c>
      <c r="BU603" t="s">
        <v>226</v>
      </c>
      <c r="BV603" t="s">
        <v>423</v>
      </c>
      <c r="BW603" t="s">
        <v>235</v>
      </c>
      <c r="CH603" t="s">
        <v>229</v>
      </c>
      <c r="CI603" t="s">
        <v>108</v>
      </c>
      <c r="CJ603" t="s">
        <v>226</v>
      </c>
      <c r="CK603" t="s">
        <v>423</v>
      </c>
      <c r="CL603" t="s">
        <v>235</v>
      </c>
      <c r="CM603" t="s">
        <v>236</v>
      </c>
      <c r="CN603" t="s">
        <v>104</v>
      </c>
      <c r="CO603">
        <v>200</v>
      </c>
      <c r="CP603">
        <v>42339286</v>
      </c>
      <c r="CQ603" s="73">
        <v>45366.583333333336</v>
      </c>
      <c r="CR603" t="s">
        <v>229</v>
      </c>
      <c r="CS603" t="s">
        <v>108</v>
      </c>
      <c r="CU603" t="s">
        <v>225</v>
      </c>
    </row>
    <row r="604" spans="1:99">
      <c r="A604" t="s">
        <v>52</v>
      </c>
      <c r="B604" t="s">
        <v>92</v>
      </c>
      <c r="J604" t="s">
        <v>225</v>
      </c>
      <c r="K604" t="s">
        <v>225</v>
      </c>
      <c r="M604" s="73">
        <v>45366.583333333336</v>
      </c>
      <c r="N604">
        <v>42339273</v>
      </c>
      <c r="O604">
        <v>-580</v>
      </c>
      <c r="P604" t="s">
        <v>45</v>
      </c>
      <c r="Q604">
        <v>-580</v>
      </c>
      <c r="R604" t="s">
        <v>45</v>
      </c>
      <c r="U604" t="s">
        <v>226</v>
      </c>
      <c r="V604" t="s">
        <v>424</v>
      </c>
      <c r="W604" t="s">
        <v>228</v>
      </c>
      <c r="X604" t="s">
        <v>229</v>
      </c>
      <c r="Y604" t="s">
        <v>52</v>
      </c>
      <c r="AD604" t="s">
        <v>45</v>
      </c>
      <c r="AE604">
        <v>-580</v>
      </c>
      <c r="AF604">
        <v>42339273</v>
      </c>
      <c r="AG604" s="73">
        <v>45366.583333333336</v>
      </c>
      <c r="AH604" t="s">
        <v>226</v>
      </c>
      <c r="AI604" t="s">
        <v>424</v>
      </c>
      <c r="AJ604" t="s">
        <v>228</v>
      </c>
      <c r="AK604" t="s">
        <v>229</v>
      </c>
      <c r="AL604" t="s">
        <v>52</v>
      </c>
      <c r="AP604" t="s">
        <v>230</v>
      </c>
      <c r="AQ604" t="s">
        <v>231</v>
      </c>
      <c r="AT604" t="s">
        <v>232</v>
      </c>
      <c r="AU604">
        <v>-99</v>
      </c>
      <c r="AV604" t="s">
        <v>45</v>
      </c>
      <c r="AW604">
        <v>-580</v>
      </c>
      <c r="AX604">
        <v>42339273</v>
      </c>
      <c r="AY604" s="73">
        <v>45366.583333333336</v>
      </c>
      <c r="AZ604" t="s">
        <v>226</v>
      </c>
      <c r="BA604" t="s">
        <v>424</v>
      </c>
      <c r="BB604" t="s">
        <v>228</v>
      </c>
      <c r="BC604" t="s">
        <v>229</v>
      </c>
      <c r="BD604" t="s">
        <v>52</v>
      </c>
      <c r="BI604" t="s">
        <v>233</v>
      </c>
      <c r="BJ604" t="s">
        <v>0</v>
      </c>
      <c r="BK604">
        <v>42339261</v>
      </c>
      <c r="BN604" t="s">
        <v>45</v>
      </c>
      <c r="BR604">
        <v>-580</v>
      </c>
      <c r="BS604">
        <v>42339273</v>
      </c>
      <c r="BT604" s="73">
        <v>45366.583333333336</v>
      </c>
      <c r="BU604" t="s">
        <v>226</v>
      </c>
      <c r="BV604" t="s">
        <v>424</v>
      </c>
      <c r="BW604" t="s">
        <v>228</v>
      </c>
      <c r="CH604" t="s">
        <v>229</v>
      </c>
      <c r="CI604" t="s">
        <v>52</v>
      </c>
      <c r="CJ604" t="s">
        <v>226</v>
      </c>
      <c r="CK604" t="s">
        <v>424</v>
      </c>
      <c r="CL604" t="s">
        <v>228</v>
      </c>
      <c r="CM604" t="s">
        <v>234</v>
      </c>
      <c r="CN604" t="s">
        <v>45</v>
      </c>
      <c r="CO604">
        <v>-580</v>
      </c>
      <c r="CP604">
        <v>42339273</v>
      </c>
      <c r="CQ604" s="73">
        <v>45366.583333333336</v>
      </c>
      <c r="CR604" t="s">
        <v>229</v>
      </c>
      <c r="CS604" t="s">
        <v>52</v>
      </c>
      <c r="CU604" t="s">
        <v>225</v>
      </c>
    </row>
    <row r="605" spans="1:99">
      <c r="A605" t="s">
        <v>101</v>
      </c>
      <c r="B605" t="s">
        <v>98</v>
      </c>
      <c r="J605" t="s">
        <v>225</v>
      </c>
      <c r="K605" t="s">
        <v>225</v>
      </c>
      <c r="M605" s="73">
        <v>45366.583333333336</v>
      </c>
      <c r="N605">
        <v>42339272</v>
      </c>
      <c r="O605">
        <v>-29</v>
      </c>
      <c r="P605" t="s">
        <v>73</v>
      </c>
      <c r="Q605">
        <v>-29</v>
      </c>
      <c r="R605" t="s">
        <v>73</v>
      </c>
      <c r="U605" t="s">
        <v>226</v>
      </c>
      <c r="V605" t="s">
        <v>424</v>
      </c>
      <c r="W605" t="s">
        <v>228</v>
      </c>
      <c r="X605" t="s">
        <v>229</v>
      </c>
      <c r="Y605" t="s">
        <v>101</v>
      </c>
      <c r="AD605" t="s">
        <v>73</v>
      </c>
      <c r="AE605">
        <v>-29</v>
      </c>
      <c r="AF605">
        <v>42339272</v>
      </c>
      <c r="AG605" s="73">
        <v>45366.583333333336</v>
      </c>
      <c r="AH605" t="s">
        <v>226</v>
      </c>
      <c r="AI605" t="s">
        <v>424</v>
      </c>
      <c r="AJ605" t="s">
        <v>228</v>
      </c>
      <c r="AK605" t="s">
        <v>229</v>
      </c>
      <c r="AL605" t="s">
        <v>101</v>
      </c>
      <c r="AP605" t="s">
        <v>230</v>
      </c>
      <c r="AQ605" t="s">
        <v>231</v>
      </c>
      <c r="AT605" t="s">
        <v>232</v>
      </c>
      <c r="AU605">
        <v>-99</v>
      </c>
      <c r="AV605" t="s">
        <v>73</v>
      </c>
      <c r="AW605">
        <v>-29</v>
      </c>
      <c r="AX605">
        <v>42339272</v>
      </c>
      <c r="AY605" s="73">
        <v>45366.583333333336</v>
      </c>
      <c r="AZ605" t="s">
        <v>226</v>
      </c>
      <c r="BA605" t="s">
        <v>424</v>
      </c>
      <c r="BB605" t="s">
        <v>228</v>
      </c>
      <c r="BC605" t="s">
        <v>229</v>
      </c>
      <c r="BD605" t="s">
        <v>101</v>
      </c>
      <c r="BI605" t="s">
        <v>233</v>
      </c>
      <c r="BJ605" t="s">
        <v>0</v>
      </c>
      <c r="BK605">
        <v>42339261</v>
      </c>
      <c r="BN605" t="s">
        <v>73</v>
      </c>
      <c r="BR605">
        <v>-29</v>
      </c>
      <c r="BS605">
        <v>42339272</v>
      </c>
      <c r="BT605" s="73">
        <v>45366.583333333336</v>
      </c>
      <c r="BU605" t="s">
        <v>226</v>
      </c>
      <c r="BV605" t="s">
        <v>424</v>
      </c>
      <c r="BW605" t="s">
        <v>228</v>
      </c>
      <c r="CH605" t="s">
        <v>229</v>
      </c>
      <c r="CI605" t="s">
        <v>101</v>
      </c>
      <c r="CJ605" t="s">
        <v>226</v>
      </c>
      <c r="CK605" t="s">
        <v>424</v>
      </c>
      <c r="CL605" t="s">
        <v>228</v>
      </c>
      <c r="CM605" t="s">
        <v>234</v>
      </c>
      <c r="CN605" t="s">
        <v>73</v>
      </c>
      <c r="CO605">
        <v>-29</v>
      </c>
      <c r="CP605">
        <v>42339272</v>
      </c>
      <c r="CQ605" s="73">
        <v>45366.583333333336</v>
      </c>
      <c r="CR605" t="s">
        <v>229</v>
      </c>
      <c r="CS605" t="s">
        <v>101</v>
      </c>
      <c r="CU605" t="s">
        <v>225</v>
      </c>
    </row>
    <row r="606" spans="1:99">
      <c r="A606" t="s">
        <v>107</v>
      </c>
      <c r="B606" t="s">
        <v>98</v>
      </c>
      <c r="J606" t="s">
        <v>225</v>
      </c>
      <c r="K606" t="s">
        <v>225</v>
      </c>
      <c r="M606" s="73">
        <v>45366.583333333336</v>
      </c>
      <c r="N606">
        <v>42339271</v>
      </c>
      <c r="O606">
        <v>580</v>
      </c>
      <c r="P606" t="s">
        <v>104</v>
      </c>
      <c r="Q606">
        <v>580</v>
      </c>
      <c r="R606" t="s">
        <v>104</v>
      </c>
      <c r="S606">
        <v>29</v>
      </c>
      <c r="T606" t="s">
        <v>73</v>
      </c>
      <c r="U606" t="s">
        <v>226</v>
      </c>
      <c r="V606" t="s">
        <v>424</v>
      </c>
      <c r="W606" t="s">
        <v>235</v>
      </c>
      <c r="X606" t="s">
        <v>229</v>
      </c>
      <c r="Y606" t="s">
        <v>107</v>
      </c>
      <c r="AD606" t="s">
        <v>104</v>
      </c>
      <c r="AE606">
        <v>580</v>
      </c>
      <c r="AF606">
        <v>42339271</v>
      </c>
      <c r="AG606" s="73">
        <v>45366.583333333336</v>
      </c>
      <c r="AH606" t="s">
        <v>226</v>
      </c>
      <c r="AI606" t="s">
        <v>424</v>
      </c>
      <c r="AJ606" t="s">
        <v>235</v>
      </c>
      <c r="AK606" t="s">
        <v>229</v>
      </c>
      <c r="AL606" t="s">
        <v>107</v>
      </c>
      <c r="AP606" t="s">
        <v>230</v>
      </c>
      <c r="AQ606" t="s">
        <v>231</v>
      </c>
      <c r="AT606" t="s">
        <v>232</v>
      </c>
      <c r="AU606">
        <v>-99</v>
      </c>
      <c r="AV606" t="s">
        <v>104</v>
      </c>
      <c r="AW606">
        <v>580</v>
      </c>
      <c r="AX606">
        <v>42339271</v>
      </c>
      <c r="AY606" s="73">
        <v>45366.583333333336</v>
      </c>
      <c r="AZ606" t="s">
        <v>226</v>
      </c>
      <c r="BA606" t="s">
        <v>424</v>
      </c>
      <c r="BB606" t="s">
        <v>235</v>
      </c>
      <c r="BC606" t="s">
        <v>229</v>
      </c>
      <c r="BD606" t="s">
        <v>107</v>
      </c>
      <c r="BI606" t="s">
        <v>233</v>
      </c>
      <c r="BJ606" t="s">
        <v>0</v>
      </c>
      <c r="BK606">
        <v>42339261</v>
      </c>
      <c r="BN606" t="s">
        <v>104</v>
      </c>
      <c r="BO606">
        <v>42339267</v>
      </c>
      <c r="BR606">
        <v>580</v>
      </c>
      <c r="BS606">
        <v>42339271</v>
      </c>
      <c r="BT606" s="73">
        <v>45366.583333333336</v>
      </c>
      <c r="BU606" t="s">
        <v>226</v>
      </c>
      <c r="BV606" t="s">
        <v>424</v>
      </c>
      <c r="BW606" t="s">
        <v>235</v>
      </c>
      <c r="CH606" t="s">
        <v>229</v>
      </c>
      <c r="CI606" t="s">
        <v>107</v>
      </c>
      <c r="CJ606" t="s">
        <v>226</v>
      </c>
      <c r="CK606" t="s">
        <v>424</v>
      </c>
      <c r="CL606" t="s">
        <v>235</v>
      </c>
      <c r="CM606" t="s">
        <v>236</v>
      </c>
      <c r="CN606" t="s">
        <v>104</v>
      </c>
      <c r="CO606">
        <v>580</v>
      </c>
      <c r="CP606">
        <v>42339271</v>
      </c>
      <c r="CQ606" s="73">
        <v>45366.583333333336</v>
      </c>
      <c r="CR606" t="s">
        <v>229</v>
      </c>
      <c r="CS606" t="s">
        <v>107</v>
      </c>
      <c r="CU606" t="s">
        <v>225</v>
      </c>
    </row>
    <row r="607" spans="1:99">
      <c r="A607" t="s">
        <v>42</v>
      </c>
      <c r="B607" t="s">
        <v>92</v>
      </c>
      <c r="J607" t="s">
        <v>225</v>
      </c>
      <c r="K607" t="s">
        <v>225</v>
      </c>
      <c r="M607" s="73">
        <v>45366.285358796296</v>
      </c>
      <c r="N607">
        <v>42327679</v>
      </c>
      <c r="O607">
        <v>-11375</v>
      </c>
      <c r="P607" t="s">
        <v>45</v>
      </c>
      <c r="Q607">
        <v>-11375</v>
      </c>
      <c r="R607" t="s">
        <v>45</v>
      </c>
      <c r="U607" t="s">
        <v>226</v>
      </c>
      <c r="V607" t="s">
        <v>425</v>
      </c>
      <c r="W607" t="s">
        <v>228</v>
      </c>
      <c r="X607" t="s">
        <v>229</v>
      </c>
      <c r="Y607" t="s">
        <v>42</v>
      </c>
      <c r="AD607" t="s">
        <v>45</v>
      </c>
      <c r="AE607">
        <v>-11375</v>
      </c>
      <c r="AF607">
        <v>42327679</v>
      </c>
      <c r="AG607" s="73">
        <v>45366.285358796296</v>
      </c>
      <c r="AH607" t="s">
        <v>226</v>
      </c>
      <c r="AI607" t="s">
        <v>425</v>
      </c>
      <c r="AJ607" t="s">
        <v>228</v>
      </c>
      <c r="AK607" t="s">
        <v>229</v>
      </c>
      <c r="AL607" t="s">
        <v>42</v>
      </c>
      <c r="AP607" t="s">
        <v>230</v>
      </c>
      <c r="AQ607" t="s">
        <v>231</v>
      </c>
      <c r="AT607" t="s">
        <v>232</v>
      </c>
      <c r="AU607">
        <v>-99</v>
      </c>
      <c r="AV607" t="s">
        <v>45</v>
      </c>
      <c r="AW607">
        <v>-11375</v>
      </c>
      <c r="AX607">
        <v>42327679</v>
      </c>
      <c r="AY607" s="73">
        <v>45366.285358796296</v>
      </c>
      <c r="AZ607" t="s">
        <v>226</v>
      </c>
      <c r="BA607" t="s">
        <v>425</v>
      </c>
      <c r="BB607" t="s">
        <v>228</v>
      </c>
      <c r="BC607" t="s">
        <v>229</v>
      </c>
      <c r="BD607" t="s">
        <v>42</v>
      </c>
      <c r="BI607" t="s">
        <v>233</v>
      </c>
      <c r="BJ607" t="s">
        <v>0</v>
      </c>
      <c r="BK607">
        <v>42327650</v>
      </c>
      <c r="BN607" t="s">
        <v>45</v>
      </c>
      <c r="BR607">
        <v>-11375</v>
      </c>
      <c r="BS607">
        <v>42327679</v>
      </c>
      <c r="BT607" s="73">
        <v>45366.285358796296</v>
      </c>
      <c r="BU607" t="s">
        <v>226</v>
      </c>
      <c r="BV607" t="s">
        <v>425</v>
      </c>
      <c r="BW607" t="s">
        <v>228</v>
      </c>
      <c r="CH607" t="s">
        <v>229</v>
      </c>
      <c r="CI607" t="s">
        <v>42</v>
      </c>
      <c r="CJ607" t="s">
        <v>226</v>
      </c>
      <c r="CK607" t="s">
        <v>425</v>
      </c>
      <c r="CL607" t="s">
        <v>228</v>
      </c>
      <c r="CM607" t="s">
        <v>234</v>
      </c>
      <c r="CN607" t="s">
        <v>45</v>
      </c>
      <c r="CO607">
        <v>-11375</v>
      </c>
      <c r="CP607">
        <v>42327679</v>
      </c>
      <c r="CQ607" s="73">
        <v>45366.285358796296</v>
      </c>
      <c r="CR607" t="s">
        <v>229</v>
      </c>
      <c r="CS607" t="s">
        <v>42</v>
      </c>
      <c r="CU607" t="s">
        <v>225</v>
      </c>
    </row>
    <row r="608" spans="1:99">
      <c r="A608" t="s">
        <v>99</v>
      </c>
      <c r="B608" t="s">
        <v>98</v>
      </c>
      <c r="J608" t="s">
        <v>225</v>
      </c>
      <c r="K608" t="s">
        <v>225</v>
      </c>
      <c r="M608" s="73">
        <v>45366.285358796296</v>
      </c>
      <c r="N608">
        <v>42327678</v>
      </c>
      <c r="O608">
        <v>-568.5</v>
      </c>
      <c r="P608" t="s">
        <v>73</v>
      </c>
      <c r="Q608">
        <v>-568.5</v>
      </c>
      <c r="R608" t="s">
        <v>73</v>
      </c>
      <c r="U608" t="s">
        <v>226</v>
      </c>
      <c r="V608" t="s">
        <v>425</v>
      </c>
      <c r="W608" t="s">
        <v>228</v>
      </c>
      <c r="X608" t="s">
        <v>229</v>
      </c>
      <c r="Y608" t="s">
        <v>99</v>
      </c>
      <c r="AD608" t="s">
        <v>73</v>
      </c>
      <c r="AE608">
        <v>-568.5</v>
      </c>
      <c r="AF608">
        <v>42327678</v>
      </c>
      <c r="AG608" s="73">
        <v>45366.285358796296</v>
      </c>
      <c r="AH608" t="s">
        <v>226</v>
      </c>
      <c r="AI608" t="s">
        <v>425</v>
      </c>
      <c r="AJ608" t="s">
        <v>228</v>
      </c>
      <c r="AK608" t="s">
        <v>229</v>
      </c>
      <c r="AL608" t="s">
        <v>99</v>
      </c>
      <c r="AP608" t="s">
        <v>230</v>
      </c>
      <c r="AQ608" t="s">
        <v>231</v>
      </c>
      <c r="AT608" t="s">
        <v>232</v>
      </c>
      <c r="AU608">
        <v>-99</v>
      </c>
      <c r="AV608" t="s">
        <v>73</v>
      </c>
      <c r="AW608">
        <v>-568.5</v>
      </c>
      <c r="AX608">
        <v>42327678</v>
      </c>
      <c r="AY608" s="73">
        <v>45366.285358796296</v>
      </c>
      <c r="AZ608" t="s">
        <v>226</v>
      </c>
      <c r="BA608" t="s">
        <v>425</v>
      </c>
      <c r="BB608" t="s">
        <v>228</v>
      </c>
      <c r="BC608" t="s">
        <v>229</v>
      </c>
      <c r="BD608" t="s">
        <v>99</v>
      </c>
      <c r="BI608" t="s">
        <v>233</v>
      </c>
      <c r="BJ608" t="s">
        <v>0</v>
      </c>
      <c r="BK608">
        <v>42327650</v>
      </c>
      <c r="BN608" t="s">
        <v>73</v>
      </c>
      <c r="BR608">
        <v>-568.5</v>
      </c>
      <c r="BS608">
        <v>42327678</v>
      </c>
      <c r="BT608" s="73">
        <v>45366.285358796296</v>
      </c>
      <c r="BU608" t="s">
        <v>226</v>
      </c>
      <c r="BV608" t="s">
        <v>425</v>
      </c>
      <c r="BW608" t="s">
        <v>228</v>
      </c>
      <c r="CH608" t="s">
        <v>229</v>
      </c>
      <c r="CI608" t="s">
        <v>99</v>
      </c>
      <c r="CJ608" t="s">
        <v>226</v>
      </c>
      <c r="CK608" t="s">
        <v>425</v>
      </c>
      <c r="CL608" t="s">
        <v>228</v>
      </c>
      <c r="CM608" t="s">
        <v>234</v>
      </c>
      <c r="CN608" t="s">
        <v>73</v>
      </c>
      <c r="CO608">
        <v>-568.5</v>
      </c>
      <c r="CP608">
        <v>42327678</v>
      </c>
      <c r="CQ608" s="73">
        <v>45366.285358796296</v>
      </c>
      <c r="CR608" t="s">
        <v>229</v>
      </c>
      <c r="CS608" t="s">
        <v>99</v>
      </c>
      <c r="CU608" t="s">
        <v>225</v>
      </c>
    </row>
    <row r="609" spans="1:99">
      <c r="A609" t="s">
        <v>103</v>
      </c>
      <c r="B609" t="s">
        <v>98</v>
      </c>
      <c r="J609" t="s">
        <v>225</v>
      </c>
      <c r="K609" t="s">
        <v>225</v>
      </c>
      <c r="M609" s="73">
        <v>45366.285358796296</v>
      </c>
      <c r="N609">
        <v>42327677</v>
      </c>
      <c r="O609">
        <v>11370</v>
      </c>
      <c r="P609" t="s">
        <v>104</v>
      </c>
      <c r="Q609">
        <v>11370</v>
      </c>
      <c r="R609" t="s">
        <v>104</v>
      </c>
      <c r="S609">
        <v>568.5</v>
      </c>
      <c r="T609" t="s">
        <v>73</v>
      </c>
      <c r="U609" t="s">
        <v>226</v>
      </c>
      <c r="V609" t="s">
        <v>425</v>
      </c>
      <c r="W609" t="s">
        <v>235</v>
      </c>
      <c r="X609" t="s">
        <v>229</v>
      </c>
      <c r="Y609" t="s">
        <v>103</v>
      </c>
      <c r="AD609" t="s">
        <v>104</v>
      </c>
      <c r="AE609">
        <v>11370</v>
      </c>
      <c r="AF609">
        <v>42327677</v>
      </c>
      <c r="AG609" s="73">
        <v>45366.285358796296</v>
      </c>
      <c r="AH609" t="s">
        <v>226</v>
      </c>
      <c r="AI609" t="s">
        <v>425</v>
      </c>
      <c r="AJ609" t="s">
        <v>235</v>
      </c>
      <c r="AK609" t="s">
        <v>229</v>
      </c>
      <c r="AL609" t="s">
        <v>103</v>
      </c>
      <c r="AP609" t="s">
        <v>230</v>
      </c>
      <c r="AQ609" t="s">
        <v>231</v>
      </c>
      <c r="AT609" t="s">
        <v>232</v>
      </c>
      <c r="AU609">
        <v>-99</v>
      </c>
      <c r="AV609" t="s">
        <v>104</v>
      </c>
      <c r="AW609">
        <v>11370</v>
      </c>
      <c r="AX609">
        <v>42327677</v>
      </c>
      <c r="AY609" s="73">
        <v>45366.285358796296</v>
      </c>
      <c r="AZ609" t="s">
        <v>226</v>
      </c>
      <c r="BA609" t="s">
        <v>425</v>
      </c>
      <c r="BB609" t="s">
        <v>235</v>
      </c>
      <c r="BC609" t="s">
        <v>229</v>
      </c>
      <c r="BD609" t="s">
        <v>103</v>
      </c>
      <c r="BI609" t="s">
        <v>233</v>
      </c>
      <c r="BJ609" t="s">
        <v>0</v>
      </c>
      <c r="BK609">
        <v>42327650</v>
      </c>
      <c r="BN609" t="s">
        <v>104</v>
      </c>
      <c r="BO609">
        <v>42327669</v>
      </c>
      <c r="BR609">
        <v>11370</v>
      </c>
      <c r="BS609">
        <v>42327677</v>
      </c>
      <c r="BT609" s="73">
        <v>45366.285358796296</v>
      </c>
      <c r="BU609" t="s">
        <v>226</v>
      </c>
      <c r="BV609" t="s">
        <v>425</v>
      </c>
      <c r="BW609" t="s">
        <v>235</v>
      </c>
      <c r="CH609" t="s">
        <v>229</v>
      </c>
      <c r="CI609" t="s">
        <v>103</v>
      </c>
      <c r="CJ609" t="s">
        <v>226</v>
      </c>
      <c r="CK609" t="s">
        <v>425</v>
      </c>
      <c r="CL609" t="s">
        <v>235</v>
      </c>
      <c r="CM609" t="s">
        <v>236</v>
      </c>
      <c r="CN609" t="s">
        <v>104</v>
      </c>
      <c r="CO609">
        <v>11370</v>
      </c>
      <c r="CP609">
        <v>42327677</v>
      </c>
      <c r="CQ609" s="73">
        <v>45366.285358796296</v>
      </c>
      <c r="CR609" t="s">
        <v>229</v>
      </c>
      <c r="CS609" t="s">
        <v>103</v>
      </c>
      <c r="CU609" t="s">
        <v>225</v>
      </c>
    </row>
    <row r="610" spans="1:99">
      <c r="A610" t="s">
        <v>111</v>
      </c>
      <c r="B610" t="s">
        <v>77</v>
      </c>
      <c r="J610" t="s">
        <v>225</v>
      </c>
      <c r="K610" t="s">
        <v>225</v>
      </c>
      <c r="M610" s="73">
        <v>45366.285358796296</v>
      </c>
      <c r="N610">
        <v>42327676</v>
      </c>
      <c r="O610">
        <v>5</v>
      </c>
      <c r="P610" t="s">
        <v>45</v>
      </c>
      <c r="Q610">
        <v>5</v>
      </c>
      <c r="R610" t="s">
        <v>45</v>
      </c>
      <c r="U610" t="s">
        <v>226</v>
      </c>
      <c r="V610" t="s">
        <v>425</v>
      </c>
      <c r="W610" t="s">
        <v>237</v>
      </c>
      <c r="X610" t="s">
        <v>229</v>
      </c>
      <c r="Y610" t="s">
        <v>111</v>
      </c>
      <c r="AD610" t="s">
        <v>45</v>
      </c>
      <c r="AE610">
        <v>5</v>
      </c>
      <c r="AF610">
        <v>42327676</v>
      </c>
      <c r="AG610" s="73">
        <v>45366.285358796296</v>
      </c>
      <c r="AH610" t="s">
        <v>226</v>
      </c>
      <c r="AI610" t="s">
        <v>425</v>
      </c>
      <c r="AJ610" t="s">
        <v>237</v>
      </c>
      <c r="AK610" t="s">
        <v>229</v>
      </c>
      <c r="AL610" t="s">
        <v>111</v>
      </c>
      <c r="AP610" t="s">
        <v>230</v>
      </c>
      <c r="AQ610" t="s">
        <v>231</v>
      </c>
      <c r="AT610" t="s">
        <v>232</v>
      </c>
      <c r="AU610">
        <v>-99</v>
      </c>
      <c r="AV610" t="s">
        <v>45</v>
      </c>
      <c r="AW610">
        <v>5</v>
      </c>
      <c r="AX610">
        <v>42327676</v>
      </c>
      <c r="AY610" s="73">
        <v>45366.285358796296</v>
      </c>
      <c r="AZ610" t="s">
        <v>226</v>
      </c>
      <c r="BA610" t="s">
        <v>425</v>
      </c>
      <c r="BB610" t="s">
        <v>237</v>
      </c>
      <c r="BC610" t="s">
        <v>229</v>
      </c>
      <c r="BD610" t="s">
        <v>111</v>
      </c>
      <c r="BI610" t="s">
        <v>233</v>
      </c>
      <c r="BJ610" t="s">
        <v>0</v>
      </c>
      <c r="BK610">
        <v>42327650</v>
      </c>
      <c r="BN610" t="s">
        <v>45</v>
      </c>
      <c r="BO610">
        <v>42327671</v>
      </c>
      <c r="BR610">
        <v>5</v>
      </c>
      <c r="BS610">
        <v>42327676</v>
      </c>
      <c r="BT610" s="73">
        <v>45366.285358796296</v>
      </c>
      <c r="BU610" t="s">
        <v>226</v>
      </c>
      <c r="BV610" t="s">
        <v>425</v>
      </c>
      <c r="BW610" t="s">
        <v>237</v>
      </c>
      <c r="CH610" t="s">
        <v>229</v>
      </c>
      <c r="CI610" t="s">
        <v>111</v>
      </c>
      <c r="CJ610" t="s">
        <v>226</v>
      </c>
      <c r="CK610" t="s">
        <v>425</v>
      </c>
      <c r="CL610" t="s">
        <v>237</v>
      </c>
      <c r="CM610" t="s">
        <v>236</v>
      </c>
      <c r="CN610" t="s">
        <v>45</v>
      </c>
      <c r="CO610">
        <v>5</v>
      </c>
      <c r="CP610">
        <v>42327676</v>
      </c>
      <c r="CQ610" s="73">
        <v>45366.285358796296</v>
      </c>
      <c r="CR610" t="s">
        <v>229</v>
      </c>
      <c r="CS610" t="s">
        <v>111</v>
      </c>
      <c r="CU610" t="s">
        <v>225</v>
      </c>
    </row>
    <row r="611" spans="1:99">
      <c r="A611" t="s">
        <v>42</v>
      </c>
      <c r="B611" t="s">
        <v>92</v>
      </c>
      <c r="J611" t="s">
        <v>225</v>
      </c>
      <c r="K611" t="s">
        <v>225</v>
      </c>
      <c r="M611" s="73">
        <v>45366.284050925926</v>
      </c>
      <c r="N611">
        <v>42327643</v>
      </c>
      <c r="O611">
        <v>-6280</v>
      </c>
      <c r="P611" t="s">
        <v>45</v>
      </c>
      <c r="Q611">
        <v>-6280</v>
      </c>
      <c r="R611" t="s">
        <v>45</v>
      </c>
      <c r="U611" t="s">
        <v>226</v>
      </c>
      <c r="V611" t="s">
        <v>426</v>
      </c>
      <c r="W611" t="s">
        <v>228</v>
      </c>
      <c r="X611" t="s">
        <v>229</v>
      </c>
      <c r="Y611" t="s">
        <v>42</v>
      </c>
      <c r="AD611" t="s">
        <v>45</v>
      </c>
      <c r="AE611">
        <v>-6280</v>
      </c>
      <c r="AF611">
        <v>42327643</v>
      </c>
      <c r="AG611" s="73">
        <v>45366.284050925926</v>
      </c>
      <c r="AH611" t="s">
        <v>226</v>
      </c>
      <c r="AI611" t="s">
        <v>426</v>
      </c>
      <c r="AJ611" t="s">
        <v>228</v>
      </c>
      <c r="AK611" t="s">
        <v>229</v>
      </c>
      <c r="AL611" t="s">
        <v>42</v>
      </c>
      <c r="AP611" t="s">
        <v>230</v>
      </c>
      <c r="AQ611" t="s">
        <v>231</v>
      </c>
      <c r="AT611" t="s">
        <v>232</v>
      </c>
      <c r="AU611">
        <v>-99</v>
      </c>
      <c r="AV611" t="s">
        <v>45</v>
      </c>
      <c r="AW611">
        <v>-6280</v>
      </c>
      <c r="AX611">
        <v>42327643</v>
      </c>
      <c r="AY611" s="73">
        <v>45366.284050925926</v>
      </c>
      <c r="AZ611" t="s">
        <v>226</v>
      </c>
      <c r="BA611" t="s">
        <v>426</v>
      </c>
      <c r="BB611" t="s">
        <v>228</v>
      </c>
      <c r="BC611" t="s">
        <v>229</v>
      </c>
      <c r="BD611" t="s">
        <v>42</v>
      </c>
      <c r="BI611" t="s">
        <v>233</v>
      </c>
      <c r="BJ611" t="s">
        <v>0</v>
      </c>
      <c r="BK611">
        <v>42327622</v>
      </c>
      <c r="BN611" t="s">
        <v>45</v>
      </c>
      <c r="BR611">
        <v>-6280</v>
      </c>
      <c r="BS611">
        <v>42327643</v>
      </c>
      <c r="BT611" s="73">
        <v>45366.284050925926</v>
      </c>
      <c r="BU611" t="s">
        <v>226</v>
      </c>
      <c r="BV611" t="s">
        <v>426</v>
      </c>
      <c r="BW611" t="s">
        <v>228</v>
      </c>
      <c r="CH611" t="s">
        <v>229</v>
      </c>
      <c r="CI611" t="s">
        <v>42</v>
      </c>
      <c r="CJ611" t="s">
        <v>226</v>
      </c>
      <c r="CK611" t="s">
        <v>426</v>
      </c>
      <c r="CL611" t="s">
        <v>228</v>
      </c>
      <c r="CM611" t="s">
        <v>234</v>
      </c>
      <c r="CN611" t="s">
        <v>45</v>
      </c>
      <c r="CO611">
        <v>-6280</v>
      </c>
      <c r="CP611">
        <v>42327643</v>
      </c>
      <c r="CQ611" s="73">
        <v>45366.284050925926</v>
      </c>
      <c r="CR611" t="s">
        <v>229</v>
      </c>
      <c r="CS611" t="s">
        <v>42</v>
      </c>
      <c r="CU611" t="s">
        <v>225</v>
      </c>
    </row>
    <row r="612" spans="1:99">
      <c r="A612" t="s">
        <v>99</v>
      </c>
      <c r="B612" t="s">
        <v>98</v>
      </c>
      <c r="J612" t="s">
        <v>225</v>
      </c>
      <c r="K612" t="s">
        <v>225</v>
      </c>
      <c r="M612" s="73">
        <v>45366.284050925926</v>
      </c>
      <c r="N612">
        <v>42327642</v>
      </c>
      <c r="O612">
        <v>-314</v>
      </c>
      <c r="P612" t="s">
        <v>73</v>
      </c>
      <c r="Q612">
        <v>-314</v>
      </c>
      <c r="R612" t="s">
        <v>73</v>
      </c>
      <c r="U612" t="s">
        <v>226</v>
      </c>
      <c r="V612" t="s">
        <v>426</v>
      </c>
      <c r="W612" t="s">
        <v>228</v>
      </c>
      <c r="X612" t="s">
        <v>229</v>
      </c>
      <c r="Y612" t="s">
        <v>99</v>
      </c>
      <c r="AD612" t="s">
        <v>73</v>
      </c>
      <c r="AE612">
        <v>-314</v>
      </c>
      <c r="AF612">
        <v>42327642</v>
      </c>
      <c r="AG612" s="73">
        <v>45366.284050925926</v>
      </c>
      <c r="AH612" t="s">
        <v>226</v>
      </c>
      <c r="AI612" t="s">
        <v>426</v>
      </c>
      <c r="AJ612" t="s">
        <v>228</v>
      </c>
      <c r="AK612" t="s">
        <v>229</v>
      </c>
      <c r="AL612" t="s">
        <v>99</v>
      </c>
      <c r="AP612" t="s">
        <v>230</v>
      </c>
      <c r="AQ612" t="s">
        <v>231</v>
      </c>
      <c r="AT612" t="s">
        <v>232</v>
      </c>
      <c r="AU612">
        <v>-99</v>
      </c>
      <c r="AV612" t="s">
        <v>73</v>
      </c>
      <c r="AW612">
        <v>-314</v>
      </c>
      <c r="AX612">
        <v>42327642</v>
      </c>
      <c r="AY612" s="73">
        <v>45366.284050925926</v>
      </c>
      <c r="AZ612" t="s">
        <v>226</v>
      </c>
      <c r="BA612" t="s">
        <v>426</v>
      </c>
      <c r="BB612" t="s">
        <v>228</v>
      </c>
      <c r="BC612" t="s">
        <v>229</v>
      </c>
      <c r="BD612" t="s">
        <v>99</v>
      </c>
      <c r="BI612" t="s">
        <v>233</v>
      </c>
      <c r="BJ612" t="s">
        <v>0</v>
      </c>
      <c r="BK612">
        <v>42327622</v>
      </c>
      <c r="BN612" t="s">
        <v>73</v>
      </c>
      <c r="BR612">
        <v>-314</v>
      </c>
      <c r="BS612">
        <v>42327642</v>
      </c>
      <c r="BT612" s="73">
        <v>45366.284050925926</v>
      </c>
      <c r="BU612" t="s">
        <v>226</v>
      </c>
      <c r="BV612" t="s">
        <v>426</v>
      </c>
      <c r="BW612" t="s">
        <v>228</v>
      </c>
      <c r="CH612" t="s">
        <v>229</v>
      </c>
      <c r="CI612" t="s">
        <v>99</v>
      </c>
      <c r="CJ612" t="s">
        <v>226</v>
      </c>
      <c r="CK612" t="s">
        <v>426</v>
      </c>
      <c r="CL612" t="s">
        <v>228</v>
      </c>
      <c r="CM612" t="s">
        <v>234</v>
      </c>
      <c r="CN612" t="s">
        <v>73</v>
      </c>
      <c r="CO612">
        <v>-314</v>
      </c>
      <c r="CP612">
        <v>42327642</v>
      </c>
      <c r="CQ612" s="73">
        <v>45366.284050925926</v>
      </c>
      <c r="CR612" t="s">
        <v>229</v>
      </c>
      <c r="CS612" t="s">
        <v>99</v>
      </c>
      <c r="CU612" t="s">
        <v>225</v>
      </c>
    </row>
    <row r="613" spans="1:99">
      <c r="A613" t="s">
        <v>103</v>
      </c>
      <c r="B613" t="s">
        <v>98</v>
      </c>
      <c r="J613" t="s">
        <v>225</v>
      </c>
      <c r="K613" t="s">
        <v>225</v>
      </c>
      <c r="M613" s="73">
        <v>45366.284050925926</v>
      </c>
      <c r="N613">
        <v>42327641</v>
      </c>
      <c r="O613">
        <v>6280</v>
      </c>
      <c r="P613" t="s">
        <v>104</v>
      </c>
      <c r="Q613">
        <v>6280</v>
      </c>
      <c r="R613" t="s">
        <v>104</v>
      </c>
      <c r="S613">
        <v>314</v>
      </c>
      <c r="T613" t="s">
        <v>73</v>
      </c>
      <c r="U613" t="s">
        <v>226</v>
      </c>
      <c r="V613" t="s">
        <v>426</v>
      </c>
      <c r="W613" t="s">
        <v>235</v>
      </c>
      <c r="X613" t="s">
        <v>229</v>
      </c>
      <c r="Y613" t="s">
        <v>103</v>
      </c>
      <c r="AD613" t="s">
        <v>104</v>
      </c>
      <c r="AE613">
        <v>6280</v>
      </c>
      <c r="AF613">
        <v>42327641</v>
      </c>
      <c r="AG613" s="73">
        <v>45366.284050925926</v>
      </c>
      <c r="AH613" t="s">
        <v>226</v>
      </c>
      <c r="AI613" t="s">
        <v>426</v>
      </c>
      <c r="AJ613" t="s">
        <v>235</v>
      </c>
      <c r="AK613" t="s">
        <v>229</v>
      </c>
      <c r="AL613" t="s">
        <v>103</v>
      </c>
      <c r="AP613" t="s">
        <v>230</v>
      </c>
      <c r="AQ613" t="s">
        <v>231</v>
      </c>
      <c r="AT613" t="s">
        <v>232</v>
      </c>
      <c r="AU613">
        <v>-99</v>
      </c>
      <c r="AV613" t="s">
        <v>104</v>
      </c>
      <c r="AW613">
        <v>6280</v>
      </c>
      <c r="AX613">
        <v>42327641</v>
      </c>
      <c r="AY613" s="73">
        <v>45366.284050925926</v>
      </c>
      <c r="AZ613" t="s">
        <v>226</v>
      </c>
      <c r="BA613" t="s">
        <v>426</v>
      </c>
      <c r="BB613" t="s">
        <v>235</v>
      </c>
      <c r="BC613" t="s">
        <v>229</v>
      </c>
      <c r="BD613" t="s">
        <v>103</v>
      </c>
      <c r="BI613" t="s">
        <v>233</v>
      </c>
      <c r="BJ613" t="s">
        <v>0</v>
      </c>
      <c r="BK613">
        <v>42327622</v>
      </c>
      <c r="BN613" t="s">
        <v>104</v>
      </c>
      <c r="BO613">
        <v>42327637</v>
      </c>
      <c r="BR613">
        <v>6280</v>
      </c>
      <c r="BS613">
        <v>42327641</v>
      </c>
      <c r="BT613" s="73">
        <v>45366.284050925926</v>
      </c>
      <c r="BU613" t="s">
        <v>226</v>
      </c>
      <c r="BV613" t="s">
        <v>426</v>
      </c>
      <c r="BW613" t="s">
        <v>235</v>
      </c>
      <c r="CH613" t="s">
        <v>229</v>
      </c>
      <c r="CI613" t="s">
        <v>103</v>
      </c>
      <c r="CJ613" t="s">
        <v>226</v>
      </c>
      <c r="CK613" t="s">
        <v>426</v>
      </c>
      <c r="CL613" t="s">
        <v>235</v>
      </c>
      <c r="CM613" t="s">
        <v>236</v>
      </c>
      <c r="CN613" t="s">
        <v>104</v>
      </c>
      <c r="CO613">
        <v>6280</v>
      </c>
      <c r="CP613">
        <v>42327641</v>
      </c>
      <c r="CQ613" s="73">
        <v>45366.284050925926</v>
      </c>
      <c r="CR613" t="s">
        <v>229</v>
      </c>
      <c r="CS613" t="s">
        <v>103</v>
      </c>
      <c r="CU613" t="s">
        <v>225</v>
      </c>
    </row>
    <row r="614" spans="1:99">
      <c r="A614" t="s">
        <v>52</v>
      </c>
      <c r="B614" t="s">
        <v>92</v>
      </c>
      <c r="J614" t="s">
        <v>225</v>
      </c>
      <c r="K614" t="s">
        <v>225</v>
      </c>
      <c r="M614" s="73">
        <v>45366.25</v>
      </c>
      <c r="N614">
        <v>42339244</v>
      </c>
      <c r="O614">
        <v>-500</v>
      </c>
      <c r="P614" t="s">
        <v>45</v>
      </c>
      <c r="Q614">
        <v>-500</v>
      </c>
      <c r="R614" t="s">
        <v>45</v>
      </c>
      <c r="U614" t="s">
        <v>226</v>
      </c>
      <c r="V614" t="s">
        <v>427</v>
      </c>
      <c r="W614" t="s">
        <v>228</v>
      </c>
      <c r="X614" t="s">
        <v>229</v>
      </c>
      <c r="Y614" t="s">
        <v>52</v>
      </c>
      <c r="AD614" t="s">
        <v>45</v>
      </c>
      <c r="AE614">
        <v>-500</v>
      </c>
      <c r="AF614">
        <v>42339244</v>
      </c>
      <c r="AG614" s="73">
        <v>45366.25</v>
      </c>
      <c r="AH614" t="s">
        <v>226</v>
      </c>
      <c r="AI614" t="s">
        <v>427</v>
      </c>
      <c r="AJ614" t="s">
        <v>228</v>
      </c>
      <c r="AK614" t="s">
        <v>229</v>
      </c>
      <c r="AL614" t="s">
        <v>52</v>
      </c>
      <c r="AP614" t="s">
        <v>230</v>
      </c>
      <c r="AQ614" t="s">
        <v>231</v>
      </c>
      <c r="AT614" t="s">
        <v>232</v>
      </c>
      <c r="AU614">
        <v>-99</v>
      </c>
      <c r="AV614" t="s">
        <v>45</v>
      </c>
      <c r="AW614">
        <v>-500</v>
      </c>
      <c r="AX614">
        <v>42339244</v>
      </c>
      <c r="AY614" s="73">
        <v>45366.25</v>
      </c>
      <c r="AZ614" t="s">
        <v>226</v>
      </c>
      <c r="BA614" t="s">
        <v>427</v>
      </c>
      <c r="BB614" t="s">
        <v>228</v>
      </c>
      <c r="BC614" t="s">
        <v>229</v>
      </c>
      <c r="BD614" t="s">
        <v>52</v>
      </c>
      <c r="BI614" t="s">
        <v>233</v>
      </c>
      <c r="BJ614" t="s">
        <v>0</v>
      </c>
      <c r="BK614">
        <v>42339232</v>
      </c>
      <c r="BN614" t="s">
        <v>45</v>
      </c>
      <c r="BR614">
        <v>-500</v>
      </c>
      <c r="BS614">
        <v>42339244</v>
      </c>
      <c r="BT614" s="73">
        <v>45366.25</v>
      </c>
      <c r="BU614" t="s">
        <v>226</v>
      </c>
      <c r="BV614" t="s">
        <v>427</v>
      </c>
      <c r="BW614" t="s">
        <v>228</v>
      </c>
      <c r="CH614" t="s">
        <v>229</v>
      </c>
      <c r="CI614" t="s">
        <v>52</v>
      </c>
      <c r="CJ614" t="s">
        <v>226</v>
      </c>
      <c r="CK614" t="s">
        <v>427</v>
      </c>
      <c r="CL614" t="s">
        <v>228</v>
      </c>
      <c r="CM614" t="s">
        <v>234</v>
      </c>
      <c r="CN614" t="s">
        <v>45</v>
      </c>
      <c r="CO614">
        <v>-500</v>
      </c>
      <c r="CP614">
        <v>42339244</v>
      </c>
      <c r="CQ614" s="73">
        <v>45366.25</v>
      </c>
      <c r="CR614" t="s">
        <v>229</v>
      </c>
      <c r="CS614" t="s">
        <v>52</v>
      </c>
      <c r="CU614" t="s">
        <v>225</v>
      </c>
    </row>
    <row r="615" spans="1:99">
      <c r="A615" t="s">
        <v>101</v>
      </c>
      <c r="B615" t="s">
        <v>98</v>
      </c>
      <c r="J615" t="s">
        <v>225</v>
      </c>
      <c r="K615" t="s">
        <v>225</v>
      </c>
      <c r="M615" s="73">
        <v>45366.25</v>
      </c>
      <c r="N615">
        <v>42339243</v>
      </c>
      <c r="O615">
        <v>-25</v>
      </c>
      <c r="P615" t="s">
        <v>73</v>
      </c>
      <c r="Q615">
        <v>-25</v>
      </c>
      <c r="R615" t="s">
        <v>73</v>
      </c>
      <c r="U615" t="s">
        <v>226</v>
      </c>
      <c r="V615" t="s">
        <v>427</v>
      </c>
      <c r="W615" t="s">
        <v>228</v>
      </c>
      <c r="X615" t="s">
        <v>229</v>
      </c>
      <c r="Y615" t="s">
        <v>101</v>
      </c>
      <c r="AD615" t="s">
        <v>73</v>
      </c>
      <c r="AE615">
        <v>-25</v>
      </c>
      <c r="AF615">
        <v>42339243</v>
      </c>
      <c r="AG615" s="73">
        <v>45366.25</v>
      </c>
      <c r="AH615" t="s">
        <v>226</v>
      </c>
      <c r="AI615" t="s">
        <v>427</v>
      </c>
      <c r="AJ615" t="s">
        <v>228</v>
      </c>
      <c r="AK615" t="s">
        <v>229</v>
      </c>
      <c r="AL615" t="s">
        <v>101</v>
      </c>
      <c r="AP615" t="s">
        <v>230</v>
      </c>
      <c r="AQ615" t="s">
        <v>231</v>
      </c>
      <c r="AT615" t="s">
        <v>232</v>
      </c>
      <c r="AU615">
        <v>-99</v>
      </c>
      <c r="AV615" t="s">
        <v>73</v>
      </c>
      <c r="AW615">
        <v>-25</v>
      </c>
      <c r="AX615">
        <v>42339243</v>
      </c>
      <c r="AY615" s="73">
        <v>45366.25</v>
      </c>
      <c r="AZ615" t="s">
        <v>226</v>
      </c>
      <c r="BA615" t="s">
        <v>427</v>
      </c>
      <c r="BB615" t="s">
        <v>228</v>
      </c>
      <c r="BC615" t="s">
        <v>229</v>
      </c>
      <c r="BD615" t="s">
        <v>101</v>
      </c>
      <c r="BI615" t="s">
        <v>233</v>
      </c>
      <c r="BJ615" t="s">
        <v>0</v>
      </c>
      <c r="BK615">
        <v>42339232</v>
      </c>
      <c r="BN615" t="s">
        <v>73</v>
      </c>
      <c r="BR615">
        <v>-25</v>
      </c>
      <c r="BS615">
        <v>42339243</v>
      </c>
      <c r="BT615" s="73">
        <v>45366.25</v>
      </c>
      <c r="BU615" t="s">
        <v>226</v>
      </c>
      <c r="BV615" t="s">
        <v>427</v>
      </c>
      <c r="BW615" t="s">
        <v>228</v>
      </c>
      <c r="CH615" t="s">
        <v>229</v>
      </c>
      <c r="CI615" t="s">
        <v>101</v>
      </c>
      <c r="CJ615" t="s">
        <v>226</v>
      </c>
      <c r="CK615" t="s">
        <v>427</v>
      </c>
      <c r="CL615" t="s">
        <v>228</v>
      </c>
      <c r="CM615" t="s">
        <v>234</v>
      </c>
      <c r="CN615" t="s">
        <v>73</v>
      </c>
      <c r="CO615">
        <v>-25</v>
      </c>
      <c r="CP615">
        <v>42339243</v>
      </c>
      <c r="CQ615" s="73">
        <v>45366.25</v>
      </c>
      <c r="CR615" t="s">
        <v>229</v>
      </c>
      <c r="CS615" t="s">
        <v>101</v>
      </c>
      <c r="CU615" t="s">
        <v>225</v>
      </c>
    </row>
    <row r="616" spans="1:99">
      <c r="A616" t="s">
        <v>107</v>
      </c>
      <c r="B616" t="s">
        <v>98</v>
      </c>
      <c r="J616" t="s">
        <v>225</v>
      </c>
      <c r="K616" t="s">
        <v>225</v>
      </c>
      <c r="M616" s="73">
        <v>45366.25</v>
      </c>
      <c r="N616">
        <v>42339242</v>
      </c>
      <c r="O616">
        <v>500</v>
      </c>
      <c r="P616" t="s">
        <v>104</v>
      </c>
      <c r="Q616">
        <v>500</v>
      </c>
      <c r="R616" t="s">
        <v>104</v>
      </c>
      <c r="S616">
        <v>25</v>
      </c>
      <c r="T616" t="s">
        <v>73</v>
      </c>
      <c r="U616" t="s">
        <v>226</v>
      </c>
      <c r="V616" t="s">
        <v>427</v>
      </c>
      <c r="W616" t="s">
        <v>235</v>
      </c>
      <c r="X616" t="s">
        <v>229</v>
      </c>
      <c r="Y616" t="s">
        <v>107</v>
      </c>
      <c r="AD616" t="s">
        <v>104</v>
      </c>
      <c r="AE616">
        <v>500</v>
      </c>
      <c r="AF616">
        <v>42339242</v>
      </c>
      <c r="AG616" s="73">
        <v>45366.25</v>
      </c>
      <c r="AH616" t="s">
        <v>226</v>
      </c>
      <c r="AI616" t="s">
        <v>427</v>
      </c>
      <c r="AJ616" t="s">
        <v>235</v>
      </c>
      <c r="AK616" t="s">
        <v>229</v>
      </c>
      <c r="AL616" t="s">
        <v>107</v>
      </c>
      <c r="AP616" t="s">
        <v>230</v>
      </c>
      <c r="AQ616" t="s">
        <v>231</v>
      </c>
      <c r="AT616" t="s">
        <v>232</v>
      </c>
      <c r="AU616">
        <v>-99</v>
      </c>
      <c r="AV616" t="s">
        <v>104</v>
      </c>
      <c r="AW616">
        <v>500</v>
      </c>
      <c r="AX616">
        <v>42339242</v>
      </c>
      <c r="AY616" s="73">
        <v>45366.25</v>
      </c>
      <c r="AZ616" t="s">
        <v>226</v>
      </c>
      <c r="BA616" t="s">
        <v>427</v>
      </c>
      <c r="BB616" t="s">
        <v>235</v>
      </c>
      <c r="BC616" t="s">
        <v>229</v>
      </c>
      <c r="BD616" t="s">
        <v>107</v>
      </c>
      <c r="BI616" t="s">
        <v>233</v>
      </c>
      <c r="BJ616" t="s">
        <v>0</v>
      </c>
      <c r="BK616">
        <v>42339232</v>
      </c>
      <c r="BN616" t="s">
        <v>104</v>
      </c>
      <c r="BO616">
        <v>42339238</v>
      </c>
      <c r="BR616">
        <v>500</v>
      </c>
      <c r="BS616">
        <v>42339242</v>
      </c>
      <c r="BT616" s="73">
        <v>45366.25</v>
      </c>
      <c r="BU616" t="s">
        <v>226</v>
      </c>
      <c r="BV616" t="s">
        <v>427</v>
      </c>
      <c r="BW616" t="s">
        <v>235</v>
      </c>
      <c r="CH616" t="s">
        <v>229</v>
      </c>
      <c r="CI616" t="s">
        <v>107</v>
      </c>
      <c r="CJ616" t="s">
        <v>226</v>
      </c>
      <c r="CK616" t="s">
        <v>427</v>
      </c>
      <c r="CL616" t="s">
        <v>235</v>
      </c>
      <c r="CM616" t="s">
        <v>236</v>
      </c>
      <c r="CN616" t="s">
        <v>104</v>
      </c>
      <c r="CO616">
        <v>500</v>
      </c>
      <c r="CP616">
        <v>42339242</v>
      </c>
      <c r="CQ616" s="73">
        <v>45366.25</v>
      </c>
      <c r="CR616" t="s">
        <v>229</v>
      </c>
      <c r="CS616" t="s">
        <v>107</v>
      </c>
      <c r="CU616" t="s">
        <v>225</v>
      </c>
    </row>
    <row r="617" spans="1:99">
      <c r="A617" t="s">
        <v>42</v>
      </c>
      <c r="B617" t="s">
        <v>92</v>
      </c>
      <c r="J617" t="s">
        <v>225</v>
      </c>
      <c r="K617" t="s">
        <v>225</v>
      </c>
      <c r="M617" s="73">
        <v>45366.25</v>
      </c>
      <c r="N617">
        <v>42339218</v>
      </c>
      <c r="O617">
        <v>-2575</v>
      </c>
      <c r="P617" t="s">
        <v>45</v>
      </c>
      <c r="Q617">
        <v>-2575</v>
      </c>
      <c r="R617" t="s">
        <v>45</v>
      </c>
      <c r="U617" t="s">
        <v>226</v>
      </c>
      <c r="V617" t="s">
        <v>428</v>
      </c>
      <c r="W617" t="s">
        <v>228</v>
      </c>
      <c r="X617" t="s">
        <v>229</v>
      </c>
      <c r="Y617" t="s">
        <v>42</v>
      </c>
      <c r="AD617" t="s">
        <v>45</v>
      </c>
      <c r="AE617">
        <v>-2575</v>
      </c>
      <c r="AF617">
        <v>42339218</v>
      </c>
      <c r="AG617" s="73">
        <v>45366.25</v>
      </c>
      <c r="AH617" t="s">
        <v>226</v>
      </c>
      <c r="AI617" t="s">
        <v>428</v>
      </c>
      <c r="AJ617" t="s">
        <v>228</v>
      </c>
      <c r="AK617" t="s">
        <v>229</v>
      </c>
      <c r="AL617" t="s">
        <v>42</v>
      </c>
      <c r="AP617" t="s">
        <v>230</v>
      </c>
      <c r="AQ617" t="s">
        <v>231</v>
      </c>
      <c r="AT617" t="s">
        <v>232</v>
      </c>
      <c r="AU617">
        <v>-99</v>
      </c>
      <c r="AV617" t="s">
        <v>45</v>
      </c>
      <c r="AW617">
        <v>-2575</v>
      </c>
      <c r="AX617">
        <v>42339218</v>
      </c>
      <c r="AY617" s="73">
        <v>45366.25</v>
      </c>
      <c r="AZ617" t="s">
        <v>226</v>
      </c>
      <c r="BA617" t="s">
        <v>428</v>
      </c>
      <c r="BB617" t="s">
        <v>228</v>
      </c>
      <c r="BC617" t="s">
        <v>229</v>
      </c>
      <c r="BD617" t="s">
        <v>42</v>
      </c>
      <c r="BI617" t="s">
        <v>233</v>
      </c>
      <c r="BJ617" t="s">
        <v>0</v>
      </c>
      <c r="BK617">
        <v>42339195</v>
      </c>
      <c r="BN617" t="s">
        <v>45</v>
      </c>
      <c r="BR617">
        <v>-2575</v>
      </c>
      <c r="BS617">
        <v>42339218</v>
      </c>
      <c r="BT617" s="73">
        <v>45366.25</v>
      </c>
      <c r="BU617" t="s">
        <v>226</v>
      </c>
      <c r="BV617" t="s">
        <v>428</v>
      </c>
      <c r="BW617" t="s">
        <v>228</v>
      </c>
      <c r="CH617" t="s">
        <v>229</v>
      </c>
      <c r="CI617" t="s">
        <v>42</v>
      </c>
      <c r="CJ617" t="s">
        <v>226</v>
      </c>
      <c r="CK617" t="s">
        <v>428</v>
      </c>
      <c r="CL617" t="s">
        <v>228</v>
      </c>
      <c r="CM617" t="s">
        <v>234</v>
      </c>
      <c r="CN617" t="s">
        <v>45</v>
      </c>
      <c r="CO617">
        <v>-2575</v>
      </c>
      <c r="CP617">
        <v>42339218</v>
      </c>
      <c r="CQ617" s="73">
        <v>45366.25</v>
      </c>
      <c r="CR617" t="s">
        <v>229</v>
      </c>
      <c r="CS617" t="s">
        <v>42</v>
      </c>
      <c r="CU617" t="s">
        <v>225</v>
      </c>
    </row>
    <row r="618" spans="1:99">
      <c r="A618" t="s">
        <v>99</v>
      </c>
      <c r="B618" t="s">
        <v>98</v>
      </c>
      <c r="J618" t="s">
        <v>225</v>
      </c>
      <c r="K618" t="s">
        <v>225</v>
      </c>
      <c r="M618" s="73">
        <v>45366.25</v>
      </c>
      <c r="N618">
        <v>42339217</v>
      </c>
      <c r="O618">
        <v>-128.5</v>
      </c>
      <c r="P618" t="s">
        <v>73</v>
      </c>
      <c r="Q618">
        <v>-128.5</v>
      </c>
      <c r="R618" t="s">
        <v>73</v>
      </c>
      <c r="U618" t="s">
        <v>226</v>
      </c>
      <c r="V618" t="s">
        <v>428</v>
      </c>
      <c r="W618" t="s">
        <v>228</v>
      </c>
      <c r="X618" t="s">
        <v>229</v>
      </c>
      <c r="Y618" t="s">
        <v>99</v>
      </c>
      <c r="AD618" t="s">
        <v>73</v>
      </c>
      <c r="AE618">
        <v>-128.5</v>
      </c>
      <c r="AF618">
        <v>42339217</v>
      </c>
      <c r="AG618" s="73">
        <v>45366.25</v>
      </c>
      <c r="AH618" t="s">
        <v>226</v>
      </c>
      <c r="AI618" t="s">
        <v>428</v>
      </c>
      <c r="AJ618" t="s">
        <v>228</v>
      </c>
      <c r="AK618" t="s">
        <v>229</v>
      </c>
      <c r="AL618" t="s">
        <v>99</v>
      </c>
      <c r="AP618" t="s">
        <v>230</v>
      </c>
      <c r="AQ618" t="s">
        <v>231</v>
      </c>
      <c r="AT618" t="s">
        <v>232</v>
      </c>
      <c r="AU618">
        <v>-99</v>
      </c>
      <c r="AV618" t="s">
        <v>73</v>
      </c>
      <c r="AW618">
        <v>-128.5</v>
      </c>
      <c r="AX618">
        <v>42339217</v>
      </c>
      <c r="AY618" s="73">
        <v>45366.25</v>
      </c>
      <c r="AZ618" t="s">
        <v>226</v>
      </c>
      <c r="BA618" t="s">
        <v>428</v>
      </c>
      <c r="BB618" t="s">
        <v>228</v>
      </c>
      <c r="BC618" t="s">
        <v>229</v>
      </c>
      <c r="BD618" t="s">
        <v>99</v>
      </c>
      <c r="BI618" t="s">
        <v>233</v>
      </c>
      <c r="BJ618" t="s">
        <v>0</v>
      </c>
      <c r="BK618">
        <v>42339195</v>
      </c>
      <c r="BN618" t="s">
        <v>73</v>
      </c>
      <c r="BR618">
        <v>-128.5</v>
      </c>
      <c r="BS618">
        <v>42339217</v>
      </c>
      <c r="BT618" s="73">
        <v>45366.25</v>
      </c>
      <c r="BU618" t="s">
        <v>226</v>
      </c>
      <c r="BV618" t="s">
        <v>428</v>
      </c>
      <c r="BW618" t="s">
        <v>228</v>
      </c>
      <c r="CH618" t="s">
        <v>229</v>
      </c>
      <c r="CI618" t="s">
        <v>99</v>
      </c>
      <c r="CJ618" t="s">
        <v>226</v>
      </c>
      <c r="CK618" t="s">
        <v>428</v>
      </c>
      <c r="CL618" t="s">
        <v>228</v>
      </c>
      <c r="CM618" t="s">
        <v>234</v>
      </c>
      <c r="CN618" t="s">
        <v>73</v>
      </c>
      <c r="CO618">
        <v>-128.5</v>
      </c>
      <c r="CP618">
        <v>42339217</v>
      </c>
      <c r="CQ618" s="73">
        <v>45366.25</v>
      </c>
      <c r="CR618" t="s">
        <v>229</v>
      </c>
      <c r="CS618" t="s">
        <v>99</v>
      </c>
      <c r="CU618" t="s">
        <v>225</v>
      </c>
    </row>
    <row r="619" spans="1:99">
      <c r="A619" t="s">
        <v>103</v>
      </c>
      <c r="B619" t="s">
        <v>98</v>
      </c>
      <c r="J619" t="s">
        <v>225</v>
      </c>
      <c r="K619" t="s">
        <v>225</v>
      </c>
      <c r="M619" s="73">
        <v>45366.25</v>
      </c>
      <c r="N619">
        <v>42339216</v>
      </c>
      <c r="O619">
        <v>2570</v>
      </c>
      <c r="P619" t="s">
        <v>104</v>
      </c>
      <c r="Q619">
        <v>2570</v>
      </c>
      <c r="R619" t="s">
        <v>104</v>
      </c>
      <c r="S619">
        <v>128.5</v>
      </c>
      <c r="T619" t="s">
        <v>73</v>
      </c>
      <c r="U619" t="s">
        <v>226</v>
      </c>
      <c r="V619" t="s">
        <v>428</v>
      </c>
      <c r="W619" t="s">
        <v>235</v>
      </c>
      <c r="X619" t="s">
        <v>229</v>
      </c>
      <c r="Y619" t="s">
        <v>103</v>
      </c>
      <c r="AD619" t="s">
        <v>104</v>
      </c>
      <c r="AE619">
        <v>2570</v>
      </c>
      <c r="AF619">
        <v>42339216</v>
      </c>
      <c r="AG619" s="73">
        <v>45366.25</v>
      </c>
      <c r="AH619" t="s">
        <v>226</v>
      </c>
      <c r="AI619" t="s">
        <v>428</v>
      </c>
      <c r="AJ619" t="s">
        <v>235</v>
      </c>
      <c r="AK619" t="s">
        <v>229</v>
      </c>
      <c r="AL619" t="s">
        <v>103</v>
      </c>
      <c r="AP619" t="s">
        <v>230</v>
      </c>
      <c r="AQ619" t="s">
        <v>231</v>
      </c>
      <c r="AT619" t="s">
        <v>232</v>
      </c>
      <c r="AU619">
        <v>-99</v>
      </c>
      <c r="AV619" t="s">
        <v>104</v>
      </c>
      <c r="AW619">
        <v>2570</v>
      </c>
      <c r="AX619">
        <v>42339216</v>
      </c>
      <c r="AY619" s="73">
        <v>45366.25</v>
      </c>
      <c r="AZ619" t="s">
        <v>226</v>
      </c>
      <c r="BA619" t="s">
        <v>428</v>
      </c>
      <c r="BB619" t="s">
        <v>235</v>
      </c>
      <c r="BC619" t="s">
        <v>229</v>
      </c>
      <c r="BD619" t="s">
        <v>103</v>
      </c>
      <c r="BI619" t="s">
        <v>233</v>
      </c>
      <c r="BJ619" t="s">
        <v>0</v>
      </c>
      <c r="BK619">
        <v>42339195</v>
      </c>
      <c r="BN619" t="s">
        <v>104</v>
      </c>
      <c r="BO619">
        <v>42339201</v>
      </c>
      <c r="BR619">
        <v>2570</v>
      </c>
      <c r="BS619">
        <v>42339216</v>
      </c>
      <c r="BT619" s="73">
        <v>45366.25</v>
      </c>
      <c r="BU619" t="s">
        <v>226</v>
      </c>
      <c r="BV619" t="s">
        <v>428</v>
      </c>
      <c r="BW619" t="s">
        <v>235</v>
      </c>
      <c r="CH619" t="s">
        <v>229</v>
      </c>
      <c r="CI619" t="s">
        <v>103</v>
      </c>
      <c r="CJ619" t="s">
        <v>226</v>
      </c>
      <c r="CK619" t="s">
        <v>428</v>
      </c>
      <c r="CL619" t="s">
        <v>235</v>
      </c>
      <c r="CM619" t="s">
        <v>236</v>
      </c>
      <c r="CN619" t="s">
        <v>104</v>
      </c>
      <c r="CO619">
        <v>2570</v>
      </c>
      <c r="CP619">
        <v>42339216</v>
      </c>
      <c r="CQ619" s="73">
        <v>45366.25</v>
      </c>
      <c r="CR619" t="s">
        <v>229</v>
      </c>
      <c r="CS619" t="s">
        <v>103</v>
      </c>
      <c r="CU619" t="s">
        <v>225</v>
      </c>
    </row>
    <row r="620" spans="1:99">
      <c r="A620" t="s">
        <v>111</v>
      </c>
      <c r="B620" t="s">
        <v>77</v>
      </c>
      <c r="J620" t="s">
        <v>225</v>
      </c>
      <c r="K620" t="s">
        <v>225</v>
      </c>
      <c r="M620" s="73">
        <v>45366.25</v>
      </c>
      <c r="N620">
        <v>42339215</v>
      </c>
      <c r="O620">
        <v>5</v>
      </c>
      <c r="P620" t="s">
        <v>45</v>
      </c>
      <c r="Q620">
        <v>5</v>
      </c>
      <c r="R620" t="s">
        <v>45</v>
      </c>
      <c r="U620" t="s">
        <v>226</v>
      </c>
      <c r="V620" t="s">
        <v>428</v>
      </c>
      <c r="W620" t="s">
        <v>237</v>
      </c>
      <c r="X620" t="s">
        <v>229</v>
      </c>
      <c r="Y620" t="s">
        <v>111</v>
      </c>
      <c r="AD620" t="s">
        <v>45</v>
      </c>
      <c r="AE620">
        <v>5</v>
      </c>
      <c r="AF620">
        <v>42339215</v>
      </c>
      <c r="AG620" s="73">
        <v>45366.25</v>
      </c>
      <c r="AH620" t="s">
        <v>226</v>
      </c>
      <c r="AI620" t="s">
        <v>428</v>
      </c>
      <c r="AJ620" t="s">
        <v>237</v>
      </c>
      <c r="AK620" t="s">
        <v>229</v>
      </c>
      <c r="AL620" t="s">
        <v>111</v>
      </c>
      <c r="AP620" t="s">
        <v>230</v>
      </c>
      <c r="AQ620" t="s">
        <v>231</v>
      </c>
      <c r="AT620" t="s">
        <v>232</v>
      </c>
      <c r="AU620">
        <v>-99</v>
      </c>
      <c r="AV620" t="s">
        <v>45</v>
      </c>
      <c r="AW620">
        <v>5</v>
      </c>
      <c r="AX620">
        <v>42339215</v>
      </c>
      <c r="AY620" s="73">
        <v>45366.25</v>
      </c>
      <c r="AZ620" t="s">
        <v>226</v>
      </c>
      <c r="BA620" t="s">
        <v>428</v>
      </c>
      <c r="BB620" t="s">
        <v>237</v>
      </c>
      <c r="BC620" t="s">
        <v>229</v>
      </c>
      <c r="BD620" t="s">
        <v>111</v>
      </c>
      <c r="BI620" t="s">
        <v>233</v>
      </c>
      <c r="BJ620" t="s">
        <v>0</v>
      </c>
      <c r="BK620">
        <v>42339195</v>
      </c>
      <c r="BN620" t="s">
        <v>45</v>
      </c>
      <c r="BO620">
        <v>42339203</v>
      </c>
      <c r="BR620">
        <v>5</v>
      </c>
      <c r="BS620">
        <v>42339215</v>
      </c>
      <c r="BT620" s="73">
        <v>45366.25</v>
      </c>
      <c r="BU620" t="s">
        <v>226</v>
      </c>
      <c r="BV620" t="s">
        <v>428</v>
      </c>
      <c r="BW620" t="s">
        <v>237</v>
      </c>
      <c r="CH620" t="s">
        <v>229</v>
      </c>
      <c r="CI620" t="s">
        <v>111</v>
      </c>
      <c r="CJ620" t="s">
        <v>226</v>
      </c>
      <c r="CK620" t="s">
        <v>428</v>
      </c>
      <c r="CL620" t="s">
        <v>237</v>
      </c>
      <c r="CM620" t="s">
        <v>236</v>
      </c>
      <c r="CN620" t="s">
        <v>45</v>
      </c>
      <c r="CO620">
        <v>5</v>
      </c>
      <c r="CP620">
        <v>42339215</v>
      </c>
      <c r="CQ620" s="73">
        <v>45366.25</v>
      </c>
      <c r="CR620" t="s">
        <v>229</v>
      </c>
      <c r="CS620" t="s">
        <v>111</v>
      </c>
      <c r="CU620" t="s">
        <v>225</v>
      </c>
    </row>
    <row r="621" spans="1:99">
      <c r="A621" t="s">
        <v>52</v>
      </c>
      <c r="B621" t="s">
        <v>92</v>
      </c>
      <c r="J621" t="s">
        <v>225</v>
      </c>
      <c r="K621" t="s">
        <v>225</v>
      </c>
      <c r="M621" s="73">
        <v>45365.916666666664</v>
      </c>
      <c r="N621">
        <v>42327230</v>
      </c>
      <c r="O621">
        <v>-2504</v>
      </c>
      <c r="P621" t="s">
        <v>45</v>
      </c>
      <c r="Q621">
        <v>-2504</v>
      </c>
      <c r="R621" t="s">
        <v>45</v>
      </c>
      <c r="U621" t="s">
        <v>226</v>
      </c>
      <c r="V621" t="s">
        <v>429</v>
      </c>
      <c r="W621" t="s">
        <v>228</v>
      </c>
      <c r="X621" t="s">
        <v>229</v>
      </c>
      <c r="Y621" t="s">
        <v>52</v>
      </c>
      <c r="AD621" t="s">
        <v>45</v>
      </c>
      <c r="AE621">
        <v>-2504</v>
      </c>
      <c r="AF621">
        <v>42327230</v>
      </c>
      <c r="AG621" s="73">
        <v>45365.916666666664</v>
      </c>
      <c r="AH621" t="s">
        <v>226</v>
      </c>
      <c r="AI621" t="s">
        <v>429</v>
      </c>
      <c r="AJ621" t="s">
        <v>228</v>
      </c>
      <c r="AK621" t="s">
        <v>229</v>
      </c>
      <c r="AL621" t="s">
        <v>52</v>
      </c>
      <c r="AP621" t="s">
        <v>230</v>
      </c>
      <c r="AQ621" t="s">
        <v>231</v>
      </c>
      <c r="AT621" t="s">
        <v>232</v>
      </c>
      <c r="AU621">
        <v>-99</v>
      </c>
      <c r="AV621" t="s">
        <v>45</v>
      </c>
      <c r="AW621">
        <v>-2504</v>
      </c>
      <c r="AX621">
        <v>42327230</v>
      </c>
      <c r="AY621" s="73">
        <v>45365.916666666664</v>
      </c>
      <c r="AZ621" t="s">
        <v>226</v>
      </c>
      <c r="BA621" t="s">
        <v>429</v>
      </c>
      <c r="BB621" t="s">
        <v>228</v>
      </c>
      <c r="BC621" t="s">
        <v>229</v>
      </c>
      <c r="BD621" t="s">
        <v>52</v>
      </c>
      <c r="BI621" t="s">
        <v>233</v>
      </c>
      <c r="BJ621" t="s">
        <v>0</v>
      </c>
      <c r="BK621">
        <v>42327214</v>
      </c>
      <c r="BN621" t="s">
        <v>45</v>
      </c>
      <c r="BR621">
        <v>-2504</v>
      </c>
      <c r="BS621">
        <v>42327230</v>
      </c>
      <c r="BT621" s="73">
        <v>45365.916666666664</v>
      </c>
      <c r="BU621" t="s">
        <v>226</v>
      </c>
      <c r="BV621" t="s">
        <v>429</v>
      </c>
      <c r="BW621" t="s">
        <v>228</v>
      </c>
      <c r="CH621" t="s">
        <v>229</v>
      </c>
      <c r="CI621" t="s">
        <v>52</v>
      </c>
      <c r="CJ621" t="s">
        <v>226</v>
      </c>
      <c r="CK621" t="s">
        <v>429</v>
      </c>
      <c r="CL621" t="s">
        <v>228</v>
      </c>
      <c r="CM621" t="s">
        <v>234</v>
      </c>
      <c r="CN621" t="s">
        <v>45</v>
      </c>
      <c r="CO621">
        <v>-2504</v>
      </c>
      <c r="CP621">
        <v>42327230</v>
      </c>
      <c r="CQ621" s="73">
        <v>45365.916666666664</v>
      </c>
      <c r="CR621" t="s">
        <v>229</v>
      </c>
      <c r="CS621" t="s">
        <v>52</v>
      </c>
      <c r="CU621" t="s">
        <v>225</v>
      </c>
    </row>
    <row r="622" spans="1:99">
      <c r="A622" t="s">
        <v>101</v>
      </c>
      <c r="B622" t="s">
        <v>98</v>
      </c>
      <c r="J622" t="s">
        <v>225</v>
      </c>
      <c r="K622" t="s">
        <v>225</v>
      </c>
      <c r="M622" s="73">
        <v>45365.916666666664</v>
      </c>
      <c r="N622">
        <v>42327229</v>
      </c>
      <c r="O622">
        <v>-125</v>
      </c>
      <c r="P622" t="s">
        <v>73</v>
      </c>
      <c r="Q622">
        <v>-125</v>
      </c>
      <c r="R622" t="s">
        <v>73</v>
      </c>
      <c r="U622" t="s">
        <v>226</v>
      </c>
      <c r="V622" t="s">
        <v>429</v>
      </c>
      <c r="W622" t="s">
        <v>228</v>
      </c>
      <c r="X622" t="s">
        <v>229</v>
      </c>
      <c r="Y622" t="s">
        <v>101</v>
      </c>
      <c r="AD622" t="s">
        <v>73</v>
      </c>
      <c r="AE622">
        <v>-125</v>
      </c>
      <c r="AF622">
        <v>42327229</v>
      </c>
      <c r="AG622" s="73">
        <v>45365.916666666664</v>
      </c>
      <c r="AH622" t="s">
        <v>226</v>
      </c>
      <c r="AI622" t="s">
        <v>429</v>
      </c>
      <c r="AJ622" t="s">
        <v>228</v>
      </c>
      <c r="AK622" t="s">
        <v>229</v>
      </c>
      <c r="AL622" t="s">
        <v>101</v>
      </c>
      <c r="AP622" t="s">
        <v>230</v>
      </c>
      <c r="AQ622" t="s">
        <v>231</v>
      </c>
      <c r="AT622" t="s">
        <v>232</v>
      </c>
      <c r="AU622">
        <v>-99</v>
      </c>
      <c r="AV622" t="s">
        <v>73</v>
      </c>
      <c r="AW622">
        <v>-125</v>
      </c>
      <c r="AX622">
        <v>42327229</v>
      </c>
      <c r="AY622" s="73">
        <v>45365.916666666664</v>
      </c>
      <c r="AZ622" t="s">
        <v>226</v>
      </c>
      <c r="BA622" t="s">
        <v>429</v>
      </c>
      <c r="BB622" t="s">
        <v>228</v>
      </c>
      <c r="BC622" t="s">
        <v>229</v>
      </c>
      <c r="BD622" t="s">
        <v>101</v>
      </c>
      <c r="BI622" t="s">
        <v>233</v>
      </c>
      <c r="BJ622" t="s">
        <v>0</v>
      </c>
      <c r="BK622">
        <v>42327214</v>
      </c>
      <c r="BN622" t="s">
        <v>73</v>
      </c>
      <c r="BR622">
        <v>-125</v>
      </c>
      <c r="BS622">
        <v>42327229</v>
      </c>
      <c r="BT622" s="73">
        <v>45365.916666666664</v>
      </c>
      <c r="BU622" t="s">
        <v>226</v>
      </c>
      <c r="BV622" t="s">
        <v>429</v>
      </c>
      <c r="BW622" t="s">
        <v>228</v>
      </c>
      <c r="CH622" t="s">
        <v>229</v>
      </c>
      <c r="CI622" t="s">
        <v>101</v>
      </c>
      <c r="CJ622" t="s">
        <v>226</v>
      </c>
      <c r="CK622" t="s">
        <v>429</v>
      </c>
      <c r="CL622" t="s">
        <v>228</v>
      </c>
      <c r="CM622" t="s">
        <v>234</v>
      </c>
      <c r="CN622" t="s">
        <v>73</v>
      </c>
      <c r="CO622">
        <v>-125</v>
      </c>
      <c r="CP622">
        <v>42327229</v>
      </c>
      <c r="CQ622" s="73">
        <v>45365.916666666664</v>
      </c>
      <c r="CR622" t="s">
        <v>229</v>
      </c>
      <c r="CS622" t="s">
        <v>101</v>
      </c>
      <c r="CU622" t="s">
        <v>225</v>
      </c>
    </row>
    <row r="623" spans="1:99">
      <c r="A623" t="s">
        <v>107</v>
      </c>
      <c r="B623" t="s">
        <v>98</v>
      </c>
      <c r="J623" t="s">
        <v>225</v>
      </c>
      <c r="K623" t="s">
        <v>225</v>
      </c>
      <c r="M623" s="73">
        <v>45365.916666666664</v>
      </c>
      <c r="N623">
        <v>42327228</v>
      </c>
      <c r="O623">
        <v>2500</v>
      </c>
      <c r="P623" t="s">
        <v>104</v>
      </c>
      <c r="Q623">
        <v>2500</v>
      </c>
      <c r="R623" t="s">
        <v>104</v>
      </c>
      <c r="S623">
        <v>125</v>
      </c>
      <c r="T623" t="s">
        <v>73</v>
      </c>
      <c r="U623" t="s">
        <v>226</v>
      </c>
      <c r="V623" t="s">
        <v>429</v>
      </c>
      <c r="W623" t="s">
        <v>235</v>
      </c>
      <c r="X623" t="s">
        <v>229</v>
      </c>
      <c r="Y623" t="s">
        <v>107</v>
      </c>
      <c r="AD623" t="s">
        <v>104</v>
      </c>
      <c r="AE623">
        <v>2500</v>
      </c>
      <c r="AF623">
        <v>42327228</v>
      </c>
      <c r="AG623" s="73">
        <v>45365.916666666664</v>
      </c>
      <c r="AH623" t="s">
        <v>226</v>
      </c>
      <c r="AI623" t="s">
        <v>429</v>
      </c>
      <c r="AJ623" t="s">
        <v>235</v>
      </c>
      <c r="AK623" t="s">
        <v>229</v>
      </c>
      <c r="AL623" t="s">
        <v>107</v>
      </c>
      <c r="AP623" t="s">
        <v>230</v>
      </c>
      <c r="AQ623" t="s">
        <v>231</v>
      </c>
      <c r="AT623" t="s">
        <v>232</v>
      </c>
      <c r="AU623">
        <v>-99</v>
      </c>
      <c r="AV623" t="s">
        <v>104</v>
      </c>
      <c r="AW623">
        <v>2500</v>
      </c>
      <c r="AX623">
        <v>42327228</v>
      </c>
      <c r="AY623" s="73">
        <v>45365.916666666664</v>
      </c>
      <c r="AZ623" t="s">
        <v>226</v>
      </c>
      <c r="BA623" t="s">
        <v>429</v>
      </c>
      <c r="BB623" t="s">
        <v>235</v>
      </c>
      <c r="BC623" t="s">
        <v>229</v>
      </c>
      <c r="BD623" t="s">
        <v>107</v>
      </c>
      <c r="BI623" t="s">
        <v>233</v>
      </c>
      <c r="BJ623" t="s">
        <v>0</v>
      </c>
      <c r="BK623">
        <v>42327214</v>
      </c>
      <c r="BN623" t="s">
        <v>104</v>
      </c>
      <c r="BO623">
        <v>42327220</v>
      </c>
      <c r="BR623">
        <v>2500</v>
      </c>
      <c r="BS623">
        <v>42327228</v>
      </c>
      <c r="BT623" s="73">
        <v>45365.916666666664</v>
      </c>
      <c r="BU623" t="s">
        <v>226</v>
      </c>
      <c r="BV623" t="s">
        <v>429</v>
      </c>
      <c r="BW623" t="s">
        <v>235</v>
      </c>
      <c r="CH623" t="s">
        <v>229</v>
      </c>
      <c r="CI623" t="s">
        <v>107</v>
      </c>
      <c r="CJ623" t="s">
        <v>226</v>
      </c>
      <c r="CK623" t="s">
        <v>429</v>
      </c>
      <c r="CL623" t="s">
        <v>235</v>
      </c>
      <c r="CM623" t="s">
        <v>236</v>
      </c>
      <c r="CN623" t="s">
        <v>104</v>
      </c>
      <c r="CO623">
        <v>2500</v>
      </c>
      <c r="CP623">
        <v>42327228</v>
      </c>
      <c r="CQ623" s="73">
        <v>45365.916666666664</v>
      </c>
      <c r="CR623" t="s">
        <v>229</v>
      </c>
      <c r="CS623" t="s">
        <v>107</v>
      </c>
      <c r="CU623" t="s">
        <v>225</v>
      </c>
    </row>
    <row r="624" spans="1:99">
      <c r="A624" t="s">
        <v>111</v>
      </c>
      <c r="B624" t="s">
        <v>77</v>
      </c>
      <c r="J624" t="s">
        <v>225</v>
      </c>
      <c r="K624" t="s">
        <v>225</v>
      </c>
      <c r="M624" s="73">
        <v>45365.916666666664</v>
      </c>
      <c r="N624">
        <v>42327227</v>
      </c>
      <c r="O624">
        <v>4</v>
      </c>
      <c r="P624" t="s">
        <v>45</v>
      </c>
      <c r="Q624">
        <v>4</v>
      </c>
      <c r="R624" t="s">
        <v>45</v>
      </c>
      <c r="U624" t="s">
        <v>226</v>
      </c>
      <c r="V624" t="s">
        <v>429</v>
      </c>
      <c r="W624" t="s">
        <v>237</v>
      </c>
      <c r="X624" t="s">
        <v>229</v>
      </c>
      <c r="Y624" t="s">
        <v>111</v>
      </c>
      <c r="AD624" t="s">
        <v>45</v>
      </c>
      <c r="AE624">
        <v>4</v>
      </c>
      <c r="AF624">
        <v>42327227</v>
      </c>
      <c r="AG624" s="73">
        <v>45365.916666666664</v>
      </c>
      <c r="AH624" t="s">
        <v>226</v>
      </c>
      <c r="AI624" t="s">
        <v>429</v>
      </c>
      <c r="AJ624" t="s">
        <v>237</v>
      </c>
      <c r="AK624" t="s">
        <v>229</v>
      </c>
      <c r="AL624" t="s">
        <v>111</v>
      </c>
      <c r="AP624" t="s">
        <v>230</v>
      </c>
      <c r="AQ624" t="s">
        <v>231</v>
      </c>
      <c r="AT624" t="s">
        <v>232</v>
      </c>
      <c r="AU624">
        <v>-99</v>
      </c>
      <c r="AV624" t="s">
        <v>45</v>
      </c>
      <c r="AW624">
        <v>4</v>
      </c>
      <c r="AX624">
        <v>42327227</v>
      </c>
      <c r="AY624" s="73">
        <v>45365.916666666664</v>
      </c>
      <c r="AZ624" t="s">
        <v>226</v>
      </c>
      <c r="BA624" t="s">
        <v>429</v>
      </c>
      <c r="BB624" t="s">
        <v>237</v>
      </c>
      <c r="BC624" t="s">
        <v>229</v>
      </c>
      <c r="BD624" t="s">
        <v>111</v>
      </c>
      <c r="BI624" t="s">
        <v>233</v>
      </c>
      <c r="BJ624" t="s">
        <v>0</v>
      </c>
      <c r="BK624">
        <v>42327214</v>
      </c>
      <c r="BN624" t="s">
        <v>45</v>
      </c>
      <c r="BO624">
        <v>42327222</v>
      </c>
      <c r="BR624">
        <v>4</v>
      </c>
      <c r="BS624">
        <v>42327227</v>
      </c>
      <c r="BT624" s="73">
        <v>45365.916666666664</v>
      </c>
      <c r="BU624" t="s">
        <v>226</v>
      </c>
      <c r="BV624" t="s">
        <v>429</v>
      </c>
      <c r="BW624" t="s">
        <v>237</v>
      </c>
      <c r="CH624" t="s">
        <v>229</v>
      </c>
      <c r="CI624" t="s">
        <v>111</v>
      </c>
      <c r="CJ624" t="s">
        <v>226</v>
      </c>
      <c r="CK624" t="s">
        <v>429</v>
      </c>
      <c r="CL624" t="s">
        <v>237</v>
      </c>
      <c r="CM624" t="s">
        <v>236</v>
      </c>
      <c r="CN624" t="s">
        <v>45</v>
      </c>
      <c r="CO624">
        <v>4</v>
      </c>
      <c r="CP624">
        <v>42327227</v>
      </c>
      <c r="CQ624" s="73">
        <v>45365.916666666664</v>
      </c>
      <c r="CR624" t="s">
        <v>229</v>
      </c>
      <c r="CS624" t="s">
        <v>111</v>
      </c>
      <c r="CU624" t="s">
        <v>225</v>
      </c>
    </row>
    <row r="625" spans="1:99">
      <c r="A625" t="s">
        <v>46</v>
      </c>
      <c r="B625" t="s">
        <v>92</v>
      </c>
      <c r="J625" t="s">
        <v>225</v>
      </c>
      <c r="K625" t="s">
        <v>225</v>
      </c>
      <c r="M625" s="73">
        <v>45365.916666666664</v>
      </c>
      <c r="N625">
        <v>42327193</v>
      </c>
      <c r="O625">
        <v>-621</v>
      </c>
      <c r="P625" t="s">
        <v>45</v>
      </c>
      <c r="Q625">
        <v>-621</v>
      </c>
      <c r="R625" t="s">
        <v>45</v>
      </c>
      <c r="U625" t="s">
        <v>226</v>
      </c>
      <c r="V625" t="s">
        <v>430</v>
      </c>
      <c r="W625" t="s">
        <v>228</v>
      </c>
      <c r="X625" t="s">
        <v>229</v>
      </c>
      <c r="Y625" t="s">
        <v>46</v>
      </c>
      <c r="AD625" t="s">
        <v>45</v>
      </c>
      <c r="AE625">
        <v>-621</v>
      </c>
      <c r="AF625">
        <v>42327193</v>
      </c>
      <c r="AG625" s="73">
        <v>45365.916666666664</v>
      </c>
      <c r="AH625" t="s">
        <v>226</v>
      </c>
      <c r="AI625" t="s">
        <v>430</v>
      </c>
      <c r="AJ625" t="s">
        <v>228</v>
      </c>
      <c r="AK625" t="s">
        <v>229</v>
      </c>
      <c r="AL625" t="s">
        <v>46</v>
      </c>
      <c r="AP625" t="s">
        <v>230</v>
      </c>
      <c r="AQ625" t="s">
        <v>231</v>
      </c>
      <c r="AT625" t="s">
        <v>232</v>
      </c>
      <c r="AU625">
        <v>-99</v>
      </c>
      <c r="AV625" t="s">
        <v>45</v>
      </c>
      <c r="AW625">
        <v>-621</v>
      </c>
      <c r="AX625">
        <v>42327193</v>
      </c>
      <c r="AY625" s="73">
        <v>45365.916666666664</v>
      </c>
      <c r="AZ625" t="s">
        <v>226</v>
      </c>
      <c r="BA625" t="s">
        <v>430</v>
      </c>
      <c r="BB625" t="s">
        <v>228</v>
      </c>
      <c r="BC625" t="s">
        <v>229</v>
      </c>
      <c r="BD625" t="s">
        <v>46</v>
      </c>
      <c r="BI625" t="s">
        <v>233</v>
      </c>
      <c r="BJ625" t="s">
        <v>0</v>
      </c>
      <c r="BK625">
        <v>42327176</v>
      </c>
      <c r="BN625" t="s">
        <v>45</v>
      </c>
      <c r="BR625">
        <v>-621</v>
      </c>
      <c r="BS625">
        <v>42327193</v>
      </c>
      <c r="BT625" s="73">
        <v>45365.916666666664</v>
      </c>
      <c r="BU625" t="s">
        <v>226</v>
      </c>
      <c r="BV625" t="s">
        <v>430</v>
      </c>
      <c r="BW625" t="s">
        <v>228</v>
      </c>
      <c r="CH625" t="s">
        <v>229</v>
      </c>
      <c r="CI625" t="s">
        <v>46</v>
      </c>
      <c r="CJ625" t="s">
        <v>226</v>
      </c>
      <c r="CK625" t="s">
        <v>430</v>
      </c>
      <c r="CL625" t="s">
        <v>228</v>
      </c>
      <c r="CM625" t="s">
        <v>234</v>
      </c>
      <c r="CN625" t="s">
        <v>45</v>
      </c>
      <c r="CO625">
        <v>-621</v>
      </c>
      <c r="CP625">
        <v>42327193</v>
      </c>
      <c r="CQ625" s="73">
        <v>45365.916666666664</v>
      </c>
      <c r="CR625" t="s">
        <v>229</v>
      </c>
      <c r="CS625" t="s">
        <v>46</v>
      </c>
      <c r="CU625" t="s">
        <v>225</v>
      </c>
    </row>
    <row r="626" spans="1:99">
      <c r="A626" t="s">
        <v>93</v>
      </c>
      <c r="B626" t="s">
        <v>98</v>
      </c>
      <c r="J626" t="s">
        <v>225</v>
      </c>
      <c r="K626" t="s">
        <v>225</v>
      </c>
      <c r="M626" s="73">
        <v>45365.916666666664</v>
      </c>
      <c r="N626">
        <v>42327192</v>
      </c>
      <c r="O626">
        <v>-31</v>
      </c>
      <c r="P626" t="s">
        <v>73</v>
      </c>
      <c r="Q626">
        <v>-31</v>
      </c>
      <c r="R626" t="s">
        <v>73</v>
      </c>
      <c r="U626" t="s">
        <v>226</v>
      </c>
      <c r="V626" t="s">
        <v>430</v>
      </c>
      <c r="W626" t="s">
        <v>228</v>
      </c>
      <c r="X626" t="s">
        <v>229</v>
      </c>
      <c r="Y626" t="s">
        <v>93</v>
      </c>
      <c r="AD626" t="s">
        <v>73</v>
      </c>
      <c r="AE626">
        <v>-31</v>
      </c>
      <c r="AF626">
        <v>42327192</v>
      </c>
      <c r="AG626" s="73">
        <v>45365.916666666664</v>
      </c>
      <c r="AH626" t="s">
        <v>226</v>
      </c>
      <c r="AI626" t="s">
        <v>430</v>
      </c>
      <c r="AJ626" t="s">
        <v>228</v>
      </c>
      <c r="AK626" t="s">
        <v>229</v>
      </c>
      <c r="AL626" t="s">
        <v>93</v>
      </c>
      <c r="AP626" t="s">
        <v>230</v>
      </c>
      <c r="AQ626" t="s">
        <v>231</v>
      </c>
      <c r="AT626" t="s">
        <v>232</v>
      </c>
      <c r="AU626">
        <v>-99</v>
      </c>
      <c r="AV626" t="s">
        <v>73</v>
      </c>
      <c r="AW626">
        <v>-31</v>
      </c>
      <c r="AX626">
        <v>42327192</v>
      </c>
      <c r="AY626" s="73">
        <v>45365.916666666664</v>
      </c>
      <c r="AZ626" t="s">
        <v>226</v>
      </c>
      <c r="BA626" t="s">
        <v>430</v>
      </c>
      <c r="BB626" t="s">
        <v>228</v>
      </c>
      <c r="BC626" t="s">
        <v>229</v>
      </c>
      <c r="BD626" t="s">
        <v>93</v>
      </c>
      <c r="BI626" t="s">
        <v>233</v>
      </c>
      <c r="BJ626" t="s">
        <v>0</v>
      </c>
      <c r="BK626">
        <v>42327176</v>
      </c>
      <c r="BN626" t="s">
        <v>73</v>
      </c>
      <c r="BR626">
        <v>-31</v>
      </c>
      <c r="BS626">
        <v>42327192</v>
      </c>
      <c r="BT626" s="73">
        <v>45365.916666666664</v>
      </c>
      <c r="BU626" t="s">
        <v>226</v>
      </c>
      <c r="BV626" t="s">
        <v>430</v>
      </c>
      <c r="BW626" t="s">
        <v>228</v>
      </c>
      <c r="CH626" t="s">
        <v>229</v>
      </c>
      <c r="CI626" t="s">
        <v>93</v>
      </c>
      <c r="CJ626" t="s">
        <v>226</v>
      </c>
      <c r="CK626" t="s">
        <v>430</v>
      </c>
      <c r="CL626" t="s">
        <v>228</v>
      </c>
      <c r="CM626" t="s">
        <v>234</v>
      </c>
      <c r="CN626" t="s">
        <v>73</v>
      </c>
      <c r="CO626">
        <v>-31</v>
      </c>
      <c r="CP626">
        <v>42327192</v>
      </c>
      <c r="CQ626" s="73">
        <v>45365.916666666664</v>
      </c>
      <c r="CR626" t="s">
        <v>229</v>
      </c>
      <c r="CS626" t="s">
        <v>93</v>
      </c>
      <c r="CU626" t="s">
        <v>225</v>
      </c>
    </row>
    <row r="627" spans="1:99">
      <c r="A627" t="s">
        <v>108</v>
      </c>
      <c r="B627" t="s">
        <v>98</v>
      </c>
      <c r="J627" t="s">
        <v>225</v>
      </c>
      <c r="K627" t="s">
        <v>225</v>
      </c>
      <c r="M627" s="73">
        <v>45365.916666666664</v>
      </c>
      <c r="N627">
        <v>42327191</v>
      </c>
      <c r="O627">
        <v>620</v>
      </c>
      <c r="P627" t="s">
        <v>104</v>
      </c>
      <c r="Q627">
        <v>620</v>
      </c>
      <c r="R627" t="s">
        <v>104</v>
      </c>
      <c r="S627">
        <v>31</v>
      </c>
      <c r="T627" t="s">
        <v>73</v>
      </c>
      <c r="U627" t="s">
        <v>226</v>
      </c>
      <c r="V627" t="s">
        <v>430</v>
      </c>
      <c r="W627" t="s">
        <v>235</v>
      </c>
      <c r="X627" t="s">
        <v>229</v>
      </c>
      <c r="Y627" t="s">
        <v>108</v>
      </c>
      <c r="AD627" t="s">
        <v>104</v>
      </c>
      <c r="AE627">
        <v>620</v>
      </c>
      <c r="AF627">
        <v>42327191</v>
      </c>
      <c r="AG627" s="73">
        <v>45365.916666666664</v>
      </c>
      <c r="AH627" t="s">
        <v>226</v>
      </c>
      <c r="AI627" t="s">
        <v>430</v>
      </c>
      <c r="AJ627" t="s">
        <v>235</v>
      </c>
      <c r="AK627" t="s">
        <v>229</v>
      </c>
      <c r="AL627" t="s">
        <v>108</v>
      </c>
      <c r="AP627" t="s">
        <v>230</v>
      </c>
      <c r="AQ627" t="s">
        <v>231</v>
      </c>
      <c r="AT627" t="s">
        <v>232</v>
      </c>
      <c r="AU627">
        <v>-99</v>
      </c>
      <c r="AV627" t="s">
        <v>104</v>
      </c>
      <c r="AW627">
        <v>620</v>
      </c>
      <c r="AX627">
        <v>42327191</v>
      </c>
      <c r="AY627" s="73">
        <v>45365.916666666664</v>
      </c>
      <c r="AZ627" t="s">
        <v>226</v>
      </c>
      <c r="BA627" t="s">
        <v>430</v>
      </c>
      <c r="BB627" t="s">
        <v>235</v>
      </c>
      <c r="BC627" t="s">
        <v>229</v>
      </c>
      <c r="BD627" t="s">
        <v>108</v>
      </c>
      <c r="BI627" t="s">
        <v>233</v>
      </c>
      <c r="BJ627" t="s">
        <v>0</v>
      </c>
      <c r="BK627">
        <v>42327176</v>
      </c>
      <c r="BN627" t="s">
        <v>104</v>
      </c>
      <c r="BO627">
        <v>42327183</v>
      </c>
      <c r="BR627">
        <v>620</v>
      </c>
      <c r="BS627">
        <v>42327191</v>
      </c>
      <c r="BT627" s="73">
        <v>45365.916666666664</v>
      </c>
      <c r="BU627" t="s">
        <v>226</v>
      </c>
      <c r="BV627" t="s">
        <v>430</v>
      </c>
      <c r="BW627" t="s">
        <v>235</v>
      </c>
      <c r="CH627" t="s">
        <v>229</v>
      </c>
      <c r="CI627" t="s">
        <v>108</v>
      </c>
      <c r="CJ627" t="s">
        <v>226</v>
      </c>
      <c r="CK627" t="s">
        <v>430</v>
      </c>
      <c r="CL627" t="s">
        <v>235</v>
      </c>
      <c r="CM627" t="s">
        <v>236</v>
      </c>
      <c r="CN627" t="s">
        <v>104</v>
      </c>
      <c r="CO627">
        <v>620</v>
      </c>
      <c r="CP627">
        <v>42327191</v>
      </c>
      <c r="CQ627" s="73">
        <v>45365.916666666664</v>
      </c>
      <c r="CR627" t="s">
        <v>229</v>
      </c>
      <c r="CS627" t="s">
        <v>108</v>
      </c>
      <c r="CU627" t="s">
        <v>225</v>
      </c>
    </row>
    <row r="628" spans="1:99">
      <c r="A628" t="s">
        <v>111</v>
      </c>
      <c r="B628" t="s">
        <v>77</v>
      </c>
      <c r="J628" t="s">
        <v>225</v>
      </c>
      <c r="K628" t="s">
        <v>225</v>
      </c>
      <c r="M628" s="73">
        <v>45365.916666666664</v>
      </c>
      <c r="N628">
        <v>42327190</v>
      </c>
      <c r="O628">
        <v>1</v>
      </c>
      <c r="P628" t="s">
        <v>45</v>
      </c>
      <c r="Q628">
        <v>1</v>
      </c>
      <c r="R628" t="s">
        <v>45</v>
      </c>
      <c r="U628" t="s">
        <v>226</v>
      </c>
      <c r="V628" t="s">
        <v>430</v>
      </c>
      <c r="W628" t="s">
        <v>237</v>
      </c>
      <c r="X628" t="s">
        <v>229</v>
      </c>
      <c r="Y628" t="s">
        <v>111</v>
      </c>
      <c r="AD628" t="s">
        <v>45</v>
      </c>
      <c r="AE628">
        <v>1</v>
      </c>
      <c r="AF628">
        <v>42327190</v>
      </c>
      <c r="AG628" s="73">
        <v>45365.916666666664</v>
      </c>
      <c r="AH628" t="s">
        <v>226</v>
      </c>
      <c r="AI628" t="s">
        <v>430</v>
      </c>
      <c r="AJ628" t="s">
        <v>237</v>
      </c>
      <c r="AK628" t="s">
        <v>229</v>
      </c>
      <c r="AL628" t="s">
        <v>111</v>
      </c>
      <c r="AP628" t="s">
        <v>230</v>
      </c>
      <c r="AQ628" t="s">
        <v>231</v>
      </c>
      <c r="AT628" t="s">
        <v>232</v>
      </c>
      <c r="AU628">
        <v>-99</v>
      </c>
      <c r="AV628" t="s">
        <v>45</v>
      </c>
      <c r="AW628">
        <v>1</v>
      </c>
      <c r="AX628">
        <v>42327190</v>
      </c>
      <c r="AY628" s="73">
        <v>45365.916666666664</v>
      </c>
      <c r="AZ628" t="s">
        <v>226</v>
      </c>
      <c r="BA628" t="s">
        <v>430</v>
      </c>
      <c r="BB628" t="s">
        <v>237</v>
      </c>
      <c r="BC628" t="s">
        <v>229</v>
      </c>
      <c r="BD628" t="s">
        <v>111</v>
      </c>
      <c r="BI628" t="s">
        <v>233</v>
      </c>
      <c r="BJ628" t="s">
        <v>0</v>
      </c>
      <c r="BK628">
        <v>42327176</v>
      </c>
      <c r="BN628" t="s">
        <v>45</v>
      </c>
      <c r="BO628">
        <v>42327185</v>
      </c>
      <c r="BR628">
        <v>1</v>
      </c>
      <c r="BS628">
        <v>42327190</v>
      </c>
      <c r="BT628" s="73">
        <v>45365.916666666664</v>
      </c>
      <c r="BU628" t="s">
        <v>226</v>
      </c>
      <c r="BV628" t="s">
        <v>430</v>
      </c>
      <c r="BW628" t="s">
        <v>237</v>
      </c>
      <c r="CH628" t="s">
        <v>229</v>
      </c>
      <c r="CI628" t="s">
        <v>111</v>
      </c>
      <c r="CJ628" t="s">
        <v>226</v>
      </c>
      <c r="CK628" t="s">
        <v>430</v>
      </c>
      <c r="CL628" t="s">
        <v>237</v>
      </c>
      <c r="CM628" t="s">
        <v>236</v>
      </c>
      <c r="CN628" t="s">
        <v>45</v>
      </c>
      <c r="CO628">
        <v>1</v>
      </c>
      <c r="CP628">
        <v>42327190</v>
      </c>
      <c r="CQ628" s="73">
        <v>45365.916666666664</v>
      </c>
      <c r="CR628" t="s">
        <v>229</v>
      </c>
      <c r="CS628" t="s">
        <v>111</v>
      </c>
      <c r="CU628" t="s">
        <v>225</v>
      </c>
    </row>
    <row r="629" spans="1:99">
      <c r="A629" t="s">
        <v>42</v>
      </c>
      <c r="B629" t="s">
        <v>92</v>
      </c>
      <c r="J629" t="s">
        <v>225</v>
      </c>
      <c r="K629" t="s">
        <v>225</v>
      </c>
      <c r="M629" s="73">
        <v>45365.912835648145</v>
      </c>
      <c r="N629">
        <v>42320043</v>
      </c>
      <c r="O629">
        <v>-3900</v>
      </c>
      <c r="P629" t="s">
        <v>45</v>
      </c>
      <c r="Q629">
        <v>-3900</v>
      </c>
      <c r="R629" t="s">
        <v>45</v>
      </c>
      <c r="U629" t="s">
        <v>226</v>
      </c>
      <c r="V629" t="s">
        <v>431</v>
      </c>
      <c r="W629" t="s">
        <v>228</v>
      </c>
      <c r="X629" t="s">
        <v>229</v>
      </c>
      <c r="Y629" t="s">
        <v>42</v>
      </c>
      <c r="AD629" t="s">
        <v>45</v>
      </c>
      <c r="AE629">
        <v>-3900</v>
      </c>
      <c r="AF629">
        <v>42320043</v>
      </c>
      <c r="AG629" s="73">
        <v>45365.912835648145</v>
      </c>
      <c r="AH629" t="s">
        <v>226</v>
      </c>
      <c r="AI629" t="s">
        <v>431</v>
      </c>
      <c r="AJ629" t="s">
        <v>228</v>
      </c>
      <c r="AK629" t="s">
        <v>229</v>
      </c>
      <c r="AL629" t="s">
        <v>42</v>
      </c>
      <c r="AP629" t="s">
        <v>230</v>
      </c>
      <c r="AQ629" t="s">
        <v>231</v>
      </c>
      <c r="AT629" t="s">
        <v>232</v>
      </c>
      <c r="AU629">
        <v>-99</v>
      </c>
      <c r="AV629" t="s">
        <v>45</v>
      </c>
      <c r="AW629">
        <v>-3900</v>
      </c>
      <c r="AX629">
        <v>42320043</v>
      </c>
      <c r="AY629" s="73">
        <v>45365.912835648145</v>
      </c>
      <c r="AZ629" t="s">
        <v>226</v>
      </c>
      <c r="BA629" t="s">
        <v>431</v>
      </c>
      <c r="BB629" t="s">
        <v>228</v>
      </c>
      <c r="BC629" t="s">
        <v>229</v>
      </c>
      <c r="BD629" t="s">
        <v>42</v>
      </c>
      <c r="BI629" t="s">
        <v>233</v>
      </c>
      <c r="BJ629" t="s">
        <v>0</v>
      </c>
      <c r="BK629">
        <v>42320009</v>
      </c>
      <c r="BN629" t="s">
        <v>45</v>
      </c>
      <c r="BR629">
        <v>-3900</v>
      </c>
      <c r="BS629">
        <v>42320043</v>
      </c>
      <c r="BT629" s="73">
        <v>45365.912835648145</v>
      </c>
      <c r="BU629" t="s">
        <v>226</v>
      </c>
      <c r="BV629" t="s">
        <v>431</v>
      </c>
      <c r="BW629" t="s">
        <v>228</v>
      </c>
      <c r="CH629" t="s">
        <v>229</v>
      </c>
      <c r="CI629" t="s">
        <v>42</v>
      </c>
      <c r="CJ629" t="s">
        <v>226</v>
      </c>
      <c r="CK629" t="s">
        <v>431</v>
      </c>
      <c r="CL629" t="s">
        <v>228</v>
      </c>
      <c r="CM629" t="s">
        <v>234</v>
      </c>
      <c r="CN629" t="s">
        <v>45</v>
      </c>
      <c r="CO629">
        <v>-3900</v>
      </c>
      <c r="CP629">
        <v>42320043</v>
      </c>
      <c r="CQ629" s="73">
        <v>45365.912835648145</v>
      </c>
      <c r="CR629" t="s">
        <v>229</v>
      </c>
      <c r="CS629" t="s">
        <v>42</v>
      </c>
      <c r="CU629" t="s">
        <v>225</v>
      </c>
    </row>
    <row r="630" spans="1:99">
      <c r="A630" t="s">
        <v>99</v>
      </c>
      <c r="B630" t="s">
        <v>98</v>
      </c>
      <c r="J630" t="s">
        <v>225</v>
      </c>
      <c r="K630" t="s">
        <v>225</v>
      </c>
      <c r="M630" s="73">
        <v>45365.912835648145</v>
      </c>
      <c r="N630">
        <v>42320042</v>
      </c>
      <c r="O630">
        <v>-195</v>
      </c>
      <c r="P630" t="s">
        <v>73</v>
      </c>
      <c r="Q630">
        <v>-195</v>
      </c>
      <c r="R630" t="s">
        <v>73</v>
      </c>
      <c r="U630" t="s">
        <v>226</v>
      </c>
      <c r="V630" t="s">
        <v>431</v>
      </c>
      <c r="W630" t="s">
        <v>228</v>
      </c>
      <c r="X630" t="s">
        <v>229</v>
      </c>
      <c r="Y630" t="s">
        <v>99</v>
      </c>
      <c r="AD630" t="s">
        <v>73</v>
      </c>
      <c r="AE630">
        <v>-195</v>
      </c>
      <c r="AF630">
        <v>42320042</v>
      </c>
      <c r="AG630" s="73">
        <v>45365.912835648145</v>
      </c>
      <c r="AH630" t="s">
        <v>226</v>
      </c>
      <c r="AI630" t="s">
        <v>431</v>
      </c>
      <c r="AJ630" t="s">
        <v>228</v>
      </c>
      <c r="AK630" t="s">
        <v>229</v>
      </c>
      <c r="AL630" t="s">
        <v>99</v>
      </c>
      <c r="AP630" t="s">
        <v>230</v>
      </c>
      <c r="AQ630" t="s">
        <v>231</v>
      </c>
      <c r="AT630" t="s">
        <v>232</v>
      </c>
      <c r="AU630">
        <v>-99</v>
      </c>
      <c r="AV630" t="s">
        <v>73</v>
      </c>
      <c r="AW630">
        <v>-195</v>
      </c>
      <c r="AX630">
        <v>42320042</v>
      </c>
      <c r="AY630" s="73">
        <v>45365.912835648145</v>
      </c>
      <c r="AZ630" t="s">
        <v>226</v>
      </c>
      <c r="BA630" t="s">
        <v>431</v>
      </c>
      <c r="BB630" t="s">
        <v>228</v>
      </c>
      <c r="BC630" t="s">
        <v>229</v>
      </c>
      <c r="BD630" t="s">
        <v>99</v>
      </c>
      <c r="BI630" t="s">
        <v>233</v>
      </c>
      <c r="BJ630" t="s">
        <v>0</v>
      </c>
      <c r="BK630">
        <v>42320009</v>
      </c>
      <c r="BN630" t="s">
        <v>73</v>
      </c>
      <c r="BR630">
        <v>-195</v>
      </c>
      <c r="BS630">
        <v>42320042</v>
      </c>
      <c r="BT630" s="73">
        <v>45365.912835648145</v>
      </c>
      <c r="BU630" t="s">
        <v>226</v>
      </c>
      <c r="BV630" t="s">
        <v>431</v>
      </c>
      <c r="BW630" t="s">
        <v>228</v>
      </c>
      <c r="CH630" t="s">
        <v>229</v>
      </c>
      <c r="CI630" t="s">
        <v>99</v>
      </c>
      <c r="CJ630" t="s">
        <v>226</v>
      </c>
      <c r="CK630" t="s">
        <v>431</v>
      </c>
      <c r="CL630" t="s">
        <v>228</v>
      </c>
      <c r="CM630" t="s">
        <v>234</v>
      </c>
      <c r="CN630" t="s">
        <v>73</v>
      </c>
      <c r="CO630">
        <v>-195</v>
      </c>
      <c r="CP630">
        <v>42320042</v>
      </c>
      <c r="CQ630" s="73">
        <v>45365.912835648145</v>
      </c>
      <c r="CR630" t="s">
        <v>229</v>
      </c>
      <c r="CS630" t="s">
        <v>99</v>
      </c>
      <c r="CU630" t="s">
        <v>225</v>
      </c>
    </row>
    <row r="631" spans="1:99">
      <c r="A631" t="s">
        <v>103</v>
      </c>
      <c r="B631" t="s">
        <v>98</v>
      </c>
      <c r="J631" t="s">
        <v>225</v>
      </c>
      <c r="K631" t="s">
        <v>225</v>
      </c>
      <c r="M631" s="73">
        <v>45365.912835648145</v>
      </c>
      <c r="N631">
        <v>42320041</v>
      </c>
      <c r="O631">
        <v>3900</v>
      </c>
      <c r="P631" t="s">
        <v>104</v>
      </c>
      <c r="Q631">
        <v>3900</v>
      </c>
      <c r="R631" t="s">
        <v>104</v>
      </c>
      <c r="S631">
        <v>195</v>
      </c>
      <c r="T631" t="s">
        <v>73</v>
      </c>
      <c r="U631" t="s">
        <v>226</v>
      </c>
      <c r="V631" t="s">
        <v>431</v>
      </c>
      <c r="W631" t="s">
        <v>235</v>
      </c>
      <c r="X631" t="s">
        <v>229</v>
      </c>
      <c r="Y631" t="s">
        <v>103</v>
      </c>
      <c r="AD631" t="s">
        <v>104</v>
      </c>
      <c r="AE631">
        <v>3900</v>
      </c>
      <c r="AF631">
        <v>42320041</v>
      </c>
      <c r="AG631" s="73">
        <v>45365.912835648145</v>
      </c>
      <c r="AH631" t="s">
        <v>226</v>
      </c>
      <c r="AI631" t="s">
        <v>431</v>
      </c>
      <c r="AJ631" t="s">
        <v>235</v>
      </c>
      <c r="AK631" t="s">
        <v>229</v>
      </c>
      <c r="AL631" t="s">
        <v>103</v>
      </c>
      <c r="AP631" t="s">
        <v>230</v>
      </c>
      <c r="AQ631" t="s">
        <v>231</v>
      </c>
      <c r="AT631" t="s">
        <v>232</v>
      </c>
      <c r="AU631">
        <v>-99</v>
      </c>
      <c r="AV631" t="s">
        <v>104</v>
      </c>
      <c r="AW631">
        <v>3900</v>
      </c>
      <c r="AX631">
        <v>42320041</v>
      </c>
      <c r="AY631" s="73">
        <v>45365.912835648145</v>
      </c>
      <c r="AZ631" t="s">
        <v>226</v>
      </c>
      <c r="BA631" t="s">
        <v>431</v>
      </c>
      <c r="BB631" t="s">
        <v>235</v>
      </c>
      <c r="BC631" t="s">
        <v>229</v>
      </c>
      <c r="BD631" t="s">
        <v>103</v>
      </c>
      <c r="BI631" t="s">
        <v>233</v>
      </c>
      <c r="BJ631" t="s">
        <v>0</v>
      </c>
      <c r="BK631">
        <v>42320009</v>
      </c>
      <c r="BN631" t="s">
        <v>104</v>
      </c>
      <c r="BO631">
        <v>42320037</v>
      </c>
      <c r="BR631">
        <v>3900</v>
      </c>
      <c r="BS631">
        <v>42320041</v>
      </c>
      <c r="BT631" s="73">
        <v>45365.912835648145</v>
      </c>
      <c r="BU631" t="s">
        <v>226</v>
      </c>
      <c r="BV631" t="s">
        <v>431</v>
      </c>
      <c r="BW631" t="s">
        <v>235</v>
      </c>
      <c r="CH631" t="s">
        <v>229</v>
      </c>
      <c r="CI631" t="s">
        <v>103</v>
      </c>
      <c r="CJ631" t="s">
        <v>226</v>
      </c>
      <c r="CK631" t="s">
        <v>431</v>
      </c>
      <c r="CL631" t="s">
        <v>235</v>
      </c>
      <c r="CM631" t="s">
        <v>236</v>
      </c>
      <c r="CN631" t="s">
        <v>104</v>
      </c>
      <c r="CO631">
        <v>3900</v>
      </c>
      <c r="CP631">
        <v>42320041</v>
      </c>
      <c r="CQ631" s="73">
        <v>45365.912835648145</v>
      </c>
      <c r="CR631" t="s">
        <v>229</v>
      </c>
      <c r="CS631" t="s">
        <v>103</v>
      </c>
      <c r="CU631" t="s">
        <v>225</v>
      </c>
    </row>
    <row r="632" spans="1:99">
      <c r="A632" t="s">
        <v>42</v>
      </c>
      <c r="B632" t="s">
        <v>92</v>
      </c>
      <c r="J632" t="s">
        <v>225</v>
      </c>
      <c r="K632" t="s">
        <v>225</v>
      </c>
      <c r="M632" s="73">
        <v>45365.911296296297</v>
      </c>
      <c r="N632">
        <v>42319964</v>
      </c>
      <c r="O632">
        <v>-2208</v>
      </c>
      <c r="P632" t="s">
        <v>45</v>
      </c>
      <c r="Q632">
        <v>-2208</v>
      </c>
      <c r="R632" t="s">
        <v>45</v>
      </c>
      <c r="U632" t="s">
        <v>226</v>
      </c>
      <c r="V632" t="s">
        <v>432</v>
      </c>
      <c r="W632" t="s">
        <v>228</v>
      </c>
      <c r="X632" t="s">
        <v>229</v>
      </c>
      <c r="Y632" t="s">
        <v>42</v>
      </c>
      <c r="AD632" t="s">
        <v>45</v>
      </c>
      <c r="AE632">
        <v>-2208</v>
      </c>
      <c r="AF632">
        <v>42319964</v>
      </c>
      <c r="AG632" s="73">
        <v>45365.911296296297</v>
      </c>
      <c r="AH632" t="s">
        <v>226</v>
      </c>
      <c r="AI632" t="s">
        <v>432</v>
      </c>
      <c r="AJ632" t="s">
        <v>228</v>
      </c>
      <c r="AK632" t="s">
        <v>229</v>
      </c>
      <c r="AL632" t="s">
        <v>42</v>
      </c>
      <c r="AP632" t="s">
        <v>230</v>
      </c>
      <c r="AQ632" t="s">
        <v>231</v>
      </c>
      <c r="AT632" t="s">
        <v>232</v>
      </c>
      <c r="AU632">
        <v>-99</v>
      </c>
      <c r="AV632" t="s">
        <v>45</v>
      </c>
      <c r="AW632">
        <v>-2208</v>
      </c>
      <c r="AX632">
        <v>42319964</v>
      </c>
      <c r="AY632" s="73">
        <v>45365.911296296297</v>
      </c>
      <c r="AZ632" t="s">
        <v>226</v>
      </c>
      <c r="BA632" t="s">
        <v>432</v>
      </c>
      <c r="BB632" t="s">
        <v>228</v>
      </c>
      <c r="BC632" t="s">
        <v>229</v>
      </c>
      <c r="BD632" t="s">
        <v>42</v>
      </c>
      <c r="BI632" t="s">
        <v>233</v>
      </c>
      <c r="BJ632" t="s">
        <v>0</v>
      </c>
      <c r="BK632">
        <v>42319936</v>
      </c>
      <c r="BN632" t="s">
        <v>45</v>
      </c>
      <c r="BR632">
        <v>-2208</v>
      </c>
      <c r="BS632">
        <v>42319964</v>
      </c>
      <c r="BT632" s="73">
        <v>45365.911296296297</v>
      </c>
      <c r="BU632" t="s">
        <v>226</v>
      </c>
      <c r="BV632" t="s">
        <v>432</v>
      </c>
      <c r="BW632" t="s">
        <v>228</v>
      </c>
      <c r="CH632" t="s">
        <v>229</v>
      </c>
      <c r="CI632" t="s">
        <v>42</v>
      </c>
      <c r="CJ632" t="s">
        <v>226</v>
      </c>
      <c r="CK632" t="s">
        <v>432</v>
      </c>
      <c r="CL632" t="s">
        <v>228</v>
      </c>
      <c r="CM632" t="s">
        <v>234</v>
      </c>
      <c r="CN632" t="s">
        <v>45</v>
      </c>
      <c r="CO632">
        <v>-2208</v>
      </c>
      <c r="CP632">
        <v>42319964</v>
      </c>
      <c r="CQ632" s="73">
        <v>45365.911296296297</v>
      </c>
      <c r="CR632" t="s">
        <v>229</v>
      </c>
      <c r="CS632" t="s">
        <v>42</v>
      </c>
      <c r="CU632" t="s">
        <v>225</v>
      </c>
    </row>
    <row r="633" spans="1:99">
      <c r="A633" t="s">
        <v>99</v>
      </c>
      <c r="B633" t="s">
        <v>98</v>
      </c>
      <c r="J633" t="s">
        <v>225</v>
      </c>
      <c r="K633" t="s">
        <v>225</v>
      </c>
      <c r="M633" s="73">
        <v>45365.911296296297</v>
      </c>
      <c r="N633">
        <v>42319963</v>
      </c>
      <c r="O633">
        <v>-110</v>
      </c>
      <c r="P633" t="s">
        <v>73</v>
      </c>
      <c r="Q633">
        <v>-110</v>
      </c>
      <c r="R633" t="s">
        <v>73</v>
      </c>
      <c r="U633" t="s">
        <v>226</v>
      </c>
      <c r="V633" t="s">
        <v>432</v>
      </c>
      <c r="W633" t="s">
        <v>228</v>
      </c>
      <c r="X633" t="s">
        <v>229</v>
      </c>
      <c r="Y633" t="s">
        <v>99</v>
      </c>
      <c r="AD633" t="s">
        <v>73</v>
      </c>
      <c r="AE633">
        <v>-110</v>
      </c>
      <c r="AF633">
        <v>42319963</v>
      </c>
      <c r="AG633" s="73">
        <v>45365.911296296297</v>
      </c>
      <c r="AH633" t="s">
        <v>226</v>
      </c>
      <c r="AI633" t="s">
        <v>432</v>
      </c>
      <c r="AJ633" t="s">
        <v>228</v>
      </c>
      <c r="AK633" t="s">
        <v>229</v>
      </c>
      <c r="AL633" t="s">
        <v>99</v>
      </c>
      <c r="AP633" t="s">
        <v>230</v>
      </c>
      <c r="AQ633" t="s">
        <v>231</v>
      </c>
      <c r="AT633" t="s">
        <v>232</v>
      </c>
      <c r="AU633">
        <v>-99</v>
      </c>
      <c r="AV633" t="s">
        <v>73</v>
      </c>
      <c r="AW633">
        <v>-110</v>
      </c>
      <c r="AX633">
        <v>42319963</v>
      </c>
      <c r="AY633" s="73">
        <v>45365.911296296297</v>
      </c>
      <c r="AZ633" t="s">
        <v>226</v>
      </c>
      <c r="BA633" t="s">
        <v>432</v>
      </c>
      <c r="BB633" t="s">
        <v>228</v>
      </c>
      <c r="BC633" t="s">
        <v>229</v>
      </c>
      <c r="BD633" t="s">
        <v>99</v>
      </c>
      <c r="BI633" t="s">
        <v>233</v>
      </c>
      <c r="BJ633" t="s">
        <v>0</v>
      </c>
      <c r="BK633">
        <v>42319936</v>
      </c>
      <c r="BN633" t="s">
        <v>73</v>
      </c>
      <c r="BR633">
        <v>-110</v>
      </c>
      <c r="BS633">
        <v>42319963</v>
      </c>
      <c r="BT633" s="73">
        <v>45365.911296296297</v>
      </c>
      <c r="BU633" t="s">
        <v>226</v>
      </c>
      <c r="BV633" t="s">
        <v>432</v>
      </c>
      <c r="BW633" t="s">
        <v>228</v>
      </c>
      <c r="CH633" t="s">
        <v>229</v>
      </c>
      <c r="CI633" t="s">
        <v>99</v>
      </c>
      <c r="CJ633" t="s">
        <v>226</v>
      </c>
      <c r="CK633" t="s">
        <v>432</v>
      </c>
      <c r="CL633" t="s">
        <v>228</v>
      </c>
      <c r="CM633" t="s">
        <v>234</v>
      </c>
      <c r="CN633" t="s">
        <v>73</v>
      </c>
      <c r="CO633">
        <v>-110</v>
      </c>
      <c r="CP633">
        <v>42319963</v>
      </c>
      <c r="CQ633" s="73">
        <v>45365.911296296297</v>
      </c>
      <c r="CR633" t="s">
        <v>229</v>
      </c>
      <c r="CS633" t="s">
        <v>99</v>
      </c>
      <c r="CU633" t="s">
        <v>225</v>
      </c>
    </row>
    <row r="634" spans="1:99">
      <c r="A634" t="s">
        <v>103</v>
      </c>
      <c r="B634" t="s">
        <v>98</v>
      </c>
      <c r="J634" t="s">
        <v>225</v>
      </c>
      <c r="K634" t="s">
        <v>225</v>
      </c>
      <c r="M634" s="73">
        <v>45365.911296296297</v>
      </c>
      <c r="N634">
        <v>42319962</v>
      </c>
      <c r="O634">
        <v>2200</v>
      </c>
      <c r="P634" t="s">
        <v>104</v>
      </c>
      <c r="Q634">
        <v>2200</v>
      </c>
      <c r="R634" t="s">
        <v>104</v>
      </c>
      <c r="S634">
        <v>110</v>
      </c>
      <c r="T634" t="s">
        <v>73</v>
      </c>
      <c r="U634" t="s">
        <v>226</v>
      </c>
      <c r="V634" t="s">
        <v>432</v>
      </c>
      <c r="W634" t="s">
        <v>235</v>
      </c>
      <c r="X634" t="s">
        <v>229</v>
      </c>
      <c r="Y634" t="s">
        <v>103</v>
      </c>
      <c r="AD634" t="s">
        <v>104</v>
      </c>
      <c r="AE634">
        <v>2200</v>
      </c>
      <c r="AF634">
        <v>42319962</v>
      </c>
      <c r="AG634" s="73">
        <v>45365.911296296297</v>
      </c>
      <c r="AH634" t="s">
        <v>226</v>
      </c>
      <c r="AI634" t="s">
        <v>432</v>
      </c>
      <c r="AJ634" t="s">
        <v>235</v>
      </c>
      <c r="AK634" t="s">
        <v>229</v>
      </c>
      <c r="AL634" t="s">
        <v>103</v>
      </c>
      <c r="AP634" t="s">
        <v>230</v>
      </c>
      <c r="AQ634" t="s">
        <v>231</v>
      </c>
      <c r="AT634" t="s">
        <v>232</v>
      </c>
      <c r="AU634">
        <v>-99</v>
      </c>
      <c r="AV634" t="s">
        <v>104</v>
      </c>
      <c r="AW634">
        <v>2200</v>
      </c>
      <c r="AX634">
        <v>42319962</v>
      </c>
      <c r="AY634" s="73">
        <v>45365.911296296297</v>
      </c>
      <c r="AZ634" t="s">
        <v>226</v>
      </c>
      <c r="BA634" t="s">
        <v>432</v>
      </c>
      <c r="BB634" t="s">
        <v>235</v>
      </c>
      <c r="BC634" t="s">
        <v>229</v>
      </c>
      <c r="BD634" t="s">
        <v>103</v>
      </c>
      <c r="BI634" t="s">
        <v>233</v>
      </c>
      <c r="BJ634" t="s">
        <v>0</v>
      </c>
      <c r="BK634">
        <v>42319936</v>
      </c>
      <c r="BN634" t="s">
        <v>104</v>
      </c>
      <c r="BO634">
        <v>42319945</v>
      </c>
      <c r="BR634">
        <v>2200</v>
      </c>
      <c r="BS634">
        <v>42319962</v>
      </c>
      <c r="BT634" s="73">
        <v>45365.911296296297</v>
      </c>
      <c r="BU634" t="s">
        <v>226</v>
      </c>
      <c r="BV634" t="s">
        <v>432</v>
      </c>
      <c r="BW634" t="s">
        <v>235</v>
      </c>
      <c r="CH634" t="s">
        <v>229</v>
      </c>
      <c r="CI634" t="s">
        <v>103</v>
      </c>
      <c r="CJ634" t="s">
        <v>226</v>
      </c>
      <c r="CK634" t="s">
        <v>432</v>
      </c>
      <c r="CL634" t="s">
        <v>235</v>
      </c>
      <c r="CM634" t="s">
        <v>236</v>
      </c>
      <c r="CN634" t="s">
        <v>104</v>
      </c>
      <c r="CO634">
        <v>2200</v>
      </c>
      <c r="CP634">
        <v>42319962</v>
      </c>
      <c r="CQ634" s="73">
        <v>45365.911296296297</v>
      </c>
      <c r="CR634" t="s">
        <v>229</v>
      </c>
      <c r="CS634" t="s">
        <v>103</v>
      </c>
      <c r="CU634" t="s">
        <v>225</v>
      </c>
    </row>
    <row r="635" spans="1:99">
      <c r="A635" t="s">
        <v>111</v>
      </c>
      <c r="B635" t="s">
        <v>77</v>
      </c>
      <c r="J635" t="s">
        <v>225</v>
      </c>
      <c r="K635" t="s">
        <v>225</v>
      </c>
      <c r="M635" s="73">
        <v>45365.911296296297</v>
      </c>
      <c r="N635">
        <v>42319961</v>
      </c>
      <c r="O635">
        <v>8</v>
      </c>
      <c r="P635" t="s">
        <v>45</v>
      </c>
      <c r="Q635">
        <v>8</v>
      </c>
      <c r="R635" t="s">
        <v>45</v>
      </c>
      <c r="U635" t="s">
        <v>226</v>
      </c>
      <c r="V635" t="s">
        <v>432</v>
      </c>
      <c r="W635" t="s">
        <v>237</v>
      </c>
      <c r="X635" t="s">
        <v>229</v>
      </c>
      <c r="Y635" t="s">
        <v>111</v>
      </c>
      <c r="AD635" t="s">
        <v>45</v>
      </c>
      <c r="AE635">
        <v>8</v>
      </c>
      <c r="AF635">
        <v>42319961</v>
      </c>
      <c r="AG635" s="73">
        <v>45365.911296296297</v>
      </c>
      <c r="AH635" t="s">
        <v>226</v>
      </c>
      <c r="AI635" t="s">
        <v>432</v>
      </c>
      <c r="AJ635" t="s">
        <v>237</v>
      </c>
      <c r="AK635" t="s">
        <v>229</v>
      </c>
      <c r="AL635" t="s">
        <v>111</v>
      </c>
      <c r="AP635" t="s">
        <v>230</v>
      </c>
      <c r="AQ635" t="s">
        <v>231</v>
      </c>
      <c r="AT635" t="s">
        <v>232</v>
      </c>
      <c r="AU635">
        <v>-99</v>
      </c>
      <c r="AV635" t="s">
        <v>45</v>
      </c>
      <c r="AW635">
        <v>8</v>
      </c>
      <c r="AX635">
        <v>42319961</v>
      </c>
      <c r="AY635" s="73">
        <v>45365.911296296297</v>
      </c>
      <c r="AZ635" t="s">
        <v>226</v>
      </c>
      <c r="BA635" t="s">
        <v>432</v>
      </c>
      <c r="BB635" t="s">
        <v>237</v>
      </c>
      <c r="BC635" t="s">
        <v>229</v>
      </c>
      <c r="BD635" t="s">
        <v>111</v>
      </c>
      <c r="BI635" t="s">
        <v>233</v>
      </c>
      <c r="BJ635" t="s">
        <v>0</v>
      </c>
      <c r="BK635">
        <v>42319936</v>
      </c>
      <c r="BN635" t="s">
        <v>45</v>
      </c>
      <c r="BO635">
        <v>42319949</v>
      </c>
      <c r="BR635">
        <v>8</v>
      </c>
      <c r="BS635">
        <v>42319961</v>
      </c>
      <c r="BT635" s="73">
        <v>45365.911296296297</v>
      </c>
      <c r="BU635" t="s">
        <v>226</v>
      </c>
      <c r="BV635" t="s">
        <v>432</v>
      </c>
      <c r="BW635" t="s">
        <v>237</v>
      </c>
      <c r="CH635" t="s">
        <v>229</v>
      </c>
      <c r="CI635" t="s">
        <v>111</v>
      </c>
      <c r="CJ635" t="s">
        <v>226</v>
      </c>
      <c r="CK635" t="s">
        <v>432</v>
      </c>
      <c r="CL635" t="s">
        <v>237</v>
      </c>
      <c r="CM635" t="s">
        <v>236</v>
      </c>
      <c r="CN635" t="s">
        <v>45</v>
      </c>
      <c r="CO635">
        <v>8</v>
      </c>
      <c r="CP635">
        <v>42319961</v>
      </c>
      <c r="CQ635" s="73">
        <v>45365.911296296297</v>
      </c>
      <c r="CR635" t="s">
        <v>229</v>
      </c>
      <c r="CS635" t="s">
        <v>111</v>
      </c>
      <c r="CU635" t="s">
        <v>225</v>
      </c>
    </row>
    <row r="636" spans="1:99">
      <c r="A636" t="s">
        <v>46</v>
      </c>
      <c r="B636" t="s">
        <v>92</v>
      </c>
      <c r="J636" t="s">
        <v>225</v>
      </c>
      <c r="K636" t="s">
        <v>225</v>
      </c>
      <c r="M636" s="73">
        <v>45365.910266203704</v>
      </c>
      <c r="N636">
        <v>42319919</v>
      </c>
      <c r="O636">
        <v>-500</v>
      </c>
      <c r="P636" t="s">
        <v>45</v>
      </c>
      <c r="Q636">
        <v>-500</v>
      </c>
      <c r="R636" t="s">
        <v>45</v>
      </c>
      <c r="U636" t="s">
        <v>226</v>
      </c>
      <c r="V636" t="s">
        <v>433</v>
      </c>
      <c r="W636" t="s">
        <v>228</v>
      </c>
      <c r="X636" t="s">
        <v>229</v>
      </c>
      <c r="Y636" t="s">
        <v>46</v>
      </c>
      <c r="AD636" t="s">
        <v>45</v>
      </c>
      <c r="AE636">
        <v>-500</v>
      </c>
      <c r="AF636">
        <v>42319919</v>
      </c>
      <c r="AG636" s="73">
        <v>45365.910266203704</v>
      </c>
      <c r="AH636" t="s">
        <v>226</v>
      </c>
      <c r="AI636" t="s">
        <v>433</v>
      </c>
      <c r="AJ636" t="s">
        <v>228</v>
      </c>
      <c r="AK636" t="s">
        <v>229</v>
      </c>
      <c r="AL636" t="s">
        <v>46</v>
      </c>
      <c r="AP636" t="s">
        <v>230</v>
      </c>
      <c r="AQ636" t="s">
        <v>231</v>
      </c>
      <c r="AT636" t="s">
        <v>232</v>
      </c>
      <c r="AU636">
        <v>-99</v>
      </c>
      <c r="AV636" t="s">
        <v>45</v>
      </c>
      <c r="AW636">
        <v>-500</v>
      </c>
      <c r="AX636">
        <v>42319919</v>
      </c>
      <c r="AY636" s="73">
        <v>45365.910266203704</v>
      </c>
      <c r="AZ636" t="s">
        <v>226</v>
      </c>
      <c r="BA636" t="s">
        <v>433</v>
      </c>
      <c r="BB636" t="s">
        <v>228</v>
      </c>
      <c r="BC636" t="s">
        <v>229</v>
      </c>
      <c r="BD636" t="s">
        <v>46</v>
      </c>
      <c r="BI636" t="s">
        <v>233</v>
      </c>
      <c r="BJ636" t="s">
        <v>0</v>
      </c>
      <c r="BK636">
        <v>42319898</v>
      </c>
      <c r="BN636" t="s">
        <v>45</v>
      </c>
      <c r="BR636">
        <v>-500</v>
      </c>
      <c r="BS636">
        <v>42319919</v>
      </c>
      <c r="BT636" s="73">
        <v>45365.910266203704</v>
      </c>
      <c r="BU636" t="s">
        <v>226</v>
      </c>
      <c r="BV636" t="s">
        <v>433</v>
      </c>
      <c r="BW636" t="s">
        <v>228</v>
      </c>
      <c r="CH636" t="s">
        <v>229</v>
      </c>
      <c r="CI636" t="s">
        <v>46</v>
      </c>
      <c r="CJ636" t="s">
        <v>226</v>
      </c>
      <c r="CK636" t="s">
        <v>433</v>
      </c>
      <c r="CL636" t="s">
        <v>228</v>
      </c>
      <c r="CM636" t="s">
        <v>234</v>
      </c>
      <c r="CN636" t="s">
        <v>45</v>
      </c>
      <c r="CO636">
        <v>-500</v>
      </c>
      <c r="CP636">
        <v>42319919</v>
      </c>
      <c r="CQ636" s="73">
        <v>45365.910266203704</v>
      </c>
      <c r="CR636" t="s">
        <v>229</v>
      </c>
      <c r="CS636" t="s">
        <v>46</v>
      </c>
      <c r="CU636" t="s">
        <v>225</v>
      </c>
    </row>
    <row r="637" spans="1:99">
      <c r="A637" t="s">
        <v>93</v>
      </c>
      <c r="B637" t="s">
        <v>98</v>
      </c>
      <c r="J637" t="s">
        <v>225</v>
      </c>
      <c r="K637" t="s">
        <v>225</v>
      </c>
      <c r="M637" s="73">
        <v>45365.910266203704</v>
      </c>
      <c r="N637">
        <v>42319918</v>
      </c>
      <c r="O637">
        <v>-25</v>
      </c>
      <c r="P637" t="s">
        <v>73</v>
      </c>
      <c r="Q637">
        <v>-25</v>
      </c>
      <c r="R637" t="s">
        <v>73</v>
      </c>
      <c r="U637" t="s">
        <v>226</v>
      </c>
      <c r="V637" t="s">
        <v>433</v>
      </c>
      <c r="W637" t="s">
        <v>228</v>
      </c>
      <c r="X637" t="s">
        <v>229</v>
      </c>
      <c r="Y637" t="s">
        <v>93</v>
      </c>
      <c r="AD637" t="s">
        <v>73</v>
      </c>
      <c r="AE637">
        <v>-25</v>
      </c>
      <c r="AF637">
        <v>42319918</v>
      </c>
      <c r="AG637" s="73">
        <v>45365.910266203704</v>
      </c>
      <c r="AH637" t="s">
        <v>226</v>
      </c>
      <c r="AI637" t="s">
        <v>433</v>
      </c>
      <c r="AJ637" t="s">
        <v>228</v>
      </c>
      <c r="AK637" t="s">
        <v>229</v>
      </c>
      <c r="AL637" t="s">
        <v>93</v>
      </c>
      <c r="AP637" t="s">
        <v>230</v>
      </c>
      <c r="AQ637" t="s">
        <v>231</v>
      </c>
      <c r="AT637" t="s">
        <v>232</v>
      </c>
      <c r="AU637">
        <v>-99</v>
      </c>
      <c r="AV637" t="s">
        <v>73</v>
      </c>
      <c r="AW637">
        <v>-25</v>
      </c>
      <c r="AX637">
        <v>42319918</v>
      </c>
      <c r="AY637" s="73">
        <v>45365.910266203704</v>
      </c>
      <c r="AZ637" t="s">
        <v>226</v>
      </c>
      <c r="BA637" t="s">
        <v>433</v>
      </c>
      <c r="BB637" t="s">
        <v>228</v>
      </c>
      <c r="BC637" t="s">
        <v>229</v>
      </c>
      <c r="BD637" t="s">
        <v>93</v>
      </c>
      <c r="BI637" t="s">
        <v>233</v>
      </c>
      <c r="BJ637" t="s">
        <v>0</v>
      </c>
      <c r="BK637">
        <v>42319898</v>
      </c>
      <c r="BN637" t="s">
        <v>73</v>
      </c>
      <c r="BR637">
        <v>-25</v>
      </c>
      <c r="BS637">
        <v>42319918</v>
      </c>
      <c r="BT637" s="73">
        <v>45365.910266203704</v>
      </c>
      <c r="BU637" t="s">
        <v>226</v>
      </c>
      <c r="BV637" t="s">
        <v>433</v>
      </c>
      <c r="BW637" t="s">
        <v>228</v>
      </c>
      <c r="CH637" t="s">
        <v>229</v>
      </c>
      <c r="CI637" t="s">
        <v>93</v>
      </c>
      <c r="CJ637" t="s">
        <v>226</v>
      </c>
      <c r="CK637" t="s">
        <v>433</v>
      </c>
      <c r="CL637" t="s">
        <v>228</v>
      </c>
      <c r="CM637" t="s">
        <v>234</v>
      </c>
      <c r="CN637" t="s">
        <v>73</v>
      </c>
      <c r="CO637">
        <v>-25</v>
      </c>
      <c r="CP637">
        <v>42319918</v>
      </c>
      <c r="CQ637" s="73">
        <v>45365.910266203704</v>
      </c>
      <c r="CR637" t="s">
        <v>229</v>
      </c>
      <c r="CS637" t="s">
        <v>93</v>
      </c>
      <c r="CU637" t="s">
        <v>225</v>
      </c>
    </row>
    <row r="638" spans="1:99">
      <c r="A638" t="s">
        <v>108</v>
      </c>
      <c r="B638" t="s">
        <v>98</v>
      </c>
      <c r="J638" t="s">
        <v>225</v>
      </c>
      <c r="K638" t="s">
        <v>225</v>
      </c>
      <c r="M638" s="73">
        <v>45365.910266203704</v>
      </c>
      <c r="N638">
        <v>42319917</v>
      </c>
      <c r="O638">
        <v>500</v>
      </c>
      <c r="P638" t="s">
        <v>104</v>
      </c>
      <c r="Q638">
        <v>500</v>
      </c>
      <c r="R638" t="s">
        <v>104</v>
      </c>
      <c r="S638">
        <v>25</v>
      </c>
      <c r="T638" t="s">
        <v>73</v>
      </c>
      <c r="U638" t="s">
        <v>226</v>
      </c>
      <c r="V638" t="s">
        <v>433</v>
      </c>
      <c r="W638" t="s">
        <v>235</v>
      </c>
      <c r="X638" t="s">
        <v>229</v>
      </c>
      <c r="Y638" t="s">
        <v>108</v>
      </c>
      <c r="AD638" t="s">
        <v>104</v>
      </c>
      <c r="AE638">
        <v>500</v>
      </c>
      <c r="AF638">
        <v>42319917</v>
      </c>
      <c r="AG638" s="73">
        <v>45365.910266203704</v>
      </c>
      <c r="AH638" t="s">
        <v>226</v>
      </c>
      <c r="AI638" t="s">
        <v>433</v>
      </c>
      <c r="AJ638" t="s">
        <v>235</v>
      </c>
      <c r="AK638" t="s">
        <v>229</v>
      </c>
      <c r="AL638" t="s">
        <v>108</v>
      </c>
      <c r="AP638" t="s">
        <v>230</v>
      </c>
      <c r="AQ638" t="s">
        <v>231</v>
      </c>
      <c r="AT638" t="s">
        <v>232</v>
      </c>
      <c r="AU638">
        <v>-99</v>
      </c>
      <c r="AV638" t="s">
        <v>104</v>
      </c>
      <c r="AW638">
        <v>500</v>
      </c>
      <c r="AX638">
        <v>42319917</v>
      </c>
      <c r="AY638" s="73">
        <v>45365.910266203704</v>
      </c>
      <c r="AZ638" t="s">
        <v>226</v>
      </c>
      <c r="BA638" t="s">
        <v>433</v>
      </c>
      <c r="BB638" t="s">
        <v>235</v>
      </c>
      <c r="BC638" t="s">
        <v>229</v>
      </c>
      <c r="BD638" t="s">
        <v>108</v>
      </c>
      <c r="BI638" t="s">
        <v>233</v>
      </c>
      <c r="BJ638" t="s">
        <v>0</v>
      </c>
      <c r="BK638">
        <v>42319898</v>
      </c>
      <c r="BN638" t="s">
        <v>104</v>
      </c>
      <c r="BO638">
        <v>42319913</v>
      </c>
      <c r="BR638">
        <v>500</v>
      </c>
      <c r="BS638">
        <v>42319917</v>
      </c>
      <c r="BT638" s="73">
        <v>45365.910266203704</v>
      </c>
      <c r="BU638" t="s">
        <v>226</v>
      </c>
      <c r="BV638" t="s">
        <v>433</v>
      </c>
      <c r="BW638" t="s">
        <v>235</v>
      </c>
      <c r="CH638" t="s">
        <v>229</v>
      </c>
      <c r="CI638" t="s">
        <v>108</v>
      </c>
      <c r="CJ638" t="s">
        <v>226</v>
      </c>
      <c r="CK638" t="s">
        <v>433</v>
      </c>
      <c r="CL638" t="s">
        <v>235</v>
      </c>
      <c r="CM638" t="s">
        <v>236</v>
      </c>
      <c r="CN638" t="s">
        <v>104</v>
      </c>
      <c r="CO638">
        <v>500</v>
      </c>
      <c r="CP638">
        <v>42319917</v>
      </c>
      <c r="CQ638" s="73">
        <v>45365.910266203704</v>
      </c>
      <c r="CR638" t="s">
        <v>229</v>
      </c>
      <c r="CS638" t="s">
        <v>108</v>
      </c>
      <c r="CU638" t="s">
        <v>225</v>
      </c>
    </row>
    <row r="639" spans="1:99">
      <c r="A639" t="s">
        <v>52</v>
      </c>
      <c r="B639" t="s">
        <v>92</v>
      </c>
      <c r="J639" t="s">
        <v>225</v>
      </c>
      <c r="K639" t="s">
        <v>225</v>
      </c>
      <c r="M639" s="73">
        <v>45365.909074074072</v>
      </c>
      <c r="N639">
        <v>42319880</v>
      </c>
      <c r="O639">
        <v>-1545</v>
      </c>
      <c r="P639" t="s">
        <v>45</v>
      </c>
      <c r="Q639">
        <v>-1545</v>
      </c>
      <c r="R639" t="s">
        <v>45</v>
      </c>
      <c r="U639" t="s">
        <v>226</v>
      </c>
      <c r="V639" t="s">
        <v>434</v>
      </c>
      <c r="W639" t="s">
        <v>228</v>
      </c>
      <c r="X639" t="s">
        <v>229</v>
      </c>
      <c r="Y639" t="s">
        <v>52</v>
      </c>
      <c r="AD639" t="s">
        <v>45</v>
      </c>
      <c r="AE639">
        <v>-1545</v>
      </c>
      <c r="AF639">
        <v>42319880</v>
      </c>
      <c r="AG639" s="73">
        <v>45365.909074074072</v>
      </c>
      <c r="AH639" t="s">
        <v>226</v>
      </c>
      <c r="AI639" t="s">
        <v>434</v>
      </c>
      <c r="AJ639" t="s">
        <v>228</v>
      </c>
      <c r="AK639" t="s">
        <v>229</v>
      </c>
      <c r="AL639" t="s">
        <v>52</v>
      </c>
      <c r="AP639" t="s">
        <v>230</v>
      </c>
      <c r="AQ639" t="s">
        <v>231</v>
      </c>
      <c r="AT639" t="s">
        <v>232</v>
      </c>
      <c r="AU639">
        <v>-99</v>
      </c>
      <c r="AV639" t="s">
        <v>45</v>
      </c>
      <c r="AW639">
        <v>-1545</v>
      </c>
      <c r="AX639">
        <v>42319880</v>
      </c>
      <c r="AY639" s="73">
        <v>45365.909074074072</v>
      </c>
      <c r="AZ639" t="s">
        <v>226</v>
      </c>
      <c r="BA639" t="s">
        <v>434</v>
      </c>
      <c r="BB639" t="s">
        <v>228</v>
      </c>
      <c r="BC639" t="s">
        <v>229</v>
      </c>
      <c r="BD639" t="s">
        <v>52</v>
      </c>
      <c r="BI639" t="s">
        <v>233</v>
      </c>
      <c r="BJ639" t="s">
        <v>0</v>
      </c>
      <c r="BK639">
        <v>42319868</v>
      </c>
      <c r="BN639" t="s">
        <v>45</v>
      </c>
      <c r="BR639">
        <v>-1545</v>
      </c>
      <c r="BS639">
        <v>42319880</v>
      </c>
      <c r="BT639" s="73">
        <v>45365.909074074072</v>
      </c>
      <c r="BU639" t="s">
        <v>226</v>
      </c>
      <c r="BV639" t="s">
        <v>434</v>
      </c>
      <c r="BW639" t="s">
        <v>228</v>
      </c>
      <c r="CH639" t="s">
        <v>229</v>
      </c>
      <c r="CI639" t="s">
        <v>52</v>
      </c>
      <c r="CJ639" t="s">
        <v>226</v>
      </c>
      <c r="CK639" t="s">
        <v>434</v>
      </c>
      <c r="CL639" t="s">
        <v>228</v>
      </c>
      <c r="CM639" t="s">
        <v>234</v>
      </c>
      <c r="CN639" t="s">
        <v>45</v>
      </c>
      <c r="CO639">
        <v>-1545</v>
      </c>
      <c r="CP639">
        <v>42319880</v>
      </c>
      <c r="CQ639" s="73">
        <v>45365.909074074072</v>
      </c>
      <c r="CR639" t="s">
        <v>229</v>
      </c>
      <c r="CS639" t="s">
        <v>52</v>
      </c>
      <c r="CU639" t="s">
        <v>225</v>
      </c>
    </row>
    <row r="640" spans="1:99">
      <c r="A640" t="s">
        <v>101</v>
      </c>
      <c r="B640" t="s">
        <v>98</v>
      </c>
      <c r="J640" t="s">
        <v>225</v>
      </c>
      <c r="K640" t="s">
        <v>225</v>
      </c>
      <c r="M640" s="73">
        <v>45365.909074074072</v>
      </c>
      <c r="N640">
        <v>42319879</v>
      </c>
      <c r="O640">
        <v>-77.25</v>
      </c>
      <c r="P640" t="s">
        <v>73</v>
      </c>
      <c r="Q640">
        <v>-77.25</v>
      </c>
      <c r="R640" t="s">
        <v>73</v>
      </c>
      <c r="U640" t="s">
        <v>226</v>
      </c>
      <c r="V640" t="s">
        <v>434</v>
      </c>
      <c r="W640" t="s">
        <v>228</v>
      </c>
      <c r="X640" t="s">
        <v>229</v>
      </c>
      <c r="Y640" t="s">
        <v>101</v>
      </c>
      <c r="AD640" t="s">
        <v>73</v>
      </c>
      <c r="AE640">
        <v>-77.25</v>
      </c>
      <c r="AF640">
        <v>42319879</v>
      </c>
      <c r="AG640" s="73">
        <v>45365.909074074072</v>
      </c>
      <c r="AH640" t="s">
        <v>226</v>
      </c>
      <c r="AI640" t="s">
        <v>434</v>
      </c>
      <c r="AJ640" t="s">
        <v>228</v>
      </c>
      <c r="AK640" t="s">
        <v>229</v>
      </c>
      <c r="AL640" t="s">
        <v>101</v>
      </c>
      <c r="AP640" t="s">
        <v>230</v>
      </c>
      <c r="AQ640" t="s">
        <v>231</v>
      </c>
      <c r="AT640" t="s">
        <v>232</v>
      </c>
      <c r="AU640">
        <v>-99</v>
      </c>
      <c r="AV640" t="s">
        <v>73</v>
      </c>
      <c r="AW640">
        <v>-77.25</v>
      </c>
      <c r="AX640">
        <v>42319879</v>
      </c>
      <c r="AY640" s="73">
        <v>45365.909074074072</v>
      </c>
      <c r="AZ640" t="s">
        <v>226</v>
      </c>
      <c r="BA640" t="s">
        <v>434</v>
      </c>
      <c r="BB640" t="s">
        <v>228</v>
      </c>
      <c r="BC640" t="s">
        <v>229</v>
      </c>
      <c r="BD640" t="s">
        <v>101</v>
      </c>
      <c r="BI640" t="s">
        <v>233</v>
      </c>
      <c r="BJ640" t="s">
        <v>0</v>
      </c>
      <c r="BK640">
        <v>42319868</v>
      </c>
      <c r="BN640" t="s">
        <v>73</v>
      </c>
      <c r="BR640">
        <v>-77.25</v>
      </c>
      <c r="BS640">
        <v>42319879</v>
      </c>
      <c r="BT640" s="73">
        <v>45365.909074074072</v>
      </c>
      <c r="BU640" t="s">
        <v>226</v>
      </c>
      <c r="BV640" t="s">
        <v>434</v>
      </c>
      <c r="BW640" t="s">
        <v>228</v>
      </c>
      <c r="CH640" t="s">
        <v>229</v>
      </c>
      <c r="CI640" t="s">
        <v>101</v>
      </c>
      <c r="CJ640" t="s">
        <v>226</v>
      </c>
      <c r="CK640" t="s">
        <v>434</v>
      </c>
      <c r="CL640" t="s">
        <v>228</v>
      </c>
      <c r="CM640" t="s">
        <v>234</v>
      </c>
      <c r="CN640" t="s">
        <v>73</v>
      </c>
      <c r="CO640">
        <v>-77.25</v>
      </c>
      <c r="CP640">
        <v>42319879</v>
      </c>
      <c r="CQ640" s="73">
        <v>45365.909074074072</v>
      </c>
      <c r="CR640" t="s">
        <v>229</v>
      </c>
      <c r="CS640" t="s">
        <v>101</v>
      </c>
      <c r="CU640" t="s">
        <v>225</v>
      </c>
    </row>
    <row r="641" spans="1:99">
      <c r="A641" t="s">
        <v>107</v>
      </c>
      <c r="B641" t="s">
        <v>98</v>
      </c>
      <c r="J641" t="s">
        <v>225</v>
      </c>
      <c r="K641" t="s">
        <v>225</v>
      </c>
      <c r="M641" s="73">
        <v>45365.909074074072</v>
      </c>
      <c r="N641">
        <v>42319878</v>
      </c>
      <c r="O641">
        <v>1545</v>
      </c>
      <c r="P641" t="s">
        <v>104</v>
      </c>
      <c r="Q641">
        <v>1545</v>
      </c>
      <c r="R641" t="s">
        <v>104</v>
      </c>
      <c r="S641">
        <v>77.25</v>
      </c>
      <c r="T641" t="s">
        <v>73</v>
      </c>
      <c r="U641" t="s">
        <v>226</v>
      </c>
      <c r="V641" t="s">
        <v>434</v>
      </c>
      <c r="W641" t="s">
        <v>235</v>
      </c>
      <c r="X641" t="s">
        <v>229</v>
      </c>
      <c r="Y641" t="s">
        <v>107</v>
      </c>
      <c r="AD641" t="s">
        <v>104</v>
      </c>
      <c r="AE641">
        <v>1545</v>
      </c>
      <c r="AF641">
        <v>42319878</v>
      </c>
      <c r="AG641" s="73">
        <v>45365.909074074072</v>
      </c>
      <c r="AH641" t="s">
        <v>226</v>
      </c>
      <c r="AI641" t="s">
        <v>434</v>
      </c>
      <c r="AJ641" t="s">
        <v>235</v>
      </c>
      <c r="AK641" t="s">
        <v>229</v>
      </c>
      <c r="AL641" t="s">
        <v>107</v>
      </c>
      <c r="AP641" t="s">
        <v>230</v>
      </c>
      <c r="AQ641" t="s">
        <v>231</v>
      </c>
      <c r="AT641" t="s">
        <v>232</v>
      </c>
      <c r="AU641">
        <v>-99</v>
      </c>
      <c r="AV641" t="s">
        <v>104</v>
      </c>
      <c r="AW641">
        <v>1545</v>
      </c>
      <c r="AX641">
        <v>42319878</v>
      </c>
      <c r="AY641" s="73">
        <v>45365.909074074072</v>
      </c>
      <c r="AZ641" t="s">
        <v>226</v>
      </c>
      <c r="BA641" t="s">
        <v>434</v>
      </c>
      <c r="BB641" t="s">
        <v>235</v>
      </c>
      <c r="BC641" t="s">
        <v>229</v>
      </c>
      <c r="BD641" t="s">
        <v>107</v>
      </c>
      <c r="BI641" t="s">
        <v>233</v>
      </c>
      <c r="BJ641" t="s">
        <v>0</v>
      </c>
      <c r="BK641">
        <v>42319868</v>
      </c>
      <c r="BN641" t="s">
        <v>104</v>
      </c>
      <c r="BO641">
        <v>42319874</v>
      </c>
      <c r="BR641">
        <v>1545</v>
      </c>
      <c r="BS641">
        <v>42319878</v>
      </c>
      <c r="BT641" s="73">
        <v>45365.909074074072</v>
      </c>
      <c r="BU641" t="s">
        <v>226</v>
      </c>
      <c r="BV641" t="s">
        <v>434</v>
      </c>
      <c r="BW641" t="s">
        <v>235</v>
      </c>
      <c r="CH641" t="s">
        <v>229</v>
      </c>
      <c r="CI641" t="s">
        <v>107</v>
      </c>
      <c r="CJ641" t="s">
        <v>226</v>
      </c>
      <c r="CK641" t="s">
        <v>434</v>
      </c>
      <c r="CL641" t="s">
        <v>235</v>
      </c>
      <c r="CM641" t="s">
        <v>236</v>
      </c>
      <c r="CN641" t="s">
        <v>104</v>
      </c>
      <c r="CO641">
        <v>1545</v>
      </c>
      <c r="CP641">
        <v>42319878</v>
      </c>
      <c r="CQ641" s="73">
        <v>45365.909074074072</v>
      </c>
      <c r="CR641" t="s">
        <v>229</v>
      </c>
      <c r="CS641" t="s">
        <v>107</v>
      </c>
      <c r="CU641" t="s">
        <v>225</v>
      </c>
    </row>
    <row r="642" spans="1:99">
      <c r="A642" t="s">
        <v>42</v>
      </c>
      <c r="B642" t="s">
        <v>92</v>
      </c>
      <c r="J642" t="s">
        <v>225</v>
      </c>
      <c r="K642" t="s">
        <v>225</v>
      </c>
      <c r="M642" s="73">
        <v>45365.579432870371</v>
      </c>
      <c r="N642">
        <v>42310658</v>
      </c>
      <c r="O642">
        <v>-3704</v>
      </c>
      <c r="P642" t="s">
        <v>45</v>
      </c>
      <c r="Q642">
        <v>-3704</v>
      </c>
      <c r="R642" t="s">
        <v>45</v>
      </c>
      <c r="U642" t="s">
        <v>226</v>
      </c>
      <c r="V642" t="s">
        <v>435</v>
      </c>
      <c r="W642" t="s">
        <v>228</v>
      </c>
      <c r="X642" t="s">
        <v>229</v>
      </c>
      <c r="Y642" t="s">
        <v>42</v>
      </c>
      <c r="AD642" t="s">
        <v>45</v>
      </c>
      <c r="AE642">
        <v>-3704</v>
      </c>
      <c r="AF642">
        <v>42310658</v>
      </c>
      <c r="AG642" s="73">
        <v>45365.579432870371</v>
      </c>
      <c r="AH642" t="s">
        <v>226</v>
      </c>
      <c r="AI642" t="s">
        <v>435</v>
      </c>
      <c r="AJ642" t="s">
        <v>228</v>
      </c>
      <c r="AK642" t="s">
        <v>229</v>
      </c>
      <c r="AL642" t="s">
        <v>42</v>
      </c>
      <c r="AP642" t="s">
        <v>230</v>
      </c>
      <c r="AQ642" t="s">
        <v>231</v>
      </c>
      <c r="AT642" t="s">
        <v>232</v>
      </c>
      <c r="AU642">
        <v>-99</v>
      </c>
      <c r="AV642" t="s">
        <v>45</v>
      </c>
      <c r="AW642">
        <v>-3704</v>
      </c>
      <c r="AX642">
        <v>42310658</v>
      </c>
      <c r="AY642" s="73">
        <v>45365.579432870371</v>
      </c>
      <c r="AZ642" t="s">
        <v>226</v>
      </c>
      <c r="BA642" t="s">
        <v>435</v>
      </c>
      <c r="BB642" t="s">
        <v>228</v>
      </c>
      <c r="BC642" t="s">
        <v>229</v>
      </c>
      <c r="BD642" t="s">
        <v>42</v>
      </c>
      <c r="BI642" t="s">
        <v>233</v>
      </c>
      <c r="BJ642" t="s">
        <v>0</v>
      </c>
      <c r="BK642">
        <v>42310642</v>
      </c>
      <c r="BN642" t="s">
        <v>45</v>
      </c>
      <c r="BR642">
        <v>-3704</v>
      </c>
      <c r="BS642">
        <v>42310658</v>
      </c>
      <c r="BT642" s="73">
        <v>45365.579432870371</v>
      </c>
      <c r="BU642" t="s">
        <v>226</v>
      </c>
      <c r="BV642" t="s">
        <v>435</v>
      </c>
      <c r="BW642" t="s">
        <v>228</v>
      </c>
      <c r="CH642" t="s">
        <v>229</v>
      </c>
      <c r="CI642" t="s">
        <v>42</v>
      </c>
      <c r="CJ642" t="s">
        <v>226</v>
      </c>
      <c r="CK642" t="s">
        <v>435</v>
      </c>
      <c r="CL642" t="s">
        <v>228</v>
      </c>
      <c r="CM642" t="s">
        <v>234</v>
      </c>
      <c r="CN642" t="s">
        <v>45</v>
      </c>
      <c r="CO642">
        <v>-3704</v>
      </c>
      <c r="CP642">
        <v>42310658</v>
      </c>
      <c r="CQ642" s="73">
        <v>45365.579432870371</v>
      </c>
      <c r="CR642" t="s">
        <v>229</v>
      </c>
      <c r="CS642" t="s">
        <v>42</v>
      </c>
      <c r="CU642" t="s">
        <v>225</v>
      </c>
    </row>
    <row r="643" spans="1:99">
      <c r="A643" t="s">
        <v>99</v>
      </c>
      <c r="B643" t="s">
        <v>98</v>
      </c>
      <c r="J643" t="s">
        <v>225</v>
      </c>
      <c r="K643" t="s">
        <v>225</v>
      </c>
      <c r="M643" s="73">
        <v>45365.579432870371</v>
      </c>
      <c r="N643">
        <v>42310657</v>
      </c>
      <c r="O643">
        <v>-185</v>
      </c>
      <c r="P643" t="s">
        <v>73</v>
      </c>
      <c r="Q643">
        <v>-185</v>
      </c>
      <c r="R643" t="s">
        <v>73</v>
      </c>
      <c r="U643" t="s">
        <v>226</v>
      </c>
      <c r="V643" t="s">
        <v>435</v>
      </c>
      <c r="W643" t="s">
        <v>228</v>
      </c>
      <c r="X643" t="s">
        <v>229</v>
      </c>
      <c r="Y643" t="s">
        <v>99</v>
      </c>
      <c r="AD643" t="s">
        <v>73</v>
      </c>
      <c r="AE643">
        <v>-185</v>
      </c>
      <c r="AF643">
        <v>42310657</v>
      </c>
      <c r="AG643" s="73">
        <v>45365.579432870371</v>
      </c>
      <c r="AH643" t="s">
        <v>226</v>
      </c>
      <c r="AI643" t="s">
        <v>435</v>
      </c>
      <c r="AJ643" t="s">
        <v>228</v>
      </c>
      <c r="AK643" t="s">
        <v>229</v>
      </c>
      <c r="AL643" t="s">
        <v>99</v>
      </c>
      <c r="AP643" t="s">
        <v>230</v>
      </c>
      <c r="AQ643" t="s">
        <v>231</v>
      </c>
      <c r="AT643" t="s">
        <v>232</v>
      </c>
      <c r="AU643">
        <v>-99</v>
      </c>
      <c r="AV643" t="s">
        <v>73</v>
      </c>
      <c r="AW643">
        <v>-185</v>
      </c>
      <c r="AX643">
        <v>42310657</v>
      </c>
      <c r="AY643" s="73">
        <v>45365.579432870371</v>
      </c>
      <c r="AZ643" t="s">
        <v>226</v>
      </c>
      <c r="BA643" t="s">
        <v>435</v>
      </c>
      <c r="BB643" t="s">
        <v>228</v>
      </c>
      <c r="BC643" t="s">
        <v>229</v>
      </c>
      <c r="BD643" t="s">
        <v>99</v>
      </c>
      <c r="BI643" t="s">
        <v>233</v>
      </c>
      <c r="BJ643" t="s">
        <v>0</v>
      </c>
      <c r="BK643">
        <v>42310642</v>
      </c>
      <c r="BN643" t="s">
        <v>73</v>
      </c>
      <c r="BR643">
        <v>-185</v>
      </c>
      <c r="BS643">
        <v>42310657</v>
      </c>
      <c r="BT643" s="73">
        <v>45365.579432870371</v>
      </c>
      <c r="BU643" t="s">
        <v>226</v>
      </c>
      <c r="BV643" t="s">
        <v>435</v>
      </c>
      <c r="BW643" t="s">
        <v>228</v>
      </c>
      <c r="CH643" t="s">
        <v>229</v>
      </c>
      <c r="CI643" t="s">
        <v>99</v>
      </c>
      <c r="CJ643" t="s">
        <v>226</v>
      </c>
      <c r="CK643" t="s">
        <v>435</v>
      </c>
      <c r="CL643" t="s">
        <v>228</v>
      </c>
      <c r="CM643" t="s">
        <v>234</v>
      </c>
      <c r="CN643" t="s">
        <v>73</v>
      </c>
      <c r="CO643">
        <v>-185</v>
      </c>
      <c r="CP643">
        <v>42310657</v>
      </c>
      <c r="CQ643" s="73">
        <v>45365.579432870371</v>
      </c>
      <c r="CR643" t="s">
        <v>229</v>
      </c>
      <c r="CS643" t="s">
        <v>99</v>
      </c>
      <c r="CU643" t="s">
        <v>225</v>
      </c>
    </row>
    <row r="644" spans="1:99">
      <c r="A644" t="s">
        <v>103</v>
      </c>
      <c r="B644" t="s">
        <v>98</v>
      </c>
      <c r="J644" t="s">
        <v>225</v>
      </c>
      <c r="K644" t="s">
        <v>225</v>
      </c>
      <c r="M644" s="73">
        <v>45365.579432870371</v>
      </c>
      <c r="N644">
        <v>42310656</v>
      </c>
      <c r="O644">
        <v>3700</v>
      </c>
      <c r="P644" t="s">
        <v>104</v>
      </c>
      <c r="Q644">
        <v>3700</v>
      </c>
      <c r="R644" t="s">
        <v>104</v>
      </c>
      <c r="S644">
        <v>185</v>
      </c>
      <c r="T644" t="s">
        <v>73</v>
      </c>
      <c r="U644" t="s">
        <v>226</v>
      </c>
      <c r="V644" t="s">
        <v>435</v>
      </c>
      <c r="W644" t="s">
        <v>235</v>
      </c>
      <c r="X644" t="s">
        <v>229</v>
      </c>
      <c r="Y644" t="s">
        <v>103</v>
      </c>
      <c r="AD644" t="s">
        <v>104</v>
      </c>
      <c r="AE644">
        <v>3700</v>
      </c>
      <c r="AF644">
        <v>42310656</v>
      </c>
      <c r="AG644" s="73">
        <v>45365.579432870371</v>
      </c>
      <c r="AH644" t="s">
        <v>226</v>
      </c>
      <c r="AI644" t="s">
        <v>435</v>
      </c>
      <c r="AJ644" t="s">
        <v>235</v>
      </c>
      <c r="AK644" t="s">
        <v>229</v>
      </c>
      <c r="AL644" t="s">
        <v>103</v>
      </c>
      <c r="AP644" t="s">
        <v>230</v>
      </c>
      <c r="AQ644" t="s">
        <v>231</v>
      </c>
      <c r="AT644" t="s">
        <v>232</v>
      </c>
      <c r="AU644">
        <v>-99</v>
      </c>
      <c r="AV644" t="s">
        <v>104</v>
      </c>
      <c r="AW644">
        <v>3700</v>
      </c>
      <c r="AX644">
        <v>42310656</v>
      </c>
      <c r="AY644" s="73">
        <v>45365.579432870371</v>
      </c>
      <c r="AZ644" t="s">
        <v>226</v>
      </c>
      <c r="BA644" t="s">
        <v>435</v>
      </c>
      <c r="BB644" t="s">
        <v>235</v>
      </c>
      <c r="BC644" t="s">
        <v>229</v>
      </c>
      <c r="BD644" t="s">
        <v>103</v>
      </c>
      <c r="BI644" t="s">
        <v>233</v>
      </c>
      <c r="BJ644" t="s">
        <v>0</v>
      </c>
      <c r="BK644">
        <v>42310642</v>
      </c>
      <c r="BN644" t="s">
        <v>104</v>
      </c>
      <c r="BO644">
        <v>42310648</v>
      </c>
      <c r="BR644">
        <v>3700</v>
      </c>
      <c r="BS644">
        <v>42310656</v>
      </c>
      <c r="BT644" s="73">
        <v>45365.579432870371</v>
      </c>
      <c r="BU644" t="s">
        <v>226</v>
      </c>
      <c r="BV644" t="s">
        <v>435</v>
      </c>
      <c r="BW644" t="s">
        <v>235</v>
      </c>
      <c r="CH644" t="s">
        <v>229</v>
      </c>
      <c r="CI644" t="s">
        <v>103</v>
      </c>
      <c r="CJ644" t="s">
        <v>226</v>
      </c>
      <c r="CK644" t="s">
        <v>435</v>
      </c>
      <c r="CL644" t="s">
        <v>235</v>
      </c>
      <c r="CM644" t="s">
        <v>236</v>
      </c>
      <c r="CN644" t="s">
        <v>104</v>
      </c>
      <c r="CO644">
        <v>3700</v>
      </c>
      <c r="CP644">
        <v>42310656</v>
      </c>
      <c r="CQ644" s="73">
        <v>45365.579432870371</v>
      </c>
      <c r="CR644" t="s">
        <v>229</v>
      </c>
      <c r="CS644" t="s">
        <v>103</v>
      </c>
      <c r="CU644" t="s">
        <v>225</v>
      </c>
    </row>
    <row r="645" spans="1:99">
      <c r="A645" t="s">
        <v>111</v>
      </c>
      <c r="B645" t="s">
        <v>77</v>
      </c>
      <c r="J645" t="s">
        <v>225</v>
      </c>
      <c r="K645" t="s">
        <v>225</v>
      </c>
      <c r="M645" s="73">
        <v>45365.579432870371</v>
      </c>
      <c r="N645">
        <v>42310655</v>
      </c>
      <c r="O645">
        <v>4</v>
      </c>
      <c r="P645" t="s">
        <v>45</v>
      </c>
      <c r="Q645">
        <v>4</v>
      </c>
      <c r="R645" t="s">
        <v>45</v>
      </c>
      <c r="U645" t="s">
        <v>226</v>
      </c>
      <c r="V645" t="s">
        <v>435</v>
      </c>
      <c r="W645" t="s">
        <v>237</v>
      </c>
      <c r="X645" t="s">
        <v>229</v>
      </c>
      <c r="Y645" t="s">
        <v>111</v>
      </c>
      <c r="AD645" t="s">
        <v>45</v>
      </c>
      <c r="AE645">
        <v>4</v>
      </c>
      <c r="AF645">
        <v>42310655</v>
      </c>
      <c r="AG645" s="73">
        <v>45365.579432870371</v>
      </c>
      <c r="AH645" t="s">
        <v>226</v>
      </c>
      <c r="AI645" t="s">
        <v>435</v>
      </c>
      <c r="AJ645" t="s">
        <v>237</v>
      </c>
      <c r="AK645" t="s">
        <v>229</v>
      </c>
      <c r="AL645" t="s">
        <v>111</v>
      </c>
      <c r="AP645" t="s">
        <v>230</v>
      </c>
      <c r="AQ645" t="s">
        <v>231</v>
      </c>
      <c r="AT645" t="s">
        <v>232</v>
      </c>
      <c r="AU645">
        <v>-99</v>
      </c>
      <c r="AV645" t="s">
        <v>45</v>
      </c>
      <c r="AW645">
        <v>4</v>
      </c>
      <c r="AX645">
        <v>42310655</v>
      </c>
      <c r="AY645" s="73">
        <v>45365.579432870371</v>
      </c>
      <c r="AZ645" t="s">
        <v>226</v>
      </c>
      <c r="BA645" t="s">
        <v>435</v>
      </c>
      <c r="BB645" t="s">
        <v>237</v>
      </c>
      <c r="BC645" t="s">
        <v>229</v>
      </c>
      <c r="BD645" t="s">
        <v>111</v>
      </c>
      <c r="BI645" t="s">
        <v>233</v>
      </c>
      <c r="BJ645" t="s">
        <v>0</v>
      </c>
      <c r="BK645">
        <v>42310642</v>
      </c>
      <c r="BN645" t="s">
        <v>45</v>
      </c>
      <c r="BO645">
        <v>42310650</v>
      </c>
      <c r="BR645">
        <v>4</v>
      </c>
      <c r="BS645">
        <v>42310655</v>
      </c>
      <c r="BT645" s="73">
        <v>45365.579432870371</v>
      </c>
      <c r="BU645" t="s">
        <v>226</v>
      </c>
      <c r="BV645" t="s">
        <v>435</v>
      </c>
      <c r="BW645" t="s">
        <v>237</v>
      </c>
      <c r="CH645" t="s">
        <v>229</v>
      </c>
      <c r="CI645" t="s">
        <v>111</v>
      </c>
      <c r="CJ645" t="s">
        <v>226</v>
      </c>
      <c r="CK645" t="s">
        <v>435</v>
      </c>
      <c r="CL645" t="s">
        <v>237</v>
      </c>
      <c r="CM645" t="s">
        <v>236</v>
      </c>
      <c r="CN645" t="s">
        <v>45</v>
      </c>
      <c r="CO645">
        <v>4</v>
      </c>
      <c r="CP645">
        <v>42310655</v>
      </c>
      <c r="CQ645" s="73">
        <v>45365.579432870371</v>
      </c>
      <c r="CR645" t="s">
        <v>229</v>
      </c>
      <c r="CS645" t="s">
        <v>111</v>
      </c>
      <c r="CU645" t="s">
        <v>225</v>
      </c>
    </row>
    <row r="646" spans="1:99">
      <c r="A646" t="s">
        <v>46</v>
      </c>
      <c r="B646" t="s">
        <v>92</v>
      </c>
      <c r="J646" t="s">
        <v>225</v>
      </c>
      <c r="K646" t="s">
        <v>225</v>
      </c>
      <c r="M646" s="73">
        <v>45365.578333333331</v>
      </c>
      <c r="N646">
        <v>42310640</v>
      </c>
      <c r="O646">
        <v>-5</v>
      </c>
      <c r="P646" t="s">
        <v>45</v>
      </c>
      <c r="Q646">
        <v>-5</v>
      </c>
      <c r="R646" t="s">
        <v>45</v>
      </c>
      <c r="U646" t="s">
        <v>226</v>
      </c>
      <c r="V646" t="s">
        <v>436</v>
      </c>
      <c r="W646" t="s">
        <v>228</v>
      </c>
      <c r="X646" t="s">
        <v>229</v>
      </c>
      <c r="Y646" t="s">
        <v>46</v>
      </c>
      <c r="AD646" t="s">
        <v>45</v>
      </c>
      <c r="AE646">
        <v>-5</v>
      </c>
      <c r="AF646">
        <v>42310640</v>
      </c>
      <c r="AG646" s="73">
        <v>45365.578333333331</v>
      </c>
      <c r="AH646" t="s">
        <v>226</v>
      </c>
      <c r="AI646" t="s">
        <v>436</v>
      </c>
      <c r="AJ646" t="s">
        <v>228</v>
      </c>
      <c r="AK646" t="s">
        <v>229</v>
      </c>
      <c r="AL646" t="s">
        <v>46</v>
      </c>
      <c r="AP646" t="s">
        <v>230</v>
      </c>
      <c r="AQ646" t="s">
        <v>231</v>
      </c>
      <c r="AT646" t="s">
        <v>232</v>
      </c>
      <c r="AU646">
        <v>-99</v>
      </c>
      <c r="AV646" t="s">
        <v>45</v>
      </c>
      <c r="AW646">
        <v>-5</v>
      </c>
      <c r="AX646">
        <v>42310640</v>
      </c>
      <c r="AY646" s="73">
        <v>45365.578333333331</v>
      </c>
      <c r="AZ646" t="s">
        <v>226</v>
      </c>
      <c r="BA646" t="s">
        <v>436</v>
      </c>
      <c r="BB646" t="s">
        <v>228</v>
      </c>
      <c r="BC646" t="s">
        <v>229</v>
      </c>
      <c r="BD646" t="s">
        <v>46</v>
      </c>
      <c r="BI646" t="s">
        <v>233</v>
      </c>
      <c r="BJ646" t="s">
        <v>0</v>
      </c>
      <c r="BK646">
        <v>42310628</v>
      </c>
      <c r="BN646" t="s">
        <v>45</v>
      </c>
      <c r="BR646">
        <v>-5</v>
      </c>
      <c r="BS646">
        <v>42310640</v>
      </c>
      <c r="BT646" s="73">
        <v>45365.578333333331</v>
      </c>
      <c r="BU646" t="s">
        <v>226</v>
      </c>
      <c r="BV646" t="s">
        <v>436</v>
      </c>
      <c r="BW646" t="s">
        <v>228</v>
      </c>
      <c r="CH646" t="s">
        <v>229</v>
      </c>
      <c r="CI646" t="s">
        <v>46</v>
      </c>
      <c r="CJ646" t="s">
        <v>226</v>
      </c>
      <c r="CK646" t="s">
        <v>436</v>
      </c>
      <c r="CL646" t="s">
        <v>228</v>
      </c>
      <c r="CM646" t="s">
        <v>234</v>
      </c>
      <c r="CN646" t="s">
        <v>45</v>
      </c>
      <c r="CO646">
        <v>-5</v>
      </c>
      <c r="CP646">
        <v>42310640</v>
      </c>
      <c r="CQ646" s="73">
        <v>45365.578333333331</v>
      </c>
      <c r="CR646" t="s">
        <v>229</v>
      </c>
      <c r="CS646" t="s">
        <v>46</v>
      </c>
      <c r="CU646" t="s">
        <v>225</v>
      </c>
    </row>
    <row r="647" spans="1:99">
      <c r="A647" t="s">
        <v>93</v>
      </c>
      <c r="B647" t="s">
        <v>98</v>
      </c>
      <c r="J647" t="s">
        <v>225</v>
      </c>
      <c r="K647" t="s">
        <v>225</v>
      </c>
      <c r="M647" s="73">
        <v>45365.578333333331</v>
      </c>
      <c r="N647">
        <v>42310639</v>
      </c>
      <c r="O647">
        <v>-0.25</v>
      </c>
      <c r="P647" t="s">
        <v>73</v>
      </c>
      <c r="Q647">
        <v>-0.25</v>
      </c>
      <c r="R647" t="s">
        <v>73</v>
      </c>
      <c r="U647" t="s">
        <v>226</v>
      </c>
      <c r="V647" t="s">
        <v>436</v>
      </c>
      <c r="W647" t="s">
        <v>228</v>
      </c>
      <c r="X647" t="s">
        <v>229</v>
      </c>
      <c r="Y647" t="s">
        <v>93</v>
      </c>
      <c r="AD647" t="s">
        <v>73</v>
      </c>
      <c r="AE647">
        <v>-0.25</v>
      </c>
      <c r="AF647">
        <v>42310639</v>
      </c>
      <c r="AG647" s="73">
        <v>45365.578333333331</v>
      </c>
      <c r="AH647" t="s">
        <v>226</v>
      </c>
      <c r="AI647" t="s">
        <v>436</v>
      </c>
      <c r="AJ647" t="s">
        <v>228</v>
      </c>
      <c r="AK647" t="s">
        <v>229</v>
      </c>
      <c r="AL647" t="s">
        <v>93</v>
      </c>
      <c r="AP647" t="s">
        <v>230</v>
      </c>
      <c r="AQ647" t="s">
        <v>231</v>
      </c>
      <c r="AT647" t="s">
        <v>232</v>
      </c>
      <c r="AU647">
        <v>-99</v>
      </c>
      <c r="AV647" t="s">
        <v>73</v>
      </c>
      <c r="AW647">
        <v>-0.25</v>
      </c>
      <c r="AX647">
        <v>42310639</v>
      </c>
      <c r="AY647" s="73">
        <v>45365.578333333331</v>
      </c>
      <c r="AZ647" t="s">
        <v>226</v>
      </c>
      <c r="BA647" t="s">
        <v>436</v>
      </c>
      <c r="BB647" t="s">
        <v>228</v>
      </c>
      <c r="BC647" t="s">
        <v>229</v>
      </c>
      <c r="BD647" t="s">
        <v>93</v>
      </c>
      <c r="BI647" t="s">
        <v>233</v>
      </c>
      <c r="BJ647" t="s">
        <v>0</v>
      </c>
      <c r="BK647">
        <v>42310628</v>
      </c>
      <c r="BN647" t="s">
        <v>73</v>
      </c>
      <c r="BR647">
        <v>-0.25</v>
      </c>
      <c r="BS647">
        <v>42310639</v>
      </c>
      <c r="BT647" s="73">
        <v>45365.578333333331</v>
      </c>
      <c r="BU647" t="s">
        <v>226</v>
      </c>
      <c r="BV647" t="s">
        <v>436</v>
      </c>
      <c r="BW647" t="s">
        <v>228</v>
      </c>
      <c r="CH647" t="s">
        <v>229</v>
      </c>
      <c r="CI647" t="s">
        <v>93</v>
      </c>
      <c r="CJ647" t="s">
        <v>226</v>
      </c>
      <c r="CK647" t="s">
        <v>436</v>
      </c>
      <c r="CL647" t="s">
        <v>228</v>
      </c>
      <c r="CM647" t="s">
        <v>234</v>
      </c>
      <c r="CN647" t="s">
        <v>73</v>
      </c>
      <c r="CO647">
        <v>-0.25</v>
      </c>
      <c r="CP647">
        <v>42310639</v>
      </c>
      <c r="CQ647" s="73">
        <v>45365.578333333331</v>
      </c>
      <c r="CR647" t="s">
        <v>229</v>
      </c>
      <c r="CS647" t="s">
        <v>93</v>
      </c>
      <c r="CU647" t="s">
        <v>225</v>
      </c>
    </row>
    <row r="648" spans="1:99">
      <c r="A648" t="s">
        <v>108</v>
      </c>
      <c r="B648" t="s">
        <v>98</v>
      </c>
      <c r="J648" t="s">
        <v>225</v>
      </c>
      <c r="K648" t="s">
        <v>225</v>
      </c>
      <c r="M648" s="73">
        <v>45365.578333333331</v>
      </c>
      <c r="N648">
        <v>42310638</v>
      </c>
      <c r="O648">
        <v>5</v>
      </c>
      <c r="P648" t="s">
        <v>104</v>
      </c>
      <c r="Q648">
        <v>5</v>
      </c>
      <c r="R648" t="s">
        <v>104</v>
      </c>
      <c r="S648">
        <v>0.25</v>
      </c>
      <c r="T648" t="s">
        <v>73</v>
      </c>
      <c r="U648" t="s">
        <v>226</v>
      </c>
      <c r="V648" t="s">
        <v>436</v>
      </c>
      <c r="W648" t="s">
        <v>235</v>
      </c>
      <c r="X648" t="s">
        <v>229</v>
      </c>
      <c r="Y648" t="s">
        <v>108</v>
      </c>
      <c r="AD648" t="s">
        <v>104</v>
      </c>
      <c r="AE648">
        <v>5</v>
      </c>
      <c r="AF648">
        <v>42310638</v>
      </c>
      <c r="AG648" s="73">
        <v>45365.578333333331</v>
      </c>
      <c r="AH648" t="s">
        <v>226</v>
      </c>
      <c r="AI648" t="s">
        <v>436</v>
      </c>
      <c r="AJ648" t="s">
        <v>235</v>
      </c>
      <c r="AK648" t="s">
        <v>229</v>
      </c>
      <c r="AL648" t="s">
        <v>108</v>
      </c>
      <c r="AP648" t="s">
        <v>230</v>
      </c>
      <c r="AQ648" t="s">
        <v>231</v>
      </c>
      <c r="AT648" t="s">
        <v>232</v>
      </c>
      <c r="AU648">
        <v>-99</v>
      </c>
      <c r="AV648" t="s">
        <v>104</v>
      </c>
      <c r="AW648">
        <v>5</v>
      </c>
      <c r="AX648">
        <v>42310638</v>
      </c>
      <c r="AY648" s="73">
        <v>45365.578333333331</v>
      </c>
      <c r="AZ648" t="s">
        <v>226</v>
      </c>
      <c r="BA648" t="s">
        <v>436</v>
      </c>
      <c r="BB648" t="s">
        <v>235</v>
      </c>
      <c r="BC648" t="s">
        <v>229</v>
      </c>
      <c r="BD648" t="s">
        <v>108</v>
      </c>
      <c r="BI648" t="s">
        <v>233</v>
      </c>
      <c r="BJ648" t="s">
        <v>0</v>
      </c>
      <c r="BK648">
        <v>42310628</v>
      </c>
      <c r="BN648" t="s">
        <v>104</v>
      </c>
      <c r="BO648">
        <v>42310634</v>
      </c>
      <c r="BR648">
        <v>5</v>
      </c>
      <c r="BS648">
        <v>42310638</v>
      </c>
      <c r="BT648" s="73">
        <v>45365.578333333331</v>
      </c>
      <c r="BU648" t="s">
        <v>226</v>
      </c>
      <c r="BV648" t="s">
        <v>436</v>
      </c>
      <c r="BW648" t="s">
        <v>235</v>
      </c>
      <c r="CH648" t="s">
        <v>229</v>
      </c>
      <c r="CI648" t="s">
        <v>108</v>
      </c>
      <c r="CJ648" t="s">
        <v>226</v>
      </c>
      <c r="CK648" t="s">
        <v>436</v>
      </c>
      <c r="CL648" t="s">
        <v>235</v>
      </c>
      <c r="CM648" t="s">
        <v>236</v>
      </c>
      <c r="CN648" t="s">
        <v>104</v>
      </c>
      <c r="CO648">
        <v>5</v>
      </c>
      <c r="CP648">
        <v>42310638</v>
      </c>
      <c r="CQ648" s="73">
        <v>45365.578333333331</v>
      </c>
      <c r="CR648" t="s">
        <v>229</v>
      </c>
      <c r="CS648" t="s">
        <v>108</v>
      </c>
      <c r="CU648" t="s">
        <v>225</v>
      </c>
    </row>
    <row r="649" spans="1:99">
      <c r="A649" t="s">
        <v>52</v>
      </c>
      <c r="B649" t="s">
        <v>92</v>
      </c>
      <c r="J649" t="s">
        <v>225</v>
      </c>
      <c r="K649" t="s">
        <v>225</v>
      </c>
      <c r="M649" s="73">
        <v>45365.577048611114</v>
      </c>
      <c r="N649">
        <v>42310622</v>
      </c>
      <c r="O649">
        <v>-170</v>
      </c>
      <c r="P649" t="s">
        <v>45</v>
      </c>
      <c r="Q649">
        <v>-170</v>
      </c>
      <c r="R649" t="s">
        <v>45</v>
      </c>
      <c r="U649" t="s">
        <v>226</v>
      </c>
      <c r="V649" t="s">
        <v>437</v>
      </c>
      <c r="W649" t="s">
        <v>228</v>
      </c>
      <c r="X649" t="s">
        <v>229</v>
      </c>
      <c r="Y649" t="s">
        <v>52</v>
      </c>
      <c r="AD649" t="s">
        <v>45</v>
      </c>
      <c r="AE649">
        <v>-170</v>
      </c>
      <c r="AF649">
        <v>42310622</v>
      </c>
      <c r="AG649" s="73">
        <v>45365.577048611114</v>
      </c>
      <c r="AH649" t="s">
        <v>226</v>
      </c>
      <c r="AI649" t="s">
        <v>437</v>
      </c>
      <c r="AJ649" t="s">
        <v>228</v>
      </c>
      <c r="AK649" t="s">
        <v>229</v>
      </c>
      <c r="AL649" t="s">
        <v>52</v>
      </c>
      <c r="AP649" t="s">
        <v>230</v>
      </c>
      <c r="AQ649" t="s">
        <v>231</v>
      </c>
      <c r="AT649" t="s">
        <v>232</v>
      </c>
      <c r="AU649">
        <v>-99</v>
      </c>
      <c r="AV649" t="s">
        <v>45</v>
      </c>
      <c r="AW649">
        <v>-170</v>
      </c>
      <c r="AX649">
        <v>42310622</v>
      </c>
      <c r="AY649" s="73">
        <v>45365.577048611114</v>
      </c>
      <c r="AZ649" t="s">
        <v>226</v>
      </c>
      <c r="BA649" t="s">
        <v>437</v>
      </c>
      <c r="BB649" t="s">
        <v>228</v>
      </c>
      <c r="BC649" t="s">
        <v>229</v>
      </c>
      <c r="BD649" t="s">
        <v>52</v>
      </c>
      <c r="BI649" t="s">
        <v>233</v>
      </c>
      <c r="BJ649" t="s">
        <v>0</v>
      </c>
      <c r="BK649">
        <v>42310610</v>
      </c>
      <c r="BN649" t="s">
        <v>45</v>
      </c>
      <c r="BR649">
        <v>-170</v>
      </c>
      <c r="BS649">
        <v>42310622</v>
      </c>
      <c r="BT649" s="73">
        <v>45365.577048611114</v>
      </c>
      <c r="BU649" t="s">
        <v>226</v>
      </c>
      <c r="BV649" t="s">
        <v>437</v>
      </c>
      <c r="BW649" t="s">
        <v>228</v>
      </c>
      <c r="CH649" t="s">
        <v>229</v>
      </c>
      <c r="CI649" t="s">
        <v>52</v>
      </c>
      <c r="CJ649" t="s">
        <v>226</v>
      </c>
      <c r="CK649" t="s">
        <v>437</v>
      </c>
      <c r="CL649" t="s">
        <v>228</v>
      </c>
      <c r="CM649" t="s">
        <v>234</v>
      </c>
      <c r="CN649" t="s">
        <v>45</v>
      </c>
      <c r="CO649">
        <v>-170</v>
      </c>
      <c r="CP649">
        <v>42310622</v>
      </c>
      <c r="CQ649" s="73">
        <v>45365.577048611114</v>
      </c>
      <c r="CR649" t="s">
        <v>229</v>
      </c>
      <c r="CS649" t="s">
        <v>52</v>
      </c>
      <c r="CU649" t="s">
        <v>225</v>
      </c>
    </row>
    <row r="650" spans="1:99">
      <c r="A650" t="s">
        <v>101</v>
      </c>
      <c r="B650" t="s">
        <v>98</v>
      </c>
      <c r="J650" t="s">
        <v>225</v>
      </c>
      <c r="K650" t="s">
        <v>225</v>
      </c>
      <c r="M650" s="73">
        <v>45365.577048611114</v>
      </c>
      <c r="N650">
        <v>42310621</v>
      </c>
      <c r="O650">
        <v>-8.5</v>
      </c>
      <c r="P650" t="s">
        <v>73</v>
      </c>
      <c r="Q650">
        <v>-8.5</v>
      </c>
      <c r="R650" t="s">
        <v>73</v>
      </c>
      <c r="U650" t="s">
        <v>226</v>
      </c>
      <c r="V650" t="s">
        <v>437</v>
      </c>
      <c r="W650" t="s">
        <v>228</v>
      </c>
      <c r="X650" t="s">
        <v>229</v>
      </c>
      <c r="Y650" t="s">
        <v>101</v>
      </c>
      <c r="AD650" t="s">
        <v>73</v>
      </c>
      <c r="AE650">
        <v>-8.5</v>
      </c>
      <c r="AF650">
        <v>42310621</v>
      </c>
      <c r="AG650" s="73">
        <v>45365.577048611114</v>
      </c>
      <c r="AH650" t="s">
        <v>226</v>
      </c>
      <c r="AI650" t="s">
        <v>437</v>
      </c>
      <c r="AJ650" t="s">
        <v>228</v>
      </c>
      <c r="AK650" t="s">
        <v>229</v>
      </c>
      <c r="AL650" t="s">
        <v>101</v>
      </c>
      <c r="AP650" t="s">
        <v>230</v>
      </c>
      <c r="AQ650" t="s">
        <v>231</v>
      </c>
      <c r="AT650" t="s">
        <v>232</v>
      </c>
      <c r="AU650">
        <v>-99</v>
      </c>
      <c r="AV650" t="s">
        <v>73</v>
      </c>
      <c r="AW650">
        <v>-8.5</v>
      </c>
      <c r="AX650">
        <v>42310621</v>
      </c>
      <c r="AY650" s="73">
        <v>45365.577048611114</v>
      </c>
      <c r="AZ650" t="s">
        <v>226</v>
      </c>
      <c r="BA650" t="s">
        <v>437</v>
      </c>
      <c r="BB650" t="s">
        <v>228</v>
      </c>
      <c r="BC650" t="s">
        <v>229</v>
      </c>
      <c r="BD650" t="s">
        <v>101</v>
      </c>
      <c r="BI650" t="s">
        <v>233</v>
      </c>
      <c r="BJ650" t="s">
        <v>0</v>
      </c>
      <c r="BK650">
        <v>42310610</v>
      </c>
      <c r="BN650" t="s">
        <v>73</v>
      </c>
      <c r="BR650">
        <v>-8.5</v>
      </c>
      <c r="BS650">
        <v>42310621</v>
      </c>
      <c r="BT650" s="73">
        <v>45365.577048611114</v>
      </c>
      <c r="BU650" t="s">
        <v>226</v>
      </c>
      <c r="BV650" t="s">
        <v>437</v>
      </c>
      <c r="BW650" t="s">
        <v>228</v>
      </c>
      <c r="CH650" t="s">
        <v>229</v>
      </c>
      <c r="CI650" t="s">
        <v>101</v>
      </c>
      <c r="CJ650" t="s">
        <v>226</v>
      </c>
      <c r="CK650" t="s">
        <v>437</v>
      </c>
      <c r="CL650" t="s">
        <v>228</v>
      </c>
      <c r="CM650" t="s">
        <v>234</v>
      </c>
      <c r="CN650" t="s">
        <v>73</v>
      </c>
      <c r="CO650">
        <v>-8.5</v>
      </c>
      <c r="CP650">
        <v>42310621</v>
      </c>
      <c r="CQ650" s="73">
        <v>45365.577048611114</v>
      </c>
      <c r="CR650" t="s">
        <v>229</v>
      </c>
      <c r="CS650" t="s">
        <v>101</v>
      </c>
      <c r="CU650" t="s">
        <v>225</v>
      </c>
    </row>
    <row r="651" spans="1:99">
      <c r="A651" t="s">
        <v>107</v>
      </c>
      <c r="B651" t="s">
        <v>98</v>
      </c>
      <c r="J651" t="s">
        <v>225</v>
      </c>
      <c r="K651" t="s">
        <v>225</v>
      </c>
      <c r="M651" s="73">
        <v>45365.577048611114</v>
      </c>
      <c r="N651">
        <v>42310620</v>
      </c>
      <c r="O651">
        <v>170</v>
      </c>
      <c r="P651" t="s">
        <v>104</v>
      </c>
      <c r="Q651">
        <v>170</v>
      </c>
      <c r="R651" t="s">
        <v>104</v>
      </c>
      <c r="S651">
        <v>8.5</v>
      </c>
      <c r="T651" t="s">
        <v>73</v>
      </c>
      <c r="U651" t="s">
        <v>226</v>
      </c>
      <c r="V651" t="s">
        <v>437</v>
      </c>
      <c r="W651" t="s">
        <v>235</v>
      </c>
      <c r="X651" t="s">
        <v>229</v>
      </c>
      <c r="Y651" t="s">
        <v>107</v>
      </c>
      <c r="AD651" t="s">
        <v>104</v>
      </c>
      <c r="AE651">
        <v>170</v>
      </c>
      <c r="AF651">
        <v>42310620</v>
      </c>
      <c r="AG651" s="73">
        <v>45365.577048611114</v>
      </c>
      <c r="AH651" t="s">
        <v>226</v>
      </c>
      <c r="AI651" t="s">
        <v>437</v>
      </c>
      <c r="AJ651" t="s">
        <v>235</v>
      </c>
      <c r="AK651" t="s">
        <v>229</v>
      </c>
      <c r="AL651" t="s">
        <v>107</v>
      </c>
      <c r="AP651" t="s">
        <v>230</v>
      </c>
      <c r="AQ651" t="s">
        <v>231</v>
      </c>
      <c r="AT651" t="s">
        <v>232</v>
      </c>
      <c r="AU651">
        <v>-99</v>
      </c>
      <c r="AV651" t="s">
        <v>104</v>
      </c>
      <c r="AW651">
        <v>170</v>
      </c>
      <c r="AX651">
        <v>42310620</v>
      </c>
      <c r="AY651" s="73">
        <v>45365.577048611114</v>
      </c>
      <c r="AZ651" t="s">
        <v>226</v>
      </c>
      <c r="BA651" t="s">
        <v>437</v>
      </c>
      <c r="BB651" t="s">
        <v>235</v>
      </c>
      <c r="BC651" t="s">
        <v>229</v>
      </c>
      <c r="BD651" t="s">
        <v>107</v>
      </c>
      <c r="BI651" t="s">
        <v>233</v>
      </c>
      <c r="BJ651" t="s">
        <v>0</v>
      </c>
      <c r="BK651">
        <v>42310610</v>
      </c>
      <c r="BN651" t="s">
        <v>104</v>
      </c>
      <c r="BO651">
        <v>42310616</v>
      </c>
      <c r="BR651">
        <v>170</v>
      </c>
      <c r="BS651">
        <v>42310620</v>
      </c>
      <c r="BT651" s="73">
        <v>45365.577048611114</v>
      </c>
      <c r="BU651" t="s">
        <v>226</v>
      </c>
      <c r="BV651" t="s">
        <v>437</v>
      </c>
      <c r="BW651" t="s">
        <v>235</v>
      </c>
      <c r="CH651" t="s">
        <v>229</v>
      </c>
      <c r="CI651" t="s">
        <v>107</v>
      </c>
      <c r="CJ651" t="s">
        <v>226</v>
      </c>
      <c r="CK651" t="s">
        <v>437</v>
      </c>
      <c r="CL651" t="s">
        <v>235</v>
      </c>
      <c r="CM651" t="s">
        <v>236</v>
      </c>
      <c r="CN651" t="s">
        <v>104</v>
      </c>
      <c r="CO651">
        <v>170</v>
      </c>
      <c r="CP651">
        <v>42310620</v>
      </c>
      <c r="CQ651" s="73">
        <v>45365.577048611114</v>
      </c>
      <c r="CR651" t="s">
        <v>229</v>
      </c>
      <c r="CS651" t="s">
        <v>107</v>
      </c>
      <c r="CU651" t="s">
        <v>225</v>
      </c>
    </row>
    <row r="652" spans="1:99">
      <c r="A652" t="s">
        <v>42</v>
      </c>
      <c r="B652" t="s">
        <v>92</v>
      </c>
      <c r="J652" t="s">
        <v>225</v>
      </c>
      <c r="K652" t="s">
        <v>225</v>
      </c>
      <c r="M652" s="73">
        <v>45364.918171296296</v>
      </c>
      <c r="N652">
        <v>42298591</v>
      </c>
      <c r="O652">
        <v>-7178</v>
      </c>
      <c r="P652" t="s">
        <v>45</v>
      </c>
      <c r="Q652">
        <v>-7178</v>
      </c>
      <c r="R652" t="s">
        <v>45</v>
      </c>
      <c r="U652" t="s">
        <v>226</v>
      </c>
      <c r="V652" t="s">
        <v>438</v>
      </c>
      <c r="W652" t="s">
        <v>228</v>
      </c>
      <c r="X652" t="s">
        <v>229</v>
      </c>
      <c r="Y652" t="s">
        <v>42</v>
      </c>
      <c r="AD652" t="s">
        <v>45</v>
      </c>
      <c r="AE652">
        <v>-7178</v>
      </c>
      <c r="AF652">
        <v>42298591</v>
      </c>
      <c r="AG652" s="73">
        <v>45364.918171296296</v>
      </c>
      <c r="AH652" t="s">
        <v>226</v>
      </c>
      <c r="AI652" t="s">
        <v>438</v>
      </c>
      <c r="AJ652" t="s">
        <v>228</v>
      </c>
      <c r="AK652" t="s">
        <v>229</v>
      </c>
      <c r="AL652" t="s">
        <v>42</v>
      </c>
      <c r="AP652" t="s">
        <v>230</v>
      </c>
      <c r="AQ652" t="s">
        <v>231</v>
      </c>
      <c r="AT652" t="s">
        <v>232</v>
      </c>
      <c r="AU652">
        <v>-99</v>
      </c>
      <c r="AV652" t="s">
        <v>45</v>
      </c>
      <c r="AW652">
        <v>-7178</v>
      </c>
      <c r="AX652">
        <v>42298591</v>
      </c>
      <c r="AY652" s="73">
        <v>45364.918171296296</v>
      </c>
      <c r="AZ652" t="s">
        <v>226</v>
      </c>
      <c r="BA652" t="s">
        <v>438</v>
      </c>
      <c r="BB652" t="s">
        <v>228</v>
      </c>
      <c r="BC652" t="s">
        <v>229</v>
      </c>
      <c r="BD652" t="s">
        <v>42</v>
      </c>
      <c r="BI652" t="s">
        <v>233</v>
      </c>
      <c r="BJ652" t="s">
        <v>0</v>
      </c>
      <c r="BK652">
        <v>42298575</v>
      </c>
      <c r="BN652" t="s">
        <v>45</v>
      </c>
      <c r="BR652">
        <v>-7178</v>
      </c>
      <c r="BS652">
        <v>42298591</v>
      </c>
      <c r="BT652" s="73">
        <v>45364.918171296296</v>
      </c>
      <c r="BU652" t="s">
        <v>226</v>
      </c>
      <c r="BV652" t="s">
        <v>438</v>
      </c>
      <c r="BW652" t="s">
        <v>228</v>
      </c>
      <c r="CH652" t="s">
        <v>229</v>
      </c>
      <c r="CI652" t="s">
        <v>42</v>
      </c>
      <c r="CJ652" t="s">
        <v>226</v>
      </c>
      <c r="CK652" t="s">
        <v>438</v>
      </c>
      <c r="CL652" t="s">
        <v>228</v>
      </c>
      <c r="CM652" t="s">
        <v>234</v>
      </c>
      <c r="CN652" t="s">
        <v>45</v>
      </c>
      <c r="CO652">
        <v>-7178</v>
      </c>
      <c r="CP652">
        <v>42298591</v>
      </c>
      <c r="CQ652" s="73">
        <v>45364.918171296296</v>
      </c>
      <c r="CR652" t="s">
        <v>229</v>
      </c>
      <c r="CS652" t="s">
        <v>42</v>
      </c>
      <c r="CU652" t="s">
        <v>225</v>
      </c>
    </row>
    <row r="653" spans="1:99">
      <c r="A653" t="s">
        <v>99</v>
      </c>
      <c r="B653" t="s">
        <v>98</v>
      </c>
      <c r="J653" t="s">
        <v>225</v>
      </c>
      <c r="K653" t="s">
        <v>225</v>
      </c>
      <c r="M653" s="73">
        <v>45364.918171296296</v>
      </c>
      <c r="N653">
        <v>42298590</v>
      </c>
      <c r="O653">
        <v>-358.5</v>
      </c>
      <c r="P653" t="s">
        <v>73</v>
      </c>
      <c r="Q653">
        <v>-358.5</v>
      </c>
      <c r="R653" t="s">
        <v>73</v>
      </c>
      <c r="U653" t="s">
        <v>226</v>
      </c>
      <c r="V653" t="s">
        <v>438</v>
      </c>
      <c r="W653" t="s">
        <v>228</v>
      </c>
      <c r="X653" t="s">
        <v>229</v>
      </c>
      <c r="Y653" t="s">
        <v>99</v>
      </c>
      <c r="AD653" t="s">
        <v>73</v>
      </c>
      <c r="AE653">
        <v>-358.5</v>
      </c>
      <c r="AF653">
        <v>42298590</v>
      </c>
      <c r="AG653" s="73">
        <v>45364.918171296296</v>
      </c>
      <c r="AH653" t="s">
        <v>226</v>
      </c>
      <c r="AI653" t="s">
        <v>438</v>
      </c>
      <c r="AJ653" t="s">
        <v>228</v>
      </c>
      <c r="AK653" t="s">
        <v>229</v>
      </c>
      <c r="AL653" t="s">
        <v>99</v>
      </c>
      <c r="AP653" t="s">
        <v>230</v>
      </c>
      <c r="AQ653" t="s">
        <v>231</v>
      </c>
      <c r="AT653" t="s">
        <v>232</v>
      </c>
      <c r="AU653">
        <v>-99</v>
      </c>
      <c r="AV653" t="s">
        <v>73</v>
      </c>
      <c r="AW653">
        <v>-358.5</v>
      </c>
      <c r="AX653">
        <v>42298590</v>
      </c>
      <c r="AY653" s="73">
        <v>45364.918171296296</v>
      </c>
      <c r="AZ653" t="s">
        <v>226</v>
      </c>
      <c r="BA653" t="s">
        <v>438</v>
      </c>
      <c r="BB653" t="s">
        <v>228</v>
      </c>
      <c r="BC653" t="s">
        <v>229</v>
      </c>
      <c r="BD653" t="s">
        <v>99</v>
      </c>
      <c r="BI653" t="s">
        <v>233</v>
      </c>
      <c r="BJ653" t="s">
        <v>0</v>
      </c>
      <c r="BK653">
        <v>42298575</v>
      </c>
      <c r="BN653" t="s">
        <v>73</v>
      </c>
      <c r="BR653">
        <v>-358.5</v>
      </c>
      <c r="BS653">
        <v>42298590</v>
      </c>
      <c r="BT653" s="73">
        <v>45364.918171296296</v>
      </c>
      <c r="BU653" t="s">
        <v>226</v>
      </c>
      <c r="BV653" t="s">
        <v>438</v>
      </c>
      <c r="BW653" t="s">
        <v>228</v>
      </c>
      <c r="CH653" t="s">
        <v>229</v>
      </c>
      <c r="CI653" t="s">
        <v>99</v>
      </c>
      <c r="CJ653" t="s">
        <v>226</v>
      </c>
      <c r="CK653" t="s">
        <v>438</v>
      </c>
      <c r="CL653" t="s">
        <v>228</v>
      </c>
      <c r="CM653" t="s">
        <v>234</v>
      </c>
      <c r="CN653" t="s">
        <v>73</v>
      </c>
      <c r="CO653">
        <v>-358.5</v>
      </c>
      <c r="CP653">
        <v>42298590</v>
      </c>
      <c r="CQ653" s="73">
        <v>45364.918171296296</v>
      </c>
      <c r="CR653" t="s">
        <v>229</v>
      </c>
      <c r="CS653" t="s">
        <v>99</v>
      </c>
      <c r="CU653" t="s">
        <v>225</v>
      </c>
    </row>
    <row r="654" spans="1:99">
      <c r="A654" t="s">
        <v>103</v>
      </c>
      <c r="B654" t="s">
        <v>98</v>
      </c>
      <c r="J654" t="s">
        <v>225</v>
      </c>
      <c r="K654" t="s">
        <v>225</v>
      </c>
      <c r="M654" s="73">
        <v>45364.918171296296</v>
      </c>
      <c r="N654">
        <v>42298589</v>
      </c>
      <c r="O654">
        <v>7170</v>
      </c>
      <c r="P654" t="s">
        <v>104</v>
      </c>
      <c r="Q654">
        <v>7170</v>
      </c>
      <c r="R654" t="s">
        <v>104</v>
      </c>
      <c r="S654">
        <v>358.5</v>
      </c>
      <c r="T654" t="s">
        <v>73</v>
      </c>
      <c r="U654" t="s">
        <v>226</v>
      </c>
      <c r="V654" t="s">
        <v>438</v>
      </c>
      <c r="W654" t="s">
        <v>235</v>
      </c>
      <c r="X654" t="s">
        <v>229</v>
      </c>
      <c r="Y654" t="s">
        <v>103</v>
      </c>
      <c r="AD654" t="s">
        <v>104</v>
      </c>
      <c r="AE654">
        <v>7170</v>
      </c>
      <c r="AF654">
        <v>42298589</v>
      </c>
      <c r="AG654" s="73">
        <v>45364.918171296296</v>
      </c>
      <c r="AH654" t="s">
        <v>226</v>
      </c>
      <c r="AI654" t="s">
        <v>438</v>
      </c>
      <c r="AJ654" t="s">
        <v>235</v>
      </c>
      <c r="AK654" t="s">
        <v>229</v>
      </c>
      <c r="AL654" t="s">
        <v>103</v>
      </c>
      <c r="AP654" t="s">
        <v>230</v>
      </c>
      <c r="AQ654" t="s">
        <v>231</v>
      </c>
      <c r="AT654" t="s">
        <v>232</v>
      </c>
      <c r="AU654">
        <v>-99</v>
      </c>
      <c r="AV654" t="s">
        <v>104</v>
      </c>
      <c r="AW654">
        <v>7170</v>
      </c>
      <c r="AX654">
        <v>42298589</v>
      </c>
      <c r="AY654" s="73">
        <v>45364.918171296296</v>
      </c>
      <c r="AZ654" t="s">
        <v>226</v>
      </c>
      <c r="BA654" t="s">
        <v>438</v>
      </c>
      <c r="BB654" t="s">
        <v>235</v>
      </c>
      <c r="BC654" t="s">
        <v>229</v>
      </c>
      <c r="BD654" t="s">
        <v>103</v>
      </c>
      <c r="BI654" t="s">
        <v>233</v>
      </c>
      <c r="BJ654" t="s">
        <v>0</v>
      </c>
      <c r="BK654">
        <v>42298575</v>
      </c>
      <c r="BN654" t="s">
        <v>104</v>
      </c>
      <c r="BO654">
        <v>42298581</v>
      </c>
      <c r="BR654">
        <v>7170</v>
      </c>
      <c r="BS654">
        <v>42298589</v>
      </c>
      <c r="BT654" s="73">
        <v>45364.918171296296</v>
      </c>
      <c r="BU654" t="s">
        <v>226</v>
      </c>
      <c r="BV654" t="s">
        <v>438</v>
      </c>
      <c r="BW654" t="s">
        <v>235</v>
      </c>
      <c r="CH654" t="s">
        <v>229</v>
      </c>
      <c r="CI654" t="s">
        <v>103</v>
      </c>
      <c r="CJ654" t="s">
        <v>226</v>
      </c>
      <c r="CK654" t="s">
        <v>438</v>
      </c>
      <c r="CL654" t="s">
        <v>235</v>
      </c>
      <c r="CM654" t="s">
        <v>236</v>
      </c>
      <c r="CN654" t="s">
        <v>104</v>
      </c>
      <c r="CO654">
        <v>7170</v>
      </c>
      <c r="CP654">
        <v>42298589</v>
      </c>
      <c r="CQ654" s="73">
        <v>45364.918171296296</v>
      </c>
      <c r="CR654" t="s">
        <v>229</v>
      </c>
      <c r="CS654" t="s">
        <v>103</v>
      </c>
      <c r="CU654" t="s">
        <v>225</v>
      </c>
    </row>
    <row r="655" spans="1:99">
      <c r="A655" t="s">
        <v>111</v>
      </c>
      <c r="B655" t="s">
        <v>77</v>
      </c>
      <c r="J655" t="s">
        <v>225</v>
      </c>
      <c r="K655" t="s">
        <v>225</v>
      </c>
      <c r="M655" s="73">
        <v>45364.918171296296</v>
      </c>
      <c r="N655">
        <v>42298588</v>
      </c>
      <c r="O655">
        <v>8</v>
      </c>
      <c r="P655" t="s">
        <v>45</v>
      </c>
      <c r="Q655">
        <v>8</v>
      </c>
      <c r="R655" t="s">
        <v>45</v>
      </c>
      <c r="U655" t="s">
        <v>226</v>
      </c>
      <c r="V655" t="s">
        <v>438</v>
      </c>
      <c r="W655" t="s">
        <v>237</v>
      </c>
      <c r="X655" t="s">
        <v>229</v>
      </c>
      <c r="Y655" t="s">
        <v>111</v>
      </c>
      <c r="AD655" t="s">
        <v>45</v>
      </c>
      <c r="AE655">
        <v>8</v>
      </c>
      <c r="AF655">
        <v>42298588</v>
      </c>
      <c r="AG655" s="73">
        <v>45364.918171296296</v>
      </c>
      <c r="AH655" t="s">
        <v>226</v>
      </c>
      <c r="AI655" t="s">
        <v>438</v>
      </c>
      <c r="AJ655" t="s">
        <v>237</v>
      </c>
      <c r="AK655" t="s">
        <v>229</v>
      </c>
      <c r="AL655" t="s">
        <v>111</v>
      </c>
      <c r="AP655" t="s">
        <v>230</v>
      </c>
      <c r="AQ655" t="s">
        <v>231</v>
      </c>
      <c r="AT655" t="s">
        <v>232</v>
      </c>
      <c r="AU655">
        <v>-99</v>
      </c>
      <c r="AV655" t="s">
        <v>45</v>
      </c>
      <c r="AW655">
        <v>8</v>
      </c>
      <c r="AX655">
        <v>42298588</v>
      </c>
      <c r="AY655" s="73">
        <v>45364.918171296296</v>
      </c>
      <c r="AZ655" t="s">
        <v>226</v>
      </c>
      <c r="BA655" t="s">
        <v>438</v>
      </c>
      <c r="BB655" t="s">
        <v>237</v>
      </c>
      <c r="BC655" t="s">
        <v>229</v>
      </c>
      <c r="BD655" t="s">
        <v>111</v>
      </c>
      <c r="BI655" t="s">
        <v>233</v>
      </c>
      <c r="BJ655" t="s">
        <v>0</v>
      </c>
      <c r="BK655">
        <v>42298575</v>
      </c>
      <c r="BN655" t="s">
        <v>45</v>
      </c>
      <c r="BO655">
        <v>42298583</v>
      </c>
      <c r="BR655">
        <v>8</v>
      </c>
      <c r="BS655">
        <v>42298588</v>
      </c>
      <c r="BT655" s="73">
        <v>45364.918171296296</v>
      </c>
      <c r="BU655" t="s">
        <v>226</v>
      </c>
      <c r="BV655" t="s">
        <v>438</v>
      </c>
      <c r="BW655" t="s">
        <v>237</v>
      </c>
      <c r="CH655" t="s">
        <v>229</v>
      </c>
      <c r="CI655" t="s">
        <v>111</v>
      </c>
      <c r="CJ655" t="s">
        <v>226</v>
      </c>
      <c r="CK655" t="s">
        <v>438</v>
      </c>
      <c r="CL655" t="s">
        <v>237</v>
      </c>
      <c r="CM655" t="s">
        <v>236</v>
      </c>
      <c r="CN655" t="s">
        <v>45</v>
      </c>
      <c r="CO655">
        <v>8</v>
      </c>
      <c r="CP655">
        <v>42298588</v>
      </c>
      <c r="CQ655" s="73">
        <v>45364.918171296296</v>
      </c>
      <c r="CR655" t="s">
        <v>229</v>
      </c>
      <c r="CS655" t="s">
        <v>111</v>
      </c>
      <c r="CU655" t="s">
        <v>225</v>
      </c>
    </row>
    <row r="656" spans="1:99">
      <c r="A656" t="s">
        <v>42</v>
      </c>
      <c r="B656" t="s">
        <v>92</v>
      </c>
      <c r="J656" t="s">
        <v>225</v>
      </c>
      <c r="K656" t="s">
        <v>225</v>
      </c>
      <c r="M656" s="73">
        <v>45364.916666666664</v>
      </c>
      <c r="N656">
        <v>42305005</v>
      </c>
      <c r="O656">
        <v>-5750</v>
      </c>
      <c r="P656" t="s">
        <v>45</v>
      </c>
      <c r="Q656">
        <v>-5750</v>
      </c>
      <c r="R656" t="s">
        <v>45</v>
      </c>
      <c r="U656" t="s">
        <v>226</v>
      </c>
      <c r="V656" t="s">
        <v>439</v>
      </c>
      <c r="W656" t="s">
        <v>228</v>
      </c>
      <c r="X656" t="s">
        <v>229</v>
      </c>
      <c r="Y656" t="s">
        <v>42</v>
      </c>
      <c r="AD656" t="s">
        <v>45</v>
      </c>
      <c r="AE656">
        <v>-5750</v>
      </c>
      <c r="AF656">
        <v>42305005</v>
      </c>
      <c r="AG656" s="73">
        <v>45364.916666666664</v>
      </c>
      <c r="AH656" t="s">
        <v>226</v>
      </c>
      <c r="AI656" t="s">
        <v>439</v>
      </c>
      <c r="AJ656" t="s">
        <v>228</v>
      </c>
      <c r="AK656" t="s">
        <v>229</v>
      </c>
      <c r="AL656" t="s">
        <v>42</v>
      </c>
      <c r="AP656" t="s">
        <v>230</v>
      </c>
      <c r="AQ656" t="s">
        <v>231</v>
      </c>
      <c r="AT656" t="s">
        <v>232</v>
      </c>
      <c r="AU656">
        <v>-99</v>
      </c>
      <c r="AV656" t="s">
        <v>45</v>
      </c>
      <c r="AW656">
        <v>-5750</v>
      </c>
      <c r="AX656">
        <v>42305005</v>
      </c>
      <c r="AY656" s="73">
        <v>45364.916666666664</v>
      </c>
      <c r="AZ656" t="s">
        <v>226</v>
      </c>
      <c r="BA656" t="s">
        <v>439</v>
      </c>
      <c r="BB656" t="s">
        <v>228</v>
      </c>
      <c r="BC656" t="s">
        <v>229</v>
      </c>
      <c r="BD656" t="s">
        <v>42</v>
      </c>
      <c r="BI656" t="s">
        <v>233</v>
      </c>
      <c r="BJ656" t="s">
        <v>0</v>
      </c>
      <c r="BK656">
        <v>42304993</v>
      </c>
      <c r="BN656" t="s">
        <v>45</v>
      </c>
      <c r="BR656">
        <v>-5750</v>
      </c>
      <c r="BS656">
        <v>42305005</v>
      </c>
      <c r="BT656" s="73">
        <v>45364.916666666664</v>
      </c>
      <c r="BU656" t="s">
        <v>226</v>
      </c>
      <c r="BV656" t="s">
        <v>439</v>
      </c>
      <c r="BW656" t="s">
        <v>228</v>
      </c>
      <c r="CH656" t="s">
        <v>229</v>
      </c>
      <c r="CI656" t="s">
        <v>42</v>
      </c>
      <c r="CJ656" t="s">
        <v>226</v>
      </c>
      <c r="CK656" t="s">
        <v>439</v>
      </c>
      <c r="CL656" t="s">
        <v>228</v>
      </c>
      <c r="CM656" t="s">
        <v>234</v>
      </c>
      <c r="CN656" t="s">
        <v>45</v>
      </c>
      <c r="CO656">
        <v>-5750</v>
      </c>
      <c r="CP656">
        <v>42305005</v>
      </c>
      <c r="CQ656" s="73">
        <v>45364.916666666664</v>
      </c>
      <c r="CR656" t="s">
        <v>229</v>
      </c>
      <c r="CS656" t="s">
        <v>42</v>
      </c>
      <c r="CU656" t="s">
        <v>225</v>
      </c>
    </row>
    <row r="657" spans="1:99">
      <c r="A657" t="s">
        <v>99</v>
      </c>
      <c r="B657" t="s">
        <v>98</v>
      </c>
      <c r="J657" t="s">
        <v>225</v>
      </c>
      <c r="K657" t="s">
        <v>225</v>
      </c>
      <c r="M657" s="73">
        <v>45364.916666666664</v>
      </c>
      <c r="N657">
        <v>42305004</v>
      </c>
      <c r="O657">
        <v>-287.5</v>
      </c>
      <c r="P657" t="s">
        <v>73</v>
      </c>
      <c r="Q657">
        <v>-287.5</v>
      </c>
      <c r="R657" t="s">
        <v>73</v>
      </c>
      <c r="U657" t="s">
        <v>226</v>
      </c>
      <c r="V657" t="s">
        <v>439</v>
      </c>
      <c r="W657" t="s">
        <v>228</v>
      </c>
      <c r="X657" t="s">
        <v>229</v>
      </c>
      <c r="Y657" t="s">
        <v>99</v>
      </c>
      <c r="AD657" t="s">
        <v>73</v>
      </c>
      <c r="AE657">
        <v>-287.5</v>
      </c>
      <c r="AF657">
        <v>42305004</v>
      </c>
      <c r="AG657" s="73">
        <v>45364.916666666664</v>
      </c>
      <c r="AH657" t="s">
        <v>226</v>
      </c>
      <c r="AI657" t="s">
        <v>439</v>
      </c>
      <c r="AJ657" t="s">
        <v>228</v>
      </c>
      <c r="AK657" t="s">
        <v>229</v>
      </c>
      <c r="AL657" t="s">
        <v>99</v>
      </c>
      <c r="AP657" t="s">
        <v>230</v>
      </c>
      <c r="AQ657" t="s">
        <v>231</v>
      </c>
      <c r="AT657" t="s">
        <v>232</v>
      </c>
      <c r="AU657">
        <v>-99</v>
      </c>
      <c r="AV657" t="s">
        <v>73</v>
      </c>
      <c r="AW657">
        <v>-287.5</v>
      </c>
      <c r="AX657">
        <v>42305004</v>
      </c>
      <c r="AY657" s="73">
        <v>45364.916666666664</v>
      </c>
      <c r="AZ657" t="s">
        <v>226</v>
      </c>
      <c r="BA657" t="s">
        <v>439</v>
      </c>
      <c r="BB657" t="s">
        <v>228</v>
      </c>
      <c r="BC657" t="s">
        <v>229</v>
      </c>
      <c r="BD657" t="s">
        <v>99</v>
      </c>
      <c r="BI657" t="s">
        <v>233</v>
      </c>
      <c r="BJ657" t="s">
        <v>0</v>
      </c>
      <c r="BK657">
        <v>42304993</v>
      </c>
      <c r="BN657" t="s">
        <v>73</v>
      </c>
      <c r="BR657">
        <v>-287.5</v>
      </c>
      <c r="BS657">
        <v>42305004</v>
      </c>
      <c r="BT657" s="73">
        <v>45364.916666666664</v>
      </c>
      <c r="BU657" t="s">
        <v>226</v>
      </c>
      <c r="BV657" t="s">
        <v>439</v>
      </c>
      <c r="BW657" t="s">
        <v>228</v>
      </c>
      <c r="CH657" t="s">
        <v>229</v>
      </c>
      <c r="CI657" t="s">
        <v>99</v>
      </c>
      <c r="CJ657" t="s">
        <v>226</v>
      </c>
      <c r="CK657" t="s">
        <v>439</v>
      </c>
      <c r="CL657" t="s">
        <v>228</v>
      </c>
      <c r="CM657" t="s">
        <v>234</v>
      </c>
      <c r="CN657" t="s">
        <v>73</v>
      </c>
      <c r="CO657">
        <v>-287.5</v>
      </c>
      <c r="CP657">
        <v>42305004</v>
      </c>
      <c r="CQ657" s="73">
        <v>45364.916666666664</v>
      </c>
      <c r="CR657" t="s">
        <v>229</v>
      </c>
      <c r="CS657" t="s">
        <v>99</v>
      </c>
      <c r="CU657" t="s">
        <v>225</v>
      </c>
    </row>
    <row r="658" spans="1:99">
      <c r="A658" t="s">
        <v>103</v>
      </c>
      <c r="B658" t="s">
        <v>98</v>
      </c>
      <c r="J658" t="s">
        <v>225</v>
      </c>
      <c r="K658" t="s">
        <v>225</v>
      </c>
      <c r="M658" s="73">
        <v>45364.916666666664</v>
      </c>
      <c r="N658">
        <v>42305003</v>
      </c>
      <c r="O658">
        <v>5750</v>
      </c>
      <c r="P658" t="s">
        <v>104</v>
      </c>
      <c r="Q658">
        <v>5750</v>
      </c>
      <c r="R658" t="s">
        <v>104</v>
      </c>
      <c r="S658">
        <v>287.5</v>
      </c>
      <c r="T658" t="s">
        <v>73</v>
      </c>
      <c r="U658" t="s">
        <v>226</v>
      </c>
      <c r="V658" t="s">
        <v>439</v>
      </c>
      <c r="W658" t="s">
        <v>235</v>
      </c>
      <c r="X658" t="s">
        <v>229</v>
      </c>
      <c r="Y658" t="s">
        <v>103</v>
      </c>
      <c r="AD658" t="s">
        <v>104</v>
      </c>
      <c r="AE658">
        <v>5750</v>
      </c>
      <c r="AF658">
        <v>42305003</v>
      </c>
      <c r="AG658" s="73">
        <v>45364.916666666664</v>
      </c>
      <c r="AH658" t="s">
        <v>226</v>
      </c>
      <c r="AI658" t="s">
        <v>439</v>
      </c>
      <c r="AJ658" t="s">
        <v>235</v>
      </c>
      <c r="AK658" t="s">
        <v>229</v>
      </c>
      <c r="AL658" t="s">
        <v>103</v>
      </c>
      <c r="AP658" t="s">
        <v>230</v>
      </c>
      <c r="AQ658" t="s">
        <v>231</v>
      </c>
      <c r="AT658" t="s">
        <v>232</v>
      </c>
      <c r="AU658">
        <v>-99</v>
      </c>
      <c r="AV658" t="s">
        <v>104</v>
      </c>
      <c r="AW658">
        <v>5750</v>
      </c>
      <c r="AX658">
        <v>42305003</v>
      </c>
      <c r="AY658" s="73">
        <v>45364.916666666664</v>
      </c>
      <c r="AZ658" t="s">
        <v>226</v>
      </c>
      <c r="BA658" t="s">
        <v>439</v>
      </c>
      <c r="BB658" t="s">
        <v>235</v>
      </c>
      <c r="BC658" t="s">
        <v>229</v>
      </c>
      <c r="BD658" t="s">
        <v>103</v>
      </c>
      <c r="BI658" t="s">
        <v>233</v>
      </c>
      <c r="BJ658" t="s">
        <v>0</v>
      </c>
      <c r="BK658">
        <v>42304993</v>
      </c>
      <c r="BN658" t="s">
        <v>104</v>
      </c>
      <c r="BO658">
        <v>42304999</v>
      </c>
      <c r="BR658">
        <v>5750</v>
      </c>
      <c r="BS658">
        <v>42305003</v>
      </c>
      <c r="BT658" s="73">
        <v>45364.916666666664</v>
      </c>
      <c r="BU658" t="s">
        <v>226</v>
      </c>
      <c r="BV658" t="s">
        <v>439</v>
      </c>
      <c r="BW658" t="s">
        <v>235</v>
      </c>
      <c r="CH658" t="s">
        <v>229</v>
      </c>
      <c r="CI658" t="s">
        <v>103</v>
      </c>
      <c r="CJ658" t="s">
        <v>226</v>
      </c>
      <c r="CK658" t="s">
        <v>439</v>
      </c>
      <c r="CL658" t="s">
        <v>235</v>
      </c>
      <c r="CM658" t="s">
        <v>236</v>
      </c>
      <c r="CN658" t="s">
        <v>104</v>
      </c>
      <c r="CO658">
        <v>5750</v>
      </c>
      <c r="CP658">
        <v>42305003</v>
      </c>
      <c r="CQ658" s="73">
        <v>45364.916666666664</v>
      </c>
      <c r="CR658" t="s">
        <v>229</v>
      </c>
      <c r="CS658" t="s">
        <v>103</v>
      </c>
      <c r="CU658" t="s">
        <v>225</v>
      </c>
    </row>
    <row r="659" spans="1:99">
      <c r="A659" t="s">
        <v>42</v>
      </c>
      <c r="B659" t="s">
        <v>92</v>
      </c>
      <c r="J659" t="s">
        <v>225</v>
      </c>
      <c r="K659" t="s">
        <v>225</v>
      </c>
      <c r="M659" s="73">
        <v>45364.916666666664</v>
      </c>
      <c r="N659">
        <v>42304991</v>
      </c>
      <c r="O659">
        <v>-3237</v>
      </c>
      <c r="P659" t="s">
        <v>45</v>
      </c>
      <c r="Q659">
        <v>-3237</v>
      </c>
      <c r="R659" t="s">
        <v>45</v>
      </c>
      <c r="U659" t="s">
        <v>226</v>
      </c>
      <c r="V659" t="s">
        <v>440</v>
      </c>
      <c r="W659" t="s">
        <v>228</v>
      </c>
      <c r="X659" t="s">
        <v>229</v>
      </c>
      <c r="Y659" t="s">
        <v>42</v>
      </c>
      <c r="AD659" t="s">
        <v>45</v>
      </c>
      <c r="AE659">
        <v>-3237</v>
      </c>
      <c r="AF659">
        <v>42304991</v>
      </c>
      <c r="AG659" s="73">
        <v>45364.916666666664</v>
      </c>
      <c r="AH659" t="s">
        <v>226</v>
      </c>
      <c r="AI659" t="s">
        <v>440</v>
      </c>
      <c r="AJ659" t="s">
        <v>228</v>
      </c>
      <c r="AK659" t="s">
        <v>229</v>
      </c>
      <c r="AL659" t="s">
        <v>42</v>
      </c>
      <c r="AP659" t="s">
        <v>230</v>
      </c>
      <c r="AQ659" t="s">
        <v>231</v>
      </c>
      <c r="AT659" t="s">
        <v>232</v>
      </c>
      <c r="AU659">
        <v>-99</v>
      </c>
      <c r="AV659" t="s">
        <v>45</v>
      </c>
      <c r="AW659">
        <v>-3237</v>
      </c>
      <c r="AX659">
        <v>42304991</v>
      </c>
      <c r="AY659" s="73">
        <v>45364.916666666664</v>
      </c>
      <c r="AZ659" t="s">
        <v>226</v>
      </c>
      <c r="BA659" t="s">
        <v>440</v>
      </c>
      <c r="BB659" t="s">
        <v>228</v>
      </c>
      <c r="BC659" t="s">
        <v>229</v>
      </c>
      <c r="BD659" t="s">
        <v>42</v>
      </c>
      <c r="BI659" t="s">
        <v>233</v>
      </c>
      <c r="BJ659" t="s">
        <v>0</v>
      </c>
      <c r="BK659">
        <v>42304972</v>
      </c>
      <c r="BN659" t="s">
        <v>45</v>
      </c>
      <c r="BR659">
        <v>-3237</v>
      </c>
      <c r="BS659">
        <v>42304991</v>
      </c>
      <c r="BT659" s="73">
        <v>45364.916666666664</v>
      </c>
      <c r="BU659" t="s">
        <v>226</v>
      </c>
      <c r="BV659" t="s">
        <v>440</v>
      </c>
      <c r="BW659" t="s">
        <v>228</v>
      </c>
      <c r="CH659" t="s">
        <v>229</v>
      </c>
      <c r="CI659" t="s">
        <v>42</v>
      </c>
      <c r="CJ659" t="s">
        <v>226</v>
      </c>
      <c r="CK659" t="s">
        <v>440</v>
      </c>
      <c r="CL659" t="s">
        <v>228</v>
      </c>
      <c r="CM659" t="s">
        <v>234</v>
      </c>
      <c r="CN659" t="s">
        <v>45</v>
      </c>
      <c r="CO659">
        <v>-3237</v>
      </c>
      <c r="CP659">
        <v>42304991</v>
      </c>
      <c r="CQ659" s="73">
        <v>45364.916666666664</v>
      </c>
      <c r="CR659" t="s">
        <v>229</v>
      </c>
      <c r="CS659" t="s">
        <v>42</v>
      </c>
      <c r="CU659" t="s">
        <v>225</v>
      </c>
    </row>
    <row r="660" spans="1:99">
      <c r="A660" t="s">
        <v>99</v>
      </c>
      <c r="B660" t="s">
        <v>98</v>
      </c>
      <c r="J660" t="s">
        <v>225</v>
      </c>
      <c r="K660" t="s">
        <v>225</v>
      </c>
      <c r="M660" s="73">
        <v>45364.916666666664</v>
      </c>
      <c r="N660">
        <v>42304990</v>
      </c>
      <c r="O660">
        <v>-161.5</v>
      </c>
      <c r="P660" t="s">
        <v>73</v>
      </c>
      <c r="Q660">
        <v>-161.5</v>
      </c>
      <c r="R660" t="s">
        <v>73</v>
      </c>
      <c r="U660" t="s">
        <v>226</v>
      </c>
      <c r="V660" t="s">
        <v>440</v>
      </c>
      <c r="W660" t="s">
        <v>228</v>
      </c>
      <c r="X660" t="s">
        <v>229</v>
      </c>
      <c r="Y660" t="s">
        <v>99</v>
      </c>
      <c r="AD660" t="s">
        <v>73</v>
      </c>
      <c r="AE660">
        <v>-161.5</v>
      </c>
      <c r="AF660">
        <v>42304990</v>
      </c>
      <c r="AG660" s="73">
        <v>45364.916666666664</v>
      </c>
      <c r="AH660" t="s">
        <v>226</v>
      </c>
      <c r="AI660" t="s">
        <v>440</v>
      </c>
      <c r="AJ660" t="s">
        <v>228</v>
      </c>
      <c r="AK660" t="s">
        <v>229</v>
      </c>
      <c r="AL660" t="s">
        <v>99</v>
      </c>
      <c r="AP660" t="s">
        <v>230</v>
      </c>
      <c r="AQ660" t="s">
        <v>231</v>
      </c>
      <c r="AT660" t="s">
        <v>232</v>
      </c>
      <c r="AU660">
        <v>-99</v>
      </c>
      <c r="AV660" t="s">
        <v>73</v>
      </c>
      <c r="AW660">
        <v>-161.5</v>
      </c>
      <c r="AX660">
        <v>42304990</v>
      </c>
      <c r="AY660" s="73">
        <v>45364.916666666664</v>
      </c>
      <c r="AZ660" t="s">
        <v>226</v>
      </c>
      <c r="BA660" t="s">
        <v>440</v>
      </c>
      <c r="BB660" t="s">
        <v>228</v>
      </c>
      <c r="BC660" t="s">
        <v>229</v>
      </c>
      <c r="BD660" t="s">
        <v>99</v>
      </c>
      <c r="BI660" t="s">
        <v>233</v>
      </c>
      <c r="BJ660" t="s">
        <v>0</v>
      </c>
      <c r="BK660">
        <v>42304972</v>
      </c>
      <c r="BN660" t="s">
        <v>73</v>
      </c>
      <c r="BR660">
        <v>-161.5</v>
      </c>
      <c r="BS660">
        <v>42304990</v>
      </c>
      <c r="BT660" s="73">
        <v>45364.916666666664</v>
      </c>
      <c r="BU660" t="s">
        <v>226</v>
      </c>
      <c r="BV660" t="s">
        <v>440</v>
      </c>
      <c r="BW660" t="s">
        <v>228</v>
      </c>
      <c r="CH660" t="s">
        <v>229</v>
      </c>
      <c r="CI660" t="s">
        <v>99</v>
      </c>
      <c r="CJ660" t="s">
        <v>226</v>
      </c>
      <c r="CK660" t="s">
        <v>440</v>
      </c>
      <c r="CL660" t="s">
        <v>228</v>
      </c>
      <c r="CM660" t="s">
        <v>234</v>
      </c>
      <c r="CN660" t="s">
        <v>73</v>
      </c>
      <c r="CO660">
        <v>-161.5</v>
      </c>
      <c r="CP660">
        <v>42304990</v>
      </c>
      <c r="CQ660" s="73">
        <v>45364.916666666664</v>
      </c>
      <c r="CR660" t="s">
        <v>229</v>
      </c>
      <c r="CS660" t="s">
        <v>99</v>
      </c>
      <c r="CU660" t="s">
        <v>225</v>
      </c>
    </row>
    <row r="661" spans="1:99">
      <c r="A661" t="s">
        <v>103</v>
      </c>
      <c r="B661" t="s">
        <v>98</v>
      </c>
      <c r="J661" t="s">
        <v>225</v>
      </c>
      <c r="K661" t="s">
        <v>225</v>
      </c>
      <c r="M661" s="73">
        <v>45364.916666666664</v>
      </c>
      <c r="N661">
        <v>42304989</v>
      </c>
      <c r="O661">
        <v>3230</v>
      </c>
      <c r="P661" t="s">
        <v>104</v>
      </c>
      <c r="Q661">
        <v>3230</v>
      </c>
      <c r="R661" t="s">
        <v>104</v>
      </c>
      <c r="S661">
        <v>161.5</v>
      </c>
      <c r="T661" t="s">
        <v>73</v>
      </c>
      <c r="U661" t="s">
        <v>226</v>
      </c>
      <c r="V661" t="s">
        <v>440</v>
      </c>
      <c r="W661" t="s">
        <v>235</v>
      </c>
      <c r="X661" t="s">
        <v>229</v>
      </c>
      <c r="Y661" t="s">
        <v>103</v>
      </c>
      <c r="AD661" t="s">
        <v>104</v>
      </c>
      <c r="AE661">
        <v>3230</v>
      </c>
      <c r="AF661">
        <v>42304989</v>
      </c>
      <c r="AG661" s="73">
        <v>45364.916666666664</v>
      </c>
      <c r="AH661" t="s">
        <v>226</v>
      </c>
      <c r="AI661" t="s">
        <v>440</v>
      </c>
      <c r="AJ661" t="s">
        <v>235</v>
      </c>
      <c r="AK661" t="s">
        <v>229</v>
      </c>
      <c r="AL661" t="s">
        <v>103</v>
      </c>
      <c r="AP661" t="s">
        <v>230</v>
      </c>
      <c r="AQ661" t="s">
        <v>231</v>
      </c>
      <c r="AT661" t="s">
        <v>232</v>
      </c>
      <c r="AU661">
        <v>-99</v>
      </c>
      <c r="AV661" t="s">
        <v>104</v>
      </c>
      <c r="AW661">
        <v>3230</v>
      </c>
      <c r="AX661">
        <v>42304989</v>
      </c>
      <c r="AY661" s="73">
        <v>45364.916666666664</v>
      </c>
      <c r="AZ661" t="s">
        <v>226</v>
      </c>
      <c r="BA661" t="s">
        <v>440</v>
      </c>
      <c r="BB661" t="s">
        <v>235</v>
      </c>
      <c r="BC661" t="s">
        <v>229</v>
      </c>
      <c r="BD661" t="s">
        <v>103</v>
      </c>
      <c r="BI661" t="s">
        <v>233</v>
      </c>
      <c r="BJ661" t="s">
        <v>0</v>
      </c>
      <c r="BK661">
        <v>42304972</v>
      </c>
      <c r="BN661" t="s">
        <v>104</v>
      </c>
      <c r="BO661">
        <v>42304978</v>
      </c>
      <c r="BR661">
        <v>3230</v>
      </c>
      <c r="BS661">
        <v>42304989</v>
      </c>
      <c r="BT661" s="73">
        <v>45364.916666666664</v>
      </c>
      <c r="BU661" t="s">
        <v>226</v>
      </c>
      <c r="BV661" t="s">
        <v>440</v>
      </c>
      <c r="BW661" t="s">
        <v>235</v>
      </c>
      <c r="CH661" t="s">
        <v>229</v>
      </c>
      <c r="CI661" t="s">
        <v>103</v>
      </c>
      <c r="CJ661" t="s">
        <v>226</v>
      </c>
      <c r="CK661" t="s">
        <v>440</v>
      </c>
      <c r="CL661" t="s">
        <v>235</v>
      </c>
      <c r="CM661" t="s">
        <v>236</v>
      </c>
      <c r="CN661" t="s">
        <v>104</v>
      </c>
      <c r="CO661">
        <v>3230</v>
      </c>
      <c r="CP661">
        <v>42304989</v>
      </c>
      <c r="CQ661" s="73">
        <v>45364.916666666664</v>
      </c>
      <c r="CR661" t="s">
        <v>229</v>
      </c>
      <c r="CS661" t="s">
        <v>103</v>
      </c>
      <c r="CU661" t="s">
        <v>225</v>
      </c>
    </row>
    <row r="662" spans="1:99">
      <c r="A662" t="s">
        <v>111</v>
      </c>
      <c r="B662" t="s">
        <v>77</v>
      </c>
      <c r="J662" t="s">
        <v>225</v>
      </c>
      <c r="K662" t="s">
        <v>225</v>
      </c>
      <c r="M662" s="73">
        <v>45364.916666666664</v>
      </c>
      <c r="N662">
        <v>42304988</v>
      </c>
      <c r="O662">
        <v>7</v>
      </c>
      <c r="P662" t="s">
        <v>45</v>
      </c>
      <c r="Q662">
        <v>7</v>
      </c>
      <c r="R662" t="s">
        <v>45</v>
      </c>
      <c r="U662" t="s">
        <v>226</v>
      </c>
      <c r="V662" t="s">
        <v>440</v>
      </c>
      <c r="W662" t="s">
        <v>237</v>
      </c>
      <c r="X662" t="s">
        <v>229</v>
      </c>
      <c r="Y662" t="s">
        <v>111</v>
      </c>
      <c r="AD662" t="s">
        <v>45</v>
      </c>
      <c r="AE662">
        <v>7</v>
      </c>
      <c r="AF662">
        <v>42304988</v>
      </c>
      <c r="AG662" s="73">
        <v>45364.916666666664</v>
      </c>
      <c r="AH662" t="s">
        <v>226</v>
      </c>
      <c r="AI662" t="s">
        <v>440</v>
      </c>
      <c r="AJ662" t="s">
        <v>237</v>
      </c>
      <c r="AK662" t="s">
        <v>229</v>
      </c>
      <c r="AL662" t="s">
        <v>111</v>
      </c>
      <c r="AP662" t="s">
        <v>230</v>
      </c>
      <c r="AQ662" t="s">
        <v>231</v>
      </c>
      <c r="AT662" t="s">
        <v>232</v>
      </c>
      <c r="AU662">
        <v>-99</v>
      </c>
      <c r="AV662" t="s">
        <v>45</v>
      </c>
      <c r="AW662">
        <v>7</v>
      </c>
      <c r="AX662">
        <v>42304988</v>
      </c>
      <c r="AY662" s="73">
        <v>45364.916666666664</v>
      </c>
      <c r="AZ662" t="s">
        <v>226</v>
      </c>
      <c r="BA662" t="s">
        <v>440</v>
      </c>
      <c r="BB662" t="s">
        <v>237</v>
      </c>
      <c r="BC662" t="s">
        <v>229</v>
      </c>
      <c r="BD662" t="s">
        <v>111</v>
      </c>
      <c r="BI662" t="s">
        <v>233</v>
      </c>
      <c r="BJ662" t="s">
        <v>0</v>
      </c>
      <c r="BK662">
        <v>42304972</v>
      </c>
      <c r="BN662" t="s">
        <v>45</v>
      </c>
      <c r="BO662">
        <v>42304980</v>
      </c>
      <c r="BR662">
        <v>7</v>
      </c>
      <c r="BS662">
        <v>42304988</v>
      </c>
      <c r="BT662" s="73">
        <v>45364.916666666664</v>
      </c>
      <c r="BU662" t="s">
        <v>226</v>
      </c>
      <c r="BV662" t="s">
        <v>440</v>
      </c>
      <c r="BW662" t="s">
        <v>237</v>
      </c>
      <c r="CH662" t="s">
        <v>229</v>
      </c>
      <c r="CI662" t="s">
        <v>111</v>
      </c>
      <c r="CJ662" t="s">
        <v>226</v>
      </c>
      <c r="CK662" t="s">
        <v>440</v>
      </c>
      <c r="CL662" t="s">
        <v>237</v>
      </c>
      <c r="CM662" t="s">
        <v>236</v>
      </c>
      <c r="CN662" t="s">
        <v>45</v>
      </c>
      <c r="CO662">
        <v>7</v>
      </c>
      <c r="CP662">
        <v>42304988</v>
      </c>
      <c r="CQ662" s="73">
        <v>45364.916666666664</v>
      </c>
      <c r="CR662" t="s">
        <v>229</v>
      </c>
      <c r="CS662" t="s">
        <v>111</v>
      </c>
      <c r="CU662" t="s">
        <v>225</v>
      </c>
    </row>
    <row r="663" spans="1:99">
      <c r="A663" t="s">
        <v>52</v>
      </c>
      <c r="B663" t="s">
        <v>92</v>
      </c>
      <c r="J663" t="s">
        <v>225</v>
      </c>
      <c r="K663" t="s">
        <v>225</v>
      </c>
      <c r="M663" s="73">
        <v>45364.916666666664</v>
      </c>
      <c r="N663">
        <v>42304970</v>
      </c>
      <c r="O663">
        <v>-2576</v>
      </c>
      <c r="P663" t="s">
        <v>45</v>
      </c>
      <c r="Q663">
        <v>-2576</v>
      </c>
      <c r="R663" t="s">
        <v>45</v>
      </c>
      <c r="U663" t="s">
        <v>226</v>
      </c>
      <c r="V663" t="s">
        <v>441</v>
      </c>
      <c r="W663" t="s">
        <v>228</v>
      </c>
      <c r="X663" t="s">
        <v>229</v>
      </c>
      <c r="Y663" t="s">
        <v>52</v>
      </c>
      <c r="AD663" t="s">
        <v>45</v>
      </c>
      <c r="AE663">
        <v>-2576</v>
      </c>
      <c r="AF663">
        <v>42304970</v>
      </c>
      <c r="AG663" s="73">
        <v>45364.916666666664</v>
      </c>
      <c r="AH663" t="s">
        <v>226</v>
      </c>
      <c r="AI663" t="s">
        <v>441</v>
      </c>
      <c r="AJ663" t="s">
        <v>228</v>
      </c>
      <c r="AK663" t="s">
        <v>229</v>
      </c>
      <c r="AL663" t="s">
        <v>52</v>
      </c>
      <c r="AP663" t="s">
        <v>230</v>
      </c>
      <c r="AQ663" t="s">
        <v>231</v>
      </c>
      <c r="AT663" t="s">
        <v>232</v>
      </c>
      <c r="AU663">
        <v>-99</v>
      </c>
      <c r="AV663" t="s">
        <v>45</v>
      </c>
      <c r="AW663">
        <v>-2576</v>
      </c>
      <c r="AX663">
        <v>42304970</v>
      </c>
      <c r="AY663" s="73">
        <v>45364.916666666664</v>
      </c>
      <c r="AZ663" t="s">
        <v>226</v>
      </c>
      <c r="BA663" t="s">
        <v>441</v>
      </c>
      <c r="BB663" t="s">
        <v>228</v>
      </c>
      <c r="BC663" t="s">
        <v>229</v>
      </c>
      <c r="BD663" t="s">
        <v>52</v>
      </c>
      <c r="BI663" t="s">
        <v>233</v>
      </c>
      <c r="BJ663" t="s">
        <v>0</v>
      </c>
      <c r="BK663">
        <v>42304954</v>
      </c>
      <c r="BN663" t="s">
        <v>45</v>
      </c>
      <c r="BR663">
        <v>-2576</v>
      </c>
      <c r="BS663">
        <v>42304970</v>
      </c>
      <c r="BT663" s="73">
        <v>45364.916666666664</v>
      </c>
      <c r="BU663" t="s">
        <v>226</v>
      </c>
      <c r="BV663" t="s">
        <v>441</v>
      </c>
      <c r="BW663" t="s">
        <v>228</v>
      </c>
      <c r="CH663" t="s">
        <v>229</v>
      </c>
      <c r="CI663" t="s">
        <v>52</v>
      </c>
      <c r="CJ663" t="s">
        <v>226</v>
      </c>
      <c r="CK663" t="s">
        <v>441</v>
      </c>
      <c r="CL663" t="s">
        <v>228</v>
      </c>
      <c r="CM663" t="s">
        <v>234</v>
      </c>
      <c r="CN663" t="s">
        <v>45</v>
      </c>
      <c r="CO663">
        <v>-2576</v>
      </c>
      <c r="CP663">
        <v>42304970</v>
      </c>
      <c r="CQ663" s="73">
        <v>45364.916666666664</v>
      </c>
      <c r="CR663" t="s">
        <v>229</v>
      </c>
      <c r="CS663" t="s">
        <v>52</v>
      </c>
      <c r="CU663" t="s">
        <v>225</v>
      </c>
    </row>
    <row r="664" spans="1:99">
      <c r="A664" t="s">
        <v>101</v>
      </c>
      <c r="B664" t="s">
        <v>98</v>
      </c>
      <c r="J664" t="s">
        <v>225</v>
      </c>
      <c r="K664" t="s">
        <v>225</v>
      </c>
      <c r="M664" s="73">
        <v>45364.916666666664</v>
      </c>
      <c r="N664">
        <v>42304969</v>
      </c>
      <c r="O664">
        <v>-128.75</v>
      </c>
      <c r="P664" t="s">
        <v>73</v>
      </c>
      <c r="Q664">
        <v>-128.75</v>
      </c>
      <c r="R664" t="s">
        <v>73</v>
      </c>
      <c r="U664" t="s">
        <v>226</v>
      </c>
      <c r="V664" t="s">
        <v>441</v>
      </c>
      <c r="W664" t="s">
        <v>228</v>
      </c>
      <c r="X664" t="s">
        <v>229</v>
      </c>
      <c r="Y664" t="s">
        <v>101</v>
      </c>
      <c r="AD664" t="s">
        <v>73</v>
      </c>
      <c r="AE664">
        <v>-128.75</v>
      </c>
      <c r="AF664">
        <v>42304969</v>
      </c>
      <c r="AG664" s="73">
        <v>45364.916666666664</v>
      </c>
      <c r="AH664" t="s">
        <v>226</v>
      </c>
      <c r="AI664" t="s">
        <v>441</v>
      </c>
      <c r="AJ664" t="s">
        <v>228</v>
      </c>
      <c r="AK664" t="s">
        <v>229</v>
      </c>
      <c r="AL664" t="s">
        <v>101</v>
      </c>
      <c r="AP664" t="s">
        <v>230</v>
      </c>
      <c r="AQ664" t="s">
        <v>231</v>
      </c>
      <c r="AT664" t="s">
        <v>232</v>
      </c>
      <c r="AU664">
        <v>-99</v>
      </c>
      <c r="AV664" t="s">
        <v>73</v>
      </c>
      <c r="AW664">
        <v>-128.75</v>
      </c>
      <c r="AX664">
        <v>42304969</v>
      </c>
      <c r="AY664" s="73">
        <v>45364.916666666664</v>
      </c>
      <c r="AZ664" t="s">
        <v>226</v>
      </c>
      <c r="BA664" t="s">
        <v>441</v>
      </c>
      <c r="BB664" t="s">
        <v>228</v>
      </c>
      <c r="BC664" t="s">
        <v>229</v>
      </c>
      <c r="BD664" t="s">
        <v>101</v>
      </c>
      <c r="BI664" t="s">
        <v>233</v>
      </c>
      <c r="BJ664" t="s">
        <v>0</v>
      </c>
      <c r="BK664">
        <v>42304954</v>
      </c>
      <c r="BN664" t="s">
        <v>73</v>
      </c>
      <c r="BR664">
        <v>-128.75</v>
      </c>
      <c r="BS664">
        <v>42304969</v>
      </c>
      <c r="BT664" s="73">
        <v>45364.916666666664</v>
      </c>
      <c r="BU664" t="s">
        <v>226</v>
      </c>
      <c r="BV664" t="s">
        <v>441</v>
      </c>
      <c r="BW664" t="s">
        <v>228</v>
      </c>
      <c r="CH664" t="s">
        <v>229</v>
      </c>
      <c r="CI664" t="s">
        <v>101</v>
      </c>
      <c r="CJ664" t="s">
        <v>226</v>
      </c>
      <c r="CK664" t="s">
        <v>441</v>
      </c>
      <c r="CL664" t="s">
        <v>228</v>
      </c>
      <c r="CM664" t="s">
        <v>234</v>
      </c>
      <c r="CN664" t="s">
        <v>73</v>
      </c>
      <c r="CO664">
        <v>-128.75</v>
      </c>
      <c r="CP664">
        <v>42304969</v>
      </c>
      <c r="CQ664" s="73">
        <v>45364.916666666664</v>
      </c>
      <c r="CR664" t="s">
        <v>229</v>
      </c>
      <c r="CS664" t="s">
        <v>101</v>
      </c>
      <c r="CU664" t="s">
        <v>225</v>
      </c>
    </row>
    <row r="665" spans="1:99">
      <c r="A665" t="s">
        <v>107</v>
      </c>
      <c r="B665" t="s">
        <v>98</v>
      </c>
      <c r="J665" t="s">
        <v>225</v>
      </c>
      <c r="K665" t="s">
        <v>225</v>
      </c>
      <c r="M665" s="73">
        <v>45364.916666666664</v>
      </c>
      <c r="N665">
        <v>42304968</v>
      </c>
      <c r="O665">
        <v>2575</v>
      </c>
      <c r="P665" t="s">
        <v>104</v>
      </c>
      <c r="Q665">
        <v>2575</v>
      </c>
      <c r="R665" t="s">
        <v>104</v>
      </c>
      <c r="S665">
        <v>128.75</v>
      </c>
      <c r="T665" t="s">
        <v>73</v>
      </c>
      <c r="U665" t="s">
        <v>226</v>
      </c>
      <c r="V665" t="s">
        <v>441</v>
      </c>
      <c r="W665" t="s">
        <v>235</v>
      </c>
      <c r="X665" t="s">
        <v>229</v>
      </c>
      <c r="Y665" t="s">
        <v>107</v>
      </c>
      <c r="AD665" t="s">
        <v>104</v>
      </c>
      <c r="AE665">
        <v>2575</v>
      </c>
      <c r="AF665">
        <v>42304968</v>
      </c>
      <c r="AG665" s="73">
        <v>45364.916666666664</v>
      </c>
      <c r="AH665" t="s">
        <v>226</v>
      </c>
      <c r="AI665" t="s">
        <v>441</v>
      </c>
      <c r="AJ665" t="s">
        <v>235</v>
      </c>
      <c r="AK665" t="s">
        <v>229</v>
      </c>
      <c r="AL665" t="s">
        <v>107</v>
      </c>
      <c r="AP665" t="s">
        <v>230</v>
      </c>
      <c r="AQ665" t="s">
        <v>231</v>
      </c>
      <c r="AT665" t="s">
        <v>232</v>
      </c>
      <c r="AU665">
        <v>-99</v>
      </c>
      <c r="AV665" t="s">
        <v>104</v>
      </c>
      <c r="AW665">
        <v>2575</v>
      </c>
      <c r="AX665">
        <v>42304968</v>
      </c>
      <c r="AY665" s="73">
        <v>45364.916666666664</v>
      </c>
      <c r="AZ665" t="s">
        <v>226</v>
      </c>
      <c r="BA665" t="s">
        <v>441</v>
      </c>
      <c r="BB665" t="s">
        <v>235</v>
      </c>
      <c r="BC665" t="s">
        <v>229</v>
      </c>
      <c r="BD665" t="s">
        <v>107</v>
      </c>
      <c r="BI665" t="s">
        <v>233</v>
      </c>
      <c r="BJ665" t="s">
        <v>0</v>
      </c>
      <c r="BK665">
        <v>42304954</v>
      </c>
      <c r="BN665" t="s">
        <v>104</v>
      </c>
      <c r="BO665">
        <v>42304960</v>
      </c>
      <c r="BR665">
        <v>2575</v>
      </c>
      <c r="BS665">
        <v>42304968</v>
      </c>
      <c r="BT665" s="73">
        <v>45364.916666666664</v>
      </c>
      <c r="BU665" t="s">
        <v>226</v>
      </c>
      <c r="BV665" t="s">
        <v>441</v>
      </c>
      <c r="BW665" t="s">
        <v>235</v>
      </c>
      <c r="CH665" t="s">
        <v>229</v>
      </c>
      <c r="CI665" t="s">
        <v>107</v>
      </c>
      <c r="CJ665" t="s">
        <v>226</v>
      </c>
      <c r="CK665" t="s">
        <v>441</v>
      </c>
      <c r="CL665" t="s">
        <v>235</v>
      </c>
      <c r="CM665" t="s">
        <v>236</v>
      </c>
      <c r="CN665" t="s">
        <v>104</v>
      </c>
      <c r="CO665">
        <v>2575</v>
      </c>
      <c r="CP665">
        <v>42304968</v>
      </c>
      <c r="CQ665" s="73">
        <v>45364.916666666664</v>
      </c>
      <c r="CR665" t="s">
        <v>229</v>
      </c>
      <c r="CS665" t="s">
        <v>107</v>
      </c>
      <c r="CU665" t="s">
        <v>225</v>
      </c>
    </row>
    <row r="666" spans="1:99">
      <c r="A666" t="s">
        <v>111</v>
      </c>
      <c r="B666" t="s">
        <v>77</v>
      </c>
      <c r="J666" t="s">
        <v>225</v>
      </c>
      <c r="K666" t="s">
        <v>225</v>
      </c>
      <c r="M666" s="73">
        <v>45364.916666666664</v>
      </c>
      <c r="N666">
        <v>42304967</v>
      </c>
      <c r="O666">
        <v>1</v>
      </c>
      <c r="P666" t="s">
        <v>45</v>
      </c>
      <c r="Q666">
        <v>1</v>
      </c>
      <c r="R666" t="s">
        <v>45</v>
      </c>
      <c r="U666" t="s">
        <v>226</v>
      </c>
      <c r="V666" t="s">
        <v>441</v>
      </c>
      <c r="W666" t="s">
        <v>237</v>
      </c>
      <c r="X666" t="s">
        <v>229</v>
      </c>
      <c r="Y666" t="s">
        <v>111</v>
      </c>
      <c r="AD666" t="s">
        <v>45</v>
      </c>
      <c r="AE666">
        <v>1</v>
      </c>
      <c r="AF666">
        <v>42304967</v>
      </c>
      <c r="AG666" s="73">
        <v>45364.916666666664</v>
      </c>
      <c r="AH666" t="s">
        <v>226</v>
      </c>
      <c r="AI666" t="s">
        <v>441</v>
      </c>
      <c r="AJ666" t="s">
        <v>237</v>
      </c>
      <c r="AK666" t="s">
        <v>229</v>
      </c>
      <c r="AL666" t="s">
        <v>111</v>
      </c>
      <c r="AP666" t="s">
        <v>230</v>
      </c>
      <c r="AQ666" t="s">
        <v>231</v>
      </c>
      <c r="AT666" t="s">
        <v>232</v>
      </c>
      <c r="AU666">
        <v>-99</v>
      </c>
      <c r="AV666" t="s">
        <v>45</v>
      </c>
      <c r="AW666">
        <v>1</v>
      </c>
      <c r="AX666">
        <v>42304967</v>
      </c>
      <c r="AY666" s="73">
        <v>45364.916666666664</v>
      </c>
      <c r="AZ666" t="s">
        <v>226</v>
      </c>
      <c r="BA666" t="s">
        <v>441</v>
      </c>
      <c r="BB666" t="s">
        <v>237</v>
      </c>
      <c r="BC666" t="s">
        <v>229</v>
      </c>
      <c r="BD666" t="s">
        <v>111</v>
      </c>
      <c r="BI666" t="s">
        <v>233</v>
      </c>
      <c r="BJ666" t="s">
        <v>0</v>
      </c>
      <c r="BK666">
        <v>42304954</v>
      </c>
      <c r="BN666" t="s">
        <v>45</v>
      </c>
      <c r="BO666">
        <v>42304962</v>
      </c>
      <c r="BR666">
        <v>1</v>
      </c>
      <c r="BS666">
        <v>42304967</v>
      </c>
      <c r="BT666" s="73">
        <v>45364.916666666664</v>
      </c>
      <c r="BU666" t="s">
        <v>226</v>
      </c>
      <c r="BV666" t="s">
        <v>441</v>
      </c>
      <c r="BW666" t="s">
        <v>237</v>
      </c>
      <c r="CH666" t="s">
        <v>229</v>
      </c>
      <c r="CI666" t="s">
        <v>111</v>
      </c>
      <c r="CJ666" t="s">
        <v>226</v>
      </c>
      <c r="CK666" t="s">
        <v>441</v>
      </c>
      <c r="CL666" t="s">
        <v>237</v>
      </c>
      <c r="CM666" t="s">
        <v>236</v>
      </c>
      <c r="CN666" t="s">
        <v>45</v>
      </c>
      <c r="CO666">
        <v>1</v>
      </c>
      <c r="CP666">
        <v>42304967</v>
      </c>
      <c r="CQ666" s="73">
        <v>45364.916666666664</v>
      </c>
      <c r="CR666" t="s">
        <v>229</v>
      </c>
      <c r="CS666" t="s">
        <v>111</v>
      </c>
      <c r="CU666" t="s">
        <v>225</v>
      </c>
    </row>
    <row r="667" spans="1:99">
      <c r="A667" t="s">
        <v>46</v>
      </c>
      <c r="B667" t="s">
        <v>92</v>
      </c>
      <c r="J667" t="s">
        <v>225</v>
      </c>
      <c r="K667" t="s">
        <v>225</v>
      </c>
      <c r="M667" s="73">
        <v>45364.916666666664</v>
      </c>
      <c r="N667">
        <v>42304952</v>
      </c>
      <c r="O667">
        <v>-496</v>
      </c>
      <c r="P667" t="s">
        <v>45</v>
      </c>
      <c r="Q667">
        <v>-496</v>
      </c>
      <c r="R667" t="s">
        <v>45</v>
      </c>
      <c r="U667" t="s">
        <v>226</v>
      </c>
      <c r="V667" t="s">
        <v>442</v>
      </c>
      <c r="W667" t="s">
        <v>228</v>
      </c>
      <c r="X667" t="s">
        <v>229</v>
      </c>
      <c r="Y667" t="s">
        <v>46</v>
      </c>
      <c r="AD667" t="s">
        <v>45</v>
      </c>
      <c r="AE667">
        <v>-496</v>
      </c>
      <c r="AF667">
        <v>42304952</v>
      </c>
      <c r="AG667" s="73">
        <v>45364.916666666664</v>
      </c>
      <c r="AH667" t="s">
        <v>226</v>
      </c>
      <c r="AI667" t="s">
        <v>442</v>
      </c>
      <c r="AJ667" t="s">
        <v>228</v>
      </c>
      <c r="AK667" t="s">
        <v>229</v>
      </c>
      <c r="AL667" t="s">
        <v>46</v>
      </c>
      <c r="AP667" t="s">
        <v>230</v>
      </c>
      <c r="AQ667" t="s">
        <v>231</v>
      </c>
      <c r="AT667" t="s">
        <v>232</v>
      </c>
      <c r="AU667">
        <v>-99</v>
      </c>
      <c r="AV667" t="s">
        <v>45</v>
      </c>
      <c r="AW667">
        <v>-496</v>
      </c>
      <c r="AX667">
        <v>42304952</v>
      </c>
      <c r="AY667" s="73">
        <v>45364.916666666664</v>
      </c>
      <c r="AZ667" t="s">
        <v>226</v>
      </c>
      <c r="BA667" t="s">
        <v>442</v>
      </c>
      <c r="BB667" t="s">
        <v>228</v>
      </c>
      <c r="BC667" t="s">
        <v>229</v>
      </c>
      <c r="BD667" t="s">
        <v>46</v>
      </c>
      <c r="BI667" t="s">
        <v>233</v>
      </c>
      <c r="BJ667" t="s">
        <v>0</v>
      </c>
      <c r="BK667">
        <v>42304936</v>
      </c>
      <c r="BN667" t="s">
        <v>45</v>
      </c>
      <c r="BR667">
        <v>-496</v>
      </c>
      <c r="BS667">
        <v>42304952</v>
      </c>
      <c r="BT667" s="73">
        <v>45364.916666666664</v>
      </c>
      <c r="BU667" t="s">
        <v>226</v>
      </c>
      <c r="BV667" t="s">
        <v>442</v>
      </c>
      <c r="BW667" t="s">
        <v>228</v>
      </c>
      <c r="CH667" t="s">
        <v>229</v>
      </c>
      <c r="CI667" t="s">
        <v>46</v>
      </c>
      <c r="CJ667" t="s">
        <v>226</v>
      </c>
      <c r="CK667" t="s">
        <v>442</v>
      </c>
      <c r="CL667" t="s">
        <v>228</v>
      </c>
      <c r="CM667" t="s">
        <v>234</v>
      </c>
      <c r="CN667" t="s">
        <v>45</v>
      </c>
      <c r="CO667">
        <v>-496</v>
      </c>
      <c r="CP667">
        <v>42304952</v>
      </c>
      <c r="CQ667" s="73">
        <v>45364.916666666664</v>
      </c>
      <c r="CR667" t="s">
        <v>229</v>
      </c>
      <c r="CS667" t="s">
        <v>46</v>
      </c>
      <c r="CU667" t="s">
        <v>225</v>
      </c>
    </row>
    <row r="668" spans="1:99">
      <c r="A668" t="s">
        <v>93</v>
      </c>
      <c r="B668" t="s">
        <v>98</v>
      </c>
      <c r="J668" t="s">
        <v>225</v>
      </c>
      <c r="K668" t="s">
        <v>225</v>
      </c>
      <c r="M668" s="73">
        <v>45364.916666666664</v>
      </c>
      <c r="N668">
        <v>42304951</v>
      </c>
      <c r="O668">
        <v>-24.75</v>
      </c>
      <c r="P668" t="s">
        <v>73</v>
      </c>
      <c r="Q668">
        <v>-24.75</v>
      </c>
      <c r="R668" t="s">
        <v>73</v>
      </c>
      <c r="U668" t="s">
        <v>226</v>
      </c>
      <c r="V668" t="s">
        <v>442</v>
      </c>
      <c r="W668" t="s">
        <v>228</v>
      </c>
      <c r="X668" t="s">
        <v>229</v>
      </c>
      <c r="Y668" t="s">
        <v>93</v>
      </c>
      <c r="AD668" t="s">
        <v>73</v>
      </c>
      <c r="AE668">
        <v>-24.75</v>
      </c>
      <c r="AF668">
        <v>42304951</v>
      </c>
      <c r="AG668" s="73">
        <v>45364.916666666664</v>
      </c>
      <c r="AH668" t="s">
        <v>226</v>
      </c>
      <c r="AI668" t="s">
        <v>442</v>
      </c>
      <c r="AJ668" t="s">
        <v>228</v>
      </c>
      <c r="AK668" t="s">
        <v>229</v>
      </c>
      <c r="AL668" t="s">
        <v>93</v>
      </c>
      <c r="AP668" t="s">
        <v>230</v>
      </c>
      <c r="AQ668" t="s">
        <v>231</v>
      </c>
      <c r="AT668" t="s">
        <v>232</v>
      </c>
      <c r="AU668">
        <v>-99</v>
      </c>
      <c r="AV668" t="s">
        <v>73</v>
      </c>
      <c r="AW668">
        <v>-24.75</v>
      </c>
      <c r="AX668">
        <v>42304951</v>
      </c>
      <c r="AY668" s="73">
        <v>45364.916666666664</v>
      </c>
      <c r="AZ668" t="s">
        <v>226</v>
      </c>
      <c r="BA668" t="s">
        <v>442</v>
      </c>
      <c r="BB668" t="s">
        <v>228</v>
      </c>
      <c r="BC668" t="s">
        <v>229</v>
      </c>
      <c r="BD668" t="s">
        <v>93</v>
      </c>
      <c r="BI668" t="s">
        <v>233</v>
      </c>
      <c r="BJ668" t="s">
        <v>0</v>
      </c>
      <c r="BK668">
        <v>42304936</v>
      </c>
      <c r="BN668" t="s">
        <v>73</v>
      </c>
      <c r="BR668">
        <v>-24.75</v>
      </c>
      <c r="BS668">
        <v>42304951</v>
      </c>
      <c r="BT668" s="73">
        <v>45364.916666666664</v>
      </c>
      <c r="BU668" t="s">
        <v>226</v>
      </c>
      <c r="BV668" t="s">
        <v>442</v>
      </c>
      <c r="BW668" t="s">
        <v>228</v>
      </c>
      <c r="CH668" t="s">
        <v>229</v>
      </c>
      <c r="CI668" t="s">
        <v>93</v>
      </c>
      <c r="CJ668" t="s">
        <v>226</v>
      </c>
      <c r="CK668" t="s">
        <v>442</v>
      </c>
      <c r="CL668" t="s">
        <v>228</v>
      </c>
      <c r="CM668" t="s">
        <v>234</v>
      </c>
      <c r="CN668" t="s">
        <v>73</v>
      </c>
      <c r="CO668">
        <v>-24.75</v>
      </c>
      <c r="CP668">
        <v>42304951</v>
      </c>
      <c r="CQ668" s="73">
        <v>45364.916666666664</v>
      </c>
      <c r="CR668" t="s">
        <v>229</v>
      </c>
      <c r="CS668" t="s">
        <v>93</v>
      </c>
      <c r="CU668" t="s">
        <v>225</v>
      </c>
    </row>
    <row r="669" spans="1:99">
      <c r="A669" t="s">
        <v>108</v>
      </c>
      <c r="B669" t="s">
        <v>98</v>
      </c>
      <c r="J669" t="s">
        <v>225</v>
      </c>
      <c r="K669" t="s">
        <v>225</v>
      </c>
      <c r="M669" s="73">
        <v>45364.916666666664</v>
      </c>
      <c r="N669">
        <v>42304950</v>
      </c>
      <c r="O669">
        <v>495</v>
      </c>
      <c r="P669" t="s">
        <v>104</v>
      </c>
      <c r="Q669">
        <v>495</v>
      </c>
      <c r="R669" t="s">
        <v>104</v>
      </c>
      <c r="S669">
        <v>24.75</v>
      </c>
      <c r="T669" t="s">
        <v>73</v>
      </c>
      <c r="U669" t="s">
        <v>226</v>
      </c>
      <c r="V669" t="s">
        <v>442</v>
      </c>
      <c r="W669" t="s">
        <v>235</v>
      </c>
      <c r="X669" t="s">
        <v>229</v>
      </c>
      <c r="Y669" t="s">
        <v>108</v>
      </c>
      <c r="AD669" t="s">
        <v>104</v>
      </c>
      <c r="AE669">
        <v>495</v>
      </c>
      <c r="AF669">
        <v>42304950</v>
      </c>
      <c r="AG669" s="73">
        <v>45364.916666666664</v>
      </c>
      <c r="AH669" t="s">
        <v>226</v>
      </c>
      <c r="AI669" t="s">
        <v>442</v>
      </c>
      <c r="AJ669" t="s">
        <v>235</v>
      </c>
      <c r="AK669" t="s">
        <v>229</v>
      </c>
      <c r="AL669" t="s">
        <v>108</v>
      </c>
      <c r="AP669" t="s">
        <v>230</v>
      </c>
      <c r="AQ669" t="s">
        <v>231</v>
      </c>
      <c r="AT669" t="s">
        <v>232</v>
      </c>
      <c r="AU669">
        <v>-99</v>
      </c>
      <c r="AV669" t="s">
        <v>104</v>
      </c>
      <c r="AW669">
        <v>495</v>
      </c>
      <c r="AX669">
        <v>42304950</v>
      </c>
      <c r="AY669" s="73">
        <v>45364.916666666664</v>
      </c>
      <c r="AZ669" t="s">
        <v>226</v>
      </c>
      <c r="BA669" t="s">
        <v>442</v>
      </c>
      <c r="BB669" t="s">
        <v>235</v>
      </c>
      <c r="BC669" t="s">
        <v>229</v>
      </c>
      <c r="BD669" t="s">
        <v>108</v>
      </c>
      <c r="BI669" t="s">
        <v>233</v>
      </c>
      <c r="BJ669" t="s">
        <v>0</v>
      </c>
      <c r="BK669">
        <v>42304936</v>
      </c>
      <c r="BN669" t="s">
        <v>104</v>
      </c>
      <c r="BO669">
        <v>42304942</v>
      </c>
      <c r="BR669">
        <v>495</v>
      </c>
      <c r="BS669">
        <v>42304950</v>
      </c>
      <c r="BT669" s="73">
        <v>45364.916666666664</v>
      </c>
      <c r="BU669" t="s">
        <v>226</v>
      </c>
      <c r="BV669" t="s">
        <v>442</v>
      </c>
      <c r="BW669" t="s">
        <v>235</v>
      </c>
      <c r="CH669" t="s">
        <v>229</v>
      </c>
      <c r="CI669" t="s">
        <v>108</v>
      </c>
      <c r="CJ669" t="s">
        <v>226</v>
      </c>
      <c r="CK669" t="s">
        <v>442</v>
      </c>
      <c r="CL669" t="s">
        <v>235</v>
      </c>
      <c r="CM669" t="s">
        <v>236</v>
      </c>
      <c r="CN669" t="s">
        <v>104</v>
      </c>
      <c r="CO669">
        <v>495</v>
      </c>
      <c r="CP669">
        <v>42304950</v>
      </c>
      <c r="CQ669" s="73">
        <v>45364.916666666664</v>
      </c>
      <c r="CR669" t="s">
        <v>229</v>
      </c>
      <c r="CS669" t="s">
        <v>108</v>
      </c>
      <c r="CU669" t="s">
        <v>225</v>
      </c>
    </row>
    <row r="670" spans="1:99">
      <c r="A670" t="s">
        <v>111</v>
      </c>
      <c r="B670" t="s">
        <v>77</v>
      </c>
      <c r="J670" t="s">
        <v>225</v>
      </c>
      <c r="K670" t="s">
        <v>225</v>
      </c>
      <c r="M670" s="73">
        <v>45364.916666666664</v>
      </c>
      <c r="N670">
        <v>42304949</v>
      </c>
      <c r="O670">
        <v>1</v>
      </c>
      <c r="P670" t="s">
        <v>45</v>
      </c>
      <c r="Q670">
        <v>1</v>
      </c>
      <c r="R670" t="s">
        <v>45</v>
      </c>
      <c r="U670" t="s">
        <v>226</v>
      </c>
      <c r="V670" t="s">
        <v>442</v>
      </c>
      <c r="W670" t="s">
        <v>237</v>
      </c>
      <c r="X670" t="s">
        <v>229</v>
      </c>
      <c r="Y670" t="s">
        <v>111</v>
      </c>
      <c r="AD670" t="s">
        <v>45</v>
      </c>
      <c r="AE670">
        <v>1</v>
      </c>
      <c r="AF670">
        <v>42304949</v>
      </c>
      <c r="AG670" s="73">
        <v>45364.916666666664</v>
      </c>
      <c r="AH670" t="s">
        <v>226</v>
      </c>
      <c r="AI670" t="s">
        <v>442</v>
      </c>
      <c r="AJ670" t="s">
        <v>237</v>
      </c>
      <c r="AK670" t="s">
        <v>229</v>
      </c>
      <c r="AL670" t="s">
        <v>111</v>
      </c>
      <c r="AP670" t="s">
        <v>230</v>
      </c>
      <c r="AQ670" t="s">
        <v>231</v>
      </c>
      <c r="AT670" t="s">
        <v>232</v>
      </c>
      <c r="AU670">
        <v>-99</v>
      </c>
      <c r="AV670" t="s">
        <v>45</v>
      </c>
      <c r="AW670">
        <v>1</v>
      </c>
      <c r="AX670">
        <v>42304949</v>
      </c>
      <c r="AY670" s="73">
        <v>45364.916666666664</v>
      </c>
      <c r="AZ670" t="s">
        <v>226</v>
      </c>
      <c r="BA670" t="s">
        <v>442</v>
      </c>
      <c r="BB670" t="s">
        <v>237</v>
      </c>
      <c r="BC670" t="s">
        <v>229</v>
      </c>
      <c r="BD670" t="s">
        <v>111</v>
      </c>
      <c r="BI670" t="s">
        <v>233</v>
      </c>
      <c r="BJ670" t="s">
        <v>0</v>
      </c>
      <c r="BK670">
        <v>42304936</v>
      </c>
      <c r="BN670" t="s">
        <v>45</v>
      </c>
      <c r="BO670">
        <v>42304944</v>
      </c>
      <c r="BR670">
        <v>1</v>
      </c>
      <c r="BS670">
        <v>42304949</v>
      </c>
      <c r="BT670" s="73">
        <v>45364.916666666664</v>
      </c>
      <c r="BU670" t="s">
        <v>226</v>
      </c>
      <c r="BV670" t="s">
        <v>442</v>
      </c>
      <c r="BW670" t="s">
        <v>237</v>
      </c>
      <c r="CH670" t="s">
        <v>229</v>
      </c>
      <c r="CI670" t="s">
        <v>111</v>
      </c>
      <c r="CJ670" t="s">
        <v>226</v>
      </c>
      <c r="CK670" t="s">
        <v>442</v>
      </c>
      <c r="CL670" t="s">
        <v>237</v>
      </c>
      <c r="CM670" t="s">
        <v>236</v>
      </c>
      <c r="CN670" t="s">
        <v>45</v>
      </c>
      <c r="CO670">
        <v>1</v>
      </c>
      <c r="CP670">
        <v>42304949</v>
      </c>
      <c r="CQ670" s="73">
        <v>45364.916666666664</v>
      </c>
      <c r="CR670" t="s">
        <v>229</v>
      </c>
      <c r="CS670" t="s">
        <v>111</v>
      </c>
      <c r="CU670" t="s">
        <v>225</v>
      </c>
    </row>
    <row r="671" spans="1:99">
      <c r="A671" t="s">
        <v>42</v>
      </c>
      <c r="B671" t="s">
        <v>92</v>
      </c>
      <c r="J671" t="s">
        <v>225</v>
      </c>
      <c r="K671" t="s">
        <v>225</v>
      </c>
      <c r="M671" s="73">
        <v>45364.915277777778</v>
      </c>
      <c r="N671">
        <v>42298569</v>
      </c>
      <c r="O671">
        <v>-3450</v>
      </c>
      <c r="P671" t="s">
        <v>45</v>
      </c>
      <c r="Q671">
        <v>-3450</v>
      </c>
      <c r="R671" t="s">
        <v>45</v>
      </c>
      <c r="U671" t="s">
        <v>226</v>
      </c>
      <c r="V671" t="s">
        <v>443</v>
      </c>
      <c r="W671" t="s">
        <v>228</v>
      </c>
      <c r="X671" t="s">
        <v>229</v>
      </c>
      <c r="Y671" t="s">
        <v>42</v>
      </c>
      <c r="AD671" t="s">
        <v>45</v>
      </c>
      <c r="AE671">
        <v>-3450</v>
      </c>
      <c r="AF671">
        <v>42298569</v>
      </c>
      <c r="AG671" s="73">
        <v>45364.915277777778</v>
      </c>
      <c r="AH671" t="s">
        <v>226</v>
      </c>
      <c r="AI671" t="s">
        <v>443</v>
      </c>
      <c r="AJ671" t="s">
        <v>228</v>
      </c>
      <c r="AK671" t="s">
        <v>229</v>
      </c>
      <c r="AL671" t="s">
        <v>42</v>
      </c>
      <c r="AP671" t="s">
        <v>230</v>
      </c>
      <c r="AQ671" t="s">
        <v>231</v>
      </c>
      <c r="AT671" t="s">
        <v>232</v>
      </c>
      <c r="AU671">
        <v>-99</v>
      </c>
      <c r="AV671" t="s">
        <v>45</v>
      </c>
      <c r="AW671">
        <v>-3450</v>
      </c>
      <c r="AX671">
        <v>42298569</v>
      </c>
      <c r="AY671" s="73">
        <v>45364.915277777778</v>
      </c>
      <c r="AZ671" t="s">
        <v>226</v>
      </c>
      <c r="BA671" t="s">
        <v>443</v>
      </c>
      <c r="BB671" t="s">
        <v>228</v>
      </c>
      <c r="BC671" t="s">
        <v>229</v>
      </c>
      <c r="BD671" t="s">
        <v>42</v>
      </c>
      <c r="BI671" t="s">
        <v>233</v>
      </c>
      <c r="BJ671" t="s">
        <v>0</v>
      </c>
      <c r="BK671">
        <v>42298557</v>
      </c>
      <c r="BN671" t="s">
        <v>45</v>
      </c>
      <c r="BR671">
        <v>-3450</v>
      </c>
      <c r="BS671">
        <v>42298569</v>
      </c>
      <c r="BT671" s="73">
        <v>45364.915277777778</v>
      </c>
      <c r="BU671" t="s">
        <v>226</v>
      </c>
      <c r="BV671" t="s">
        <v>443</v>
      </c>
      <c r="BW671" t="s">
        <v>228</v>
      </c>
      <c r="CH671" t="s">
        <v>229</v>
      </c>
      <c r="CI671" t="s">
        <v>42</v>
      </c>
      <c r="CJ671" t="s">
        <v>226</v>
      </c>
      <c r="CK671" t="s">
        <v>443</v>
      </c>
      <c r="CL671" t="s">
        <v>228</v>
      </c>
      <c r="CM671" t="s">
        <v>234</v>
      </c>
      <c r="CN671" t="s">
        <v>45</v>
      </c>
      <c r="CO671">
        <v>-3450</v>
      </c>
      <c r="CP671">
        <v>42298569</v>
      </c>
      <c r="CQ671" s="73">
        <v>45364.915277777778</v>
      </c>
      <c r="CR671" t="s">
        <v>229</v>
      </c>
      <c r="CS671" t="s">
        <v>42</v>
      </c>
      <c r="CU671" t="s">
        <v>225</v>
      </c>
    </row>
    <row r="672" spans="1:99">
      <c r="A672" t="s">
        <v>99</v>
      </c>
      <c r="B672" t="s">
        <v>98</v>
      </c>
      <c r="J672" t="s">
        <v>225</v>
      </c>
      <c r="K672" t="s">
        <v>225</v>
      </c>
      <c r="M672" s="73">
        <v>45364.915277777778</v>
      </c>
      <c r="N672">
        <v>42298568</v>
      </c>
      <c r="O672">
        <v>-172.5</v>
      </c>
      <c r="P672" t="s">
        <v>73</v>
      </c>
      <c r="Q672">
        <v>-172.5</v>
      </c>
      <c r="R672" t="s">
        <v>73</v>
      </c>
      <c r="U672" t="s">
        <v>226</v>
      </c>
      <c r="V672" t="s">
        <v>443</v>
      </c>
      <c r="W672" t="s">
        <v>228</v>
      </c>
      <c r="X672" t="s">
        <v>229</v>
      </c>
      <c r="Y672" t="s">
        <v>99</v>
      </c>
      <c r="AD672" t="s">
        <v>73</v>
      </c>
      <c r="AE672">
        <v>-172.5</v>
      </c>
      <c r="AF672">
        <v>42298568</v>
      </c>
      <c r="AG672" s="73">
        <v>45364.915277777778</v>
      </c>
      <c r="AH672" t="s">
        <v>226</v>
      </c>
      <c r="AI672" t="s">
        <v>443</v>
      </c>
      <c r="AJ672" t="s">
        <v>228</v>
      </c>
      <c r="AK672" t="s">
        <v>229</v>
      </c>
      <c r="AL672" t="s">
        <v>99</v>
      </c>
      <c r="AP672" t="s">
        <v>230</v>
      </c>
      <c r="AQ672" t="s">
        <v>231</v>
      </c>
      <c r="AT672" t="s">
        <v>232</v>
      </c>
      <c r="AU672">
        <v>-99</v>
      </c>
      <c r="AV672" t="s">
        <v>73</v>
      </c>
      <c r="AW672">
        <v>-172.5</v>
      </c>
      <c r="AX672">
        <v>42298568</v>
      </c>
      <c r="AY672" s="73">
        <v>45364.915277777778</v>
      </c>
      <c r="AZ672" t="s">
        <v>226</v>
      </c>
      <c r="BA672" t="s">
        <v>443</v>
      </c>
      <c r="BB672" t="s">
        <v>228</v>
      </c>
      <c r="BC672" t="s">
        <v>229</v>
      </c>
      <c r="BD672" t="s">
        <v>99</v>
      </c>
      <c r="BI672" t="s">
        <v>233</v>
      </c>
      <c r="BJ672" t="s">
        <v>0</v>
      </c>
      <c r="BK672">
        <v>42298557</v>
      </c>
      <c r="BN672" t="s">
        <v>73</v>
      </c>
      <c r="BR672">
        <v>-172.5</v>
      </c>
      <c r="BS672">
        <v>42298568</v>
      </c>
      <c r="BT672" s="73">
        <v>45364.915277777778</v>
      </c>
      <c r="BU672" t="s">
        <v>226</v>
      </c>
      <c r="BV672" t="s">
        <v>443</v>
      </c>
      <c r="BW672" t="s">
        <v>228</v>
      </c>
      <c r="CH672" t="s">
        <v>229</v>
      </c>
      <c r="CI672" t="s">
        <v>99</v>
      </c>
      <c r="CJ672" t="s">
        <v>226</v>
      </c>
      <c r="CK672" t="s">
        <v>443</v>
      </c>
      <c r="CL672" t="s">
        <v>228</v>
      </c>
      <c r="CM672" t="s">
        <v>234</v>
      </c>
      <c r="CN672" t="s">
        <v>73</v>
      </c>
      <c r="CO672">
        <v>-172.5</v>
      </c>
      <c r="CP672">
        <v>42298568</v>
      </c>
      <c r="CQ672" s="73">
        <v>45364.915277777778</v>
      </c>
      <c r="CR672" t="s">
        <v>229</v>
      </c>
      <c r="CS672" t="s">
        <v>99</v>
      </c>
      <c r="CU672" t="s">
        <v>225</v>
      </c>
    </row>
    <row r="673" spans="1:99">
      <c r="A673" t="s">
        <v>103</v>
      </c>
      <c r="B673" t="s">
        <v>98</v>
      </c>
      <c r="J673" t="s">
        <v>225</v>
      </c>
      <c r="K673" t="s">
        <v>225</v>
      </c>
      <c r="M673" s="73">
        <v>45364.915277777778</v>
      </c>
      <c r="N673">
        <v>42298567</v>
      </c>
      <c r="O673">
        <v>3450</v>
      </c>
      <c r="P673" t="s">
        <v>104</v>
      </c>
      <c r="Q673">
        <v>3450</v>
      </c>
      <c r="R673" t="s">
        <v>104</v>
      </c>
      <c r="S673">
        <v>172.5</v>
      </c>
      <c r="T673" t="s">
        <v>73</v>
      </c>
      <c r="U673" t="s">
        <v>226</v>
      </c>
      <c r="V673" t="s">
        <v>443</v>
      </c>
      <c r="W673" t="s">
        <v>235</v>
      </c>
      <c r="X673" t="s">
        <v>229</v>
      </c>
      <c r="Y673" t="s">
        <v>103</v>
      </c>
      <c r="AD673" t="s">
        <v>104</v>
      </c>
      <c r="AE673">
        <v>3450</v>
      </c>
      <c r="AF673">
        <v>42298567</v>
      </c>
      <c r="AG673" s="73">
        <v>45364.915277777778</v>
      </c>
      <c r="AH673" t="s">
        <v>226</v>
      </c>
      <c r="AI673" t="s">
        <v>443</v>
      </c>
      <c r="AJ673" t="s">
        <v>235</v>
      </c>
      <c r="AK673" t="s">
        <v>229</v>
      </c>
      <c r="AL673" t="s">
        <v>103</v>
      </c>
      <c r="AP673" t="s">
        <v>230</v>
      </c>
      <c r="AQ673" t="s">
        <v>231</v>
      </c>
      <c r="AT673" t="s">
        <v>232</v>
      </c>
      <c r="AU673">
        <v>-99</v>
      </c>
      <c r="AV673" t="s">
        <v>104</v>
      </c>
      <c r="AW673">
        <v>3450</v>
      </c>
      <c r="AX673">
        <v>42298567</v>
      </c>
      <c r="AY673" s="73">
        <v>45364.915277777778</v>
      </c>
      <c r="AZ673" t="s">
        <v>226</v>
      </c>
      <c r="BA673" t="s">
        <v>443</v>
      </c>
      <c r="BB673" t="s">
        <v>235</v>
      </c>
      <c r="BC673" t="s">
        <v>229</v>
      </c>
      <c r="BD673" t="s">
        <v>103</v>
      </c>
      <c r="BI673" t="s">
        <v>233</v>
      </c>
      <c r="BJ673" t="s">
        <v>0</v>
      </c>
      <c r="BK673">
        <v>42298557</v>
      </c>
      <c r="BN673" t="s">
        <v>104</v>
      </c>
      <c r="BO673">
        <v>42298563</v>
      </c>
      <c r="BR673">
        <v>3450</v>
      </c>
      <c r="BS673">
        <v>42298567</v>
      </c>
      <c r="BT673" s="73">
        <v>45364.915277777778</v>
      </c>
      <c r="BU673" t="s">
        <v>226</v>
      </c>
      <c r="BV673" t="s">
        <v>443</v>
      </c>
      <c r="BW673" t="s">
        <v>235</v>
      </c>
      <c r="CH673" t="s">
        <v>229</v>
      </c>
      <c r="CI673" t="s">
        <v>103</v>
      </c>
      <c r="CJ673" t="s">
        <v>226</v>
      </c>
      <c r="CK673" t="s">
        <v>443</v>
      </c>
      <c r="CL673" t="s">
        <v>235</v>
      </c>
      <c r="CM673" t="s">
        <v>236</v>
      </c>
      <c r="CN673" t="s">
        <v>104</v>
      </c>
      <c r="CO673">
        <v>3450</v>
      </c>
      <c r="CP673">
        <v>42298567</v>
      </c>
      <c r="CQ673" s="73">
        <v>45364.915277777778</v>
      </c>
      <c r="CR673" t="s">
        <v>229</v>
      </c>
      <c r="CS673" t="s">
        <v>103</v>
      </c>
      <c r="CU673" t="s">
        <v>225</v>
      </c>
    </row>
    <row r="674" spans="1:99">
      <c r="A674" t="s">
        <v>48</v>
      </c>
      <c r="B674" t="s">
        <v>92</v>
      </c>
      <c r="J674" t="s">
        <v>225</v>
      </c>
      <c r="K674" t="s">
        <v>225</v>
      </c>
      <c r="M674" s="73">
        <v>45364.913657407407</v>
      </c>
      <c r="N674">
        <v>42298546</v>
      </c>
      <c r="O674">
        <v>-905</v>
      </c>
      <c r="P674" t="s">
        <v>45</v>
      </c>
      <c r="Q674">
        <v>-905</v>
      </c>
      <c r="R674" t="s">
        <v>45</v>
      </c>
      <c r="U674" t="s">
        <v>226</v>
      </c>
      <c r="V674" t="s">
        <v>444</v>
      </c>
      <c r="W674" t="s">
        <v>228</v>
      </c>
      <c r="X674" t="s">
        <v>229</v>
      </c>
      <c r="Y674" t="s">
        <v>48</v>
      </c>
      <c r="AD674" t="s">
        <v>45</v>
      </c>
      <c r="AE674">
        <v>-905</v>
      </c>
      <c r="AF674">
        <v>42298546</v>
      </c>
      <c r="AG674" s="73">
        <v>45364.913657407407</v>
      </c>
      <c r="AH674" t="s">
        <v>226</v>
      </c>
      <c r="AI674" t="s">
        <v>444</v>
      </c>
      <c r="AJ674" t="s">
        <v>228</v>
      </c>
      <c r="AK674" t="s">
        <v>229</v>
      </c>
      <c r="AL674" t="s">
        <v>48</v>
      </c>
      <c r="AP674" t="s">
        <v>230</v>
      </c>
      <c r="AQ674" t="s">
        <v>231</v>
      </c>
      <c r="AT674" t="s">
        <v>232</v>
      </c>
      <c r="AU674">
        <v>-99</v>
      </c>
      <c r="AV674" t="s">
        <v>45</v>
      </c>
      <c r="AW674">
        <v>-905</v>
      </c>
      <c r="AX674">
        <v>42298546</v>
      </c>
      <c r="AY674" s="73">
        <v>45364.913657407407</v>
      </c>
      <c r="AZ674" t="s">
        <v>226</v>
      </c>
      <c r="BA674" t="s">
        <v>444</v>
      </c>
      <c r="BB674" t="s">
        <v>228</v>
      </c>
      <c r="BC674" t="s">
        <v>229</v>
      </c>
      <c r="BD674" t="s">
        <v>48</v>
      </c>
      <c r="BI674" t="s">
        <v>233</v>
      </c>
      <c r="BJ674" t="s">
        <v>0</v>
      </c>
      <c r="BK674">
        <v>42298522</v>
      </c>
      <c r="BN674" t="s">
        <v>45</v>
      </c>
      <c r="BR674">
        <v>-905</v>
      </c>
      <c r="BS674">
        <v>42298546</v>
      </c>
      <c r="BT674" s="73">
        <v>45364.913657407407</v>
      </c>
      <c r="BU674" t="s">
        <v>226</v>
      </c>
      <c r="BV674" t="s">
        <v>444</v>
      </c>
      <c r="BW674" t="s">
        <v>228</v>
      </c>
      <c r="CH674" t="s">
        <v>229</v>
      </c>
      <c r="CI674" t="s">
        <v>48</v>
      </c>
      <c r="CJ674" t="s">
        <v>226</v>
      </c>
      <c r="CK674" t="s">
        <v>444</v>
      </c>
      <c r="CL674" t="s">
        <v>228</v>
      </c>
      <c r="CM674" t="s">
        <v>234</v>
      </c>
      <c r="CN674" t="s">
        <v>45</v>
      </c>
      <c r="CO674">
        <v>-905</v>
      </c>
      <c r="CP674">
        <v>42298546</v>
      </c>
      <c r="CQ674" s="73">
        <v>45364.913657407407</v>
      </c>
      <c r="CR674" t="s">
        <v>229</v>
      </c>
      <c r="CS674" t="s">
        <v>48</v>
      </c>
      <c r="CU674" t="s">
        <v>225</v>
      </c>
    </row>
    <row r="675" spans="1:99">
      <c r="A675" t="s">
        <v>93</v>
      </c>
      <c r="B675" t="s">
        <v>98</v>
      </c>
      <c r="J675" t="s">
        <v>225</v>
      </c>
      <c r="K675" t="s">
        <v>225</v>
      </c>
      <c r="M675" s="73">
        <v>45364.913657407407</v>
      </c>
      <c r="N675">
        <v>42298545</v>
      </c>
      <c r="O675">
        <v>-45</v>
      </c>
      <c r="P675" t="s">
        <v>73</v>
      </c>
      <c r="Q675">
        <v>-45</v>
      </c>
      <c r="R675" t="s">
        <v>73</v>
      </c>
      <c r="U675" t="s">
        <v>226</v>
      </c>
      <c r="V675" t="s">
        <v>444</v>
      </c>
      <c r="W675" t="s">
        <v>228</v>
      </c>
      <c r="X675" t="s">
        <v>229</v>
      </c>
      <c r="Y675" t="s">
        <v>93</v>
      </c>
      <c r="AD675" t="s">
        <v>73</v>
      </c>
      <c r="AE675">
        <v>-45</v>
      </c>
      <c r="AF675">
        <v>42298545</v>
      </c>
      <c r="AG675" s="73">
        <v>45364.913657407407</v>
      </c>
      <c r="AH675" t="s">
        <v>226</v>
      </c>
      <c r="AI675" t="s">
        <v>444</v>
      </c>
      <c r="AJ675" t="s">
        <v>228</v>
      </c>
      <c r="AK675" t="s">
        <v>229</v>
      </c>
      <c r="AL675" t="s">
        <v>93</v>
      </c>
      <c r="AP675" t="s">
        <v>230</v>
      </c>
      <c r="AQ675" t="s">
        <v>231</v>
      </c>
      <c r="AT675" t="s">
        <v>232</v>
      </c>
      <c r="AU675">
        <v>-99</v>
      </c>
      <c r="AV675" t="s">
        <v>73</v>
      </c>
      <c r="AW675">
        <v>-45</v>
      </c>
      <c r="AX675">
        <v>42298545</v>
      </c>
      <c r="AY675" s="73">
        <v>45364.913657407407</v>
      </c>
      <c r="AZ675" t="s">
        <v>226</v>
      </c>
      <c r="BA675" t="s">
        <v>444</v>
      </c>
      <c r="BB675" t="s">
        <v>228</v>
      </c>
      <c r="BC675" t="s">
        <v>229</v>
      </c>
      <c r="BD675" t="s">
        <v>93</v>
      </c>
      <c r="BI675" t="s">
        <v>233</v>
      </c>
      <c r="BJ675" t="s">
        <v>0</v>
      </c>
      <c r="BK675">
        <v>42298522</v>
      </c>
      <c r="BN675" t="s">
        <v>73</v>
      </c>
      <c r="BR675">
        <v>-45</v>
      </c>
      <c r="BS675">
        <v>42298545</v>
      </c>
      <c r="BT675" s="73">
        <v>45364.913657407407</v>
      </c>
      <c r="BU675" t="s">
        <v>226</v>
      </c>
      <c r="BV675" t="s">
        <v>444</v>
      </c>
      <c r="BW675" t="s">
        <v>228</v>
      </c>
      <c r="CH675" t="s">
        <v>229</v>
      </c>
      <c r="CI675" t="s">
        <v>93</v>
      </c>
      <c r="CJ675" t="s">
        <v>226</v>
      </c>
      <c r="CK675" t="s">
        <v>444</v>
      </c>
      <c r="CL675" t="s">
        <v>228</v>
      </c>
      <c r="CM675" t="s">
        <v>234</v>
      </c>
      <c r="CN675" t="s">
        <v>73</v>
      </c>
      <c r="CO675">
        <v>-45</v>
      </c>
      <c r="CP675">
        <v>42298545</v>
      </c>
      <c r="CQ675" s="73">
        <v>45364.913657407407</v>
      </c>
      <c r="CR675" t="s">
        <v>229</v>
      </c>
      <c r="CS675" t="s">
        <v>93</v>
      </c>
      <c r="CU675" t="s">
        <v>225</v>
      </c>
    </row>
    <row r="676" spans="1:99">
      <c r="A676" t="s">
        <v>109</v>
      </c>
      <c r="B676" t="s">
        <v>98</v>
      </c>
      <c r="J676" t="s">
        <v>225</v>
      </c>
      <c r="K676" t="s">
        <v>225</v>
      </c>
      <c r="M676" s="73">
        <v>45364.913657407407</v>
      </c>
      <c r="N676">
        <v>42298544</v>
      </c>
      <c r="O676">
        <v>900</v>
      </c>
      <c r="P676" t="s">
        <v>104</v>
      </c>
      <c r="Q676">
        <v>900</v>
      </c>
      <c r="R676" t="s">
        <v>104</v>
      </c>
      <c r="S676">
        <v>45</v>
      </c>
      <c r="T676" t="s">
        <v>73</v>
      </c>
      <c r="U676" t="s">
        <v>226</v>
      </c>
      <c r="V676" t="s">
        <v>444</v>
      </c>
      <c r="W676" t="s">
        <v>235</v>
      </c>
      <c r="X676" t="s">
        <v>229</v>
      </c>
      <c r="Y676" t="s">
        <v>109</v>
      </c>
      <c r="AD676" t="s">
        <v>104</v>
      </c>
      <c r="AE676">
        <v>900</v>
      </c>
      <c r="AF676">
        <v>42298544</v>
      </c>
      <c r="AG676" s="73">
        <v>45364.913657407407</v>
      </c>
      <c r="AH676" t="s">
        <v>226</v>
      </c>
      <c r="AI676" t="s">
        <v>444</v>
      </c>
      <c r="AJ676" t="s">
        <v>235</v>
      </c>
      <c r="AK676" t="s">
        <v>229</v>
      </c>
      <c r="AL676" t="s">
        <v>109</v>
      </c>
      <c r="AP676" t="s">
        <v>230</v>
      </c>
      <c r="AQ676" t="s">
        <v>231</v>
      </c>
      <c r="AT676" t="s">
        <v>232</v>
      </c>
      <c r="AU676">
        <v>-99</v>
      </c>
      <c r="AV676" t="s">
        <v>104</v>
      </c>
      <c r="AW676">
        <v>900</v>
      </c>
      <c r="AX676">
        <v>42298544</v>
      </c>
      <c r="AY676" s="73">
        <v>45364.913657407407</v>
      </c>
      <c r="AZ676" t="s">
        <v>226</v>
      </c>
      <c r="BA676" t="s">
        <v>444</v>
      </c>
      <c r="BB676" t="s">
        <v>235</v>
      </c>
      <c r="BC676" t="s">
        <v>229</v>
      </c>
      <c r="BD676" t="s">
        <v>109</v>
      </c>
      <c r="BI676" t="s">
        <v>233</v>
      </c>
      <c r="BJ676" t="s">
        <v>0</v>
      </c>
      <c r="BK676">
        <v>42298522</v>
      </c>
      <c r="BN676" t="s">
        <v>104</v>
      </c>
      <c r="BO676">
        <v>42298536</v>
      </c>
      <c r="BR676">
        <v>900</v>
      </c>
      <c r="BS676">
        <v>42298544</v>
      </c>
      <c r="BT676" s="73">
        <v>45364.913657407407</v>
      </c>
      <c r="BU676" t="s">
        <v>226</v>
      </c>
      <c r="BV676" t="s">
        <v>444</v>
      </c>
      <c r="BW676" t="s">
        <v>235</v>
      </c>
      <c r="CH676" t="s">
        <v>229</v>
      </c>
      <c r="CI676" t="s">
        <v>109</v>
      </c>
      <c r="CJ676" t="s">
        <v>226</v>
      </c>
      <c r="CK676" t="s">
        <v>444</v>
      </c>
      <c r="CL676" t="s">
        <v>235</v>
      </c>
      <c r="CM676" t="s">
        <v>236</v>
      </c>
      <c r="CN676" t="s">
        <v>104</v>
      </c>
      <c r="CO676">
        <v>900</v>
      </c>
      <c r="CP676">
        <v>42298544</v>
      </c>
      <c r="CQ676" s="73">
        <v>45364.913657407407</v>
      </c>
      <c r="CR676" t="s">
        <v>229</v>
      </c>
      <c r="CS676" t="s">
        <v>109</v>
      </c>
      <c r="CU676" t="s">
        <v>225</v>
      </c>
    </row>
    <row r="677" spans="1:99">
      <c r="A677" t="s">
        <v>111</v>
      </c>
      <c r="B677" t="s">
        <v>77</v>
      </c>
      <c r="J677" t="s">
        <v>225</v>
      </c>
      <c r="K677" t="s">
        <v>225</v>
      </c>
      <c r="M677" s="73">
        <v>45364.913657407407</v>
      </c>
      <c r="N677">
        <v>42298543</v>
      </c>
      <c r="O677">
        <v>5</v>
      </c>
      <c r="P677" t="s">
        <v>45</v>
      </c>
      <c r="Q677">
        <v>5</v>
      </c>
      <c r="R677" t="s">
        <v>45</v>
      </c>
      <c r="U677" t="s">
        <v>226</v>
      </c>
      <c r="V677" t="s">
        <v>444</v>
      </c>
      <c r="W677" t="s">
        <v>237</v>
      </c>
      <c r="X677" t="s">
        <v>229</v>
      </c>
      <c r="Y677" t="s">
        <v>111</v>
      </c>
      <c r="AD677" t="s">
        <v>45</v>
      </c>
      <c r="AE677">
        <v>5</v>
      </c>
      <c r="AF677">
        <v>42298543</v>
      </c>
      <c r="AG677" s="73">
        <v>45364.913657407407</v>
      </c>
      <c r="AH677" t="s">
        <v>226</v>
      </c>
      <c r="AI677" t="s">
        <v>444</v>
      </c>
      <c r="AJ677" t="s">
        <v>237</v>
      </c>
      <c r="AK677" t="s">
        <v>229</v>
      </c>
      <c r="AL677" t="s">
        <v>111</v>
      </c>
      <c r="AP677" t="s">
        <v>230</v>
      </c>
      <c r="AQ677" t="s">
        <v>231</v>
      </c>
      <c r="AT677" t="s">
        <v>232</v>
      </c>
      <c r="AU677">
        <v>-99</v>
      </c>
      <c r="AV677" t="s">
        <v>45</v>
      </c>
      <c r="AW677">
        <v>5</v>
      </c>
      <c r="AX677">
        <v>42298543</v>
      </c>
      <c r="AY677" s="73">
        <v>45364.913657407407</v>
      </c>
      <c r="AZ677" t="s">
        <v>226</v>
      </c>
      <c r="BA677" t="s">
        <v>444</v>
      </c>
      <c r="BB677" t="s">
        <v>237</v>
      </c>
      <c r="BC677" t="s">
        <v>229</v>
      </c>
      <c r="BD677" t="s">
        <v>111</v>
      </c>
      <c r="BI677" t="s">
        <v>233</v>
      </c>
      <c r="BJ677" t="s">
        <v>0</v>
      </c>
      <c r="BK677">
        <v>42298522</v>
      </c>
      <c r="BN677" t="s">
        <v>45</v>
      </c>
      <c r="BO677">
        <v>42298538</v>
      </c>
      <c r="BR677">
        <v>5</v>
      </c>
      <c r="BS677">
        <v>42298543</v>
      </c>
      <c r="BT677" s="73">
        <v>45364.913657407407</v>
      </c>
      <c r="BU677" t="s">
        <v>226</v>
      </c>
      <c r="BV677" t="s">
        <v>444</v>
      </c>
      <c r="BW677" t="s">
        <v>237</v>
      </c>
      <c r="CH677" t="s">
        <v>229</v>
      </c>
      <c r="CI677" t="s">
        <v>111</v>
      </c>
      <c r="CJ677" t="s">
        <v>226</v>
      </c>
      <c r="CK677" t="s">
        <v>444</v>
      </c>
      <c r="CL677" t="s">
        <v>237</v>
      </c>
      <c r="CM677" t="s">
        <v>236</v>
      </c>
      <c r="CN677" t="s">
        <v>45</v>
      </c>
      <c r="CO677">
        <v>5</v>
      </c>
      <c r="CP677">
        <v>42298543</v>
      </c>
      <c r="CQ677" s="73">
        <v>45364.913657407407</v>
      </c>
      <c r="CR677" t="s">
        <v>229</v>
      </c>
      <c r="CS677" t="s">
        <v>111</v>
      </c>
      <c r="CU677" t="s">
        <v>225</v>
      </c>
    </row>
    <row r="678" spans="1:99">
      <c r="A678" t="s">
        <v>46</v>
      </c>
      <c r="B678" t="s">
        <v>92</v>
      </c>
      <c r="J678" t="s">
        <v>225</v>
      </c>
      <c r="K678" t="s">
        <v>225</v>
      </c>
      <c r="M678" s="73">
        <v>45364.91170138889</v>
      </c>
      <c r="N678">
        <v>42298506</v>
      </c>
      <c r="O678">
        <v>-572</v>
      </c>
      <c r="P678" t="s">
        <v>45</v>
      </c>
      <c r="Q678">
        <v>-572</v>
      </c>
      <c r="R678" t="s">
        <v>45</v>
      </c>
      <c r="U678" t="s">
        <v>226</v>
      </c>
      <c r="V678" t="s">
        <v>445</v>
      </c>
      <c r="W678" t="s">
        <v>228</v>
      </c>
      <c r="X678" t="s">
        <v>229</v>
      </c>
      <c r="Y678" t="s">
        <v>46</v>
      </c>
      <c r="AD678" t="s">
        <v>45</v>
      </c>
      <c r="AE678">
        <v>-572</v>
      </c>
      <c r="AF678">
        <v>42298506</v>
      </c>
      <c r="AG678" s="73">
        <v>45364.91170138889</v>
      </c>
      <c r="AH678" t="s">
        <v>226</v>
      </c>
      <c r="AI678" t="s">
        <v>445</v>
      </c>
      <c r="AJ678" t="s">
        <v>228</v>
      </c>
      <c r="AK678" t="s">
        <v>229</v>
      </c>
      <c r="AL678" t="s">
        <v>46</v>
      </c>
      <c r="AP678" t="s">
        <v>230</v>
      </c>
      <c r="AQ678" t="s">
        <v>231</v>
      </c>
      <c r="AT678" t="s">
        <v>232</v>
      </c>
      <c r="AU678">
        <v>-99</v>
      </c>
      <c r="AV678" t="s">
        <v>45</v>
      </c>
      <c r="AW678">
        <v>-572</v>
      </c>
      <c r="AX678">
        <v>42298506</v>
      </c>
      <c r="AY678" s="73">
        <v>45364.91170138889</v>
      </c>
      <c r="AZ678" t="s">
        <v>226</v>
      </c>
      <c r="BA678" t="s">
        <v>445</v>
      </c>
      <c r="BB678" t="s">
        <v>228</v>
      </c>
      <c r="BC678" t="s">
        <v>229</v>
      </c>
      <c r="BD678" t="s">
        <v>46</v>
      </c>
      <c r="BI678" t="s">
        <v>233</v>
      </c>
      <c r="BJ678" t="s">
        <v>0</v>
      </c>
      <c r="BK678">
        <v>42298486</v>
      </c>
      <c r="BN678" t="s">
        <v>45</v>
      </c>
      <c r="BR678">
        <v>-572</v>
      </c>
      <c r="BS678">
        <v>42298506</v>
      </c>
      <c r="BT678" s="73">
        <v>45364.91170138889</v>
      </c>
      <c r="BU678" t="s">
        <v>226</v>
      </c>
      <c r="BV678" t="s">
        <v>445</v>
      </c>
      <c r="BW678" t="s">
        <v>228</v>
      </c>
      <c r="CH678" t="s">
        <v>229</v>
      </c>
      <c r="CI678" t="s">
        <v>46</v>
      </c>
      <c r="CJ678" t="s">
        <v>226</v>
      </c>
      <c r="CK678" t="s">
        <v>445</v>
      </c>
      <c r="CL678" t="s">
        <v>228</v>
      </c>
      <c r="CM678" t="s">
        <v>234</v>
      </c>
      <c r="CN678" t="s">
        <v>45</v>
      </c>
      <c r="CO678">
        <v>-572</v>
      </c>
      <c r="CP678">
        <v>42298506</v>
      </c>
      <c r="CQ678" s="73">
        <v>45364.91170138889</v>
      </c>
      <c r="CR678" t="s">
        <v>229</v>
      </c>
      <c r="CS678" t="s">
        <v>46</v>
      </c>
      <c r="CU678" t="s">
        <v>225</v>
      </c>
    </row>
    <row r="679" spans="1:99">
      <c r="A679" t="s">
        <v>93</v>
      </c>
      <c r="B679" t="s">
        <v>98</v>
      </c>
      <c r="J679" t="s">
        <v>225</v>
      </c>
      <c r="K679" t="s">
        <v>225</v>
      </c>
      <c r="M679" s="73">
        <v>45364.91170138889</v>
      </c>
      <c r="N679">
        <v>42298505</v>
      </c>
      <c r="O679">
        <v>-28.5</v>
      </c>
      <c r="P679" t="s">
        <v>73</v>
      </c>
      <c r="Q679">
        <v>-28.5</v>
      </c>
      <c r="R679" t="s">
        <v>73</v>
      </c>
      <c r="U679" t="s">
        <v>226</v>
      </c>
      <c r="V679" t="s">
        <v>445</v>
      </c>
      <c r="W679" t="s">
        <v>228</v>
      </c>
      <c r="X679" t="s">
        <v>229</v>
      </c>
      <c r="Y679" t="s">
        <v>93</v>
      </c>
      <c r="AD679" t="s">
        <v>73</v>
      </c>
      <c r="AE679">
        <v>-28.5</v>
      </c>
      <c r="AF679">
        <v>42298505</v>
      </c>
      <c r="AG679" s="73">
        <v>45364.91170138889</v>
      </c>
      <c r="AH679" t="s">
        <v>226</v>
      </c>
      <c r="AI679" t="s">
        <v>445</v>
      </c>
      <c r="AJ679" t="s">
        <v>228</v>
      </c>
      <c r="AK679" t="s">
        <v>229</v>
      </c>
      <c r="AL679" t="s">
        <v>93</v>
      </c>
      <c r="AP679" t="s">
        <v>230</v>
      </c>
      <c r="AQ679" t="s">
        <v>231</v>
      </c>
      <c r="AT679" t="s">
        <v>232</v>
      </c>
      <c r="AU679">
        <v>-99</v>
      </c>
      <c r="AV679" t="s">
        <v>73</v>
      </c>
      <c r="AW679">
        <v>-28.5</v>
      </c>
      <c r="AX679">
        <v>42298505</v>
      </c>
      <c r="AY679" s="73">
        <v>45364.91170138889</v>
      </c>
      <c r="AZ679" t="s">
        <v>226</v>
      </c>
      <c r="BA679" t="s">
        <v>445</v>
      </c>
      <c r="BB679" t="s">
        <v>228</v>
      </c>
      <c r="BC679" t="s">
        <v>229</v>
      </c>
      <c r="BD679" t="s">
        <v>93</v>
      </c>
      <c r="BI679" t="s">
        <v>233</v>
      </c>
      <c r="BJ679" t="s">
        <v>0</v>
      </c>
      <c r="BK679">
        <v>42298486</v>
      </c>
      <c r="BN679" t="s">
        <v>73</v>
      </c>
      <c r="BR679">
        <v>-28.5</v>
      </c>
      <c r="BS679">
        <v>42298505</v>
      </c>
      <c r="BT679" s="73">
        <v>45364.91170138889</v>
      </c>
      <c r="BU679" t="s">
        <v>226</v>
      </c>
      <c r="BV679" t="s">
        <v>445</v>
      </c>
      <c r="BW679" t="s">
        <v>228</v>
      </c>
      <c r="CH679" t="s">
        <v>229</v>
      </c>
      <c r="CI679" t="s">
        <v>93</v>
      </c>
      <c r="CJ679" t="s">
        <v>226</v>
      </c>
      <c r="CK679" t="s">
        <v>445</v>
      </c>
      <c r="CL679" t="s">
        <v>228</v>
      </c>
      <c r="CM679" t="s">
        <v>234</v>
      </c>
      <c r="CN679" t="s">
        <v>73</v>
      </c>
      <c r="CO679">
        <v>-28.5</v>
      </c>
      <c r="CP679">
        <v>42298505</v>
      </c>
      <c r="CQ679" s="73">
        <v>45364.91170138889</v>
      </c>
      <c r="CR679" t="s">
        <v>229</v>
      </c>
      <c r="CS679" t="s">
        <v>93</v>
      </c>
      <c r="CU679" t="s">
        <v>225</v>
      </c>
    </row>
    <row r="680" spans="1:99">
      <c r="A680" t="s">
        <v>108</v>
      </c>
      <c r="B680" t="s">
        <v>98</v>
      </c>
      <c r="J680" t="s">
        <v>225</v>
      </c>
      <c r="K680" t="s">
        <v>225</v>
      </c>
      <c r="M680" s="73">
        <v>45364.91170138889</v>
      </c>
      <c r="N680">
        <v>42298504</v>
      </c>
      <c r="O680">
        <v>570</v>
      </c>
      <c r="P680" t="s">
        <v>104</v>
      </c>
      <c r="Q680">
        <v>570</v>
      </c>
      <c r="R680" t="s">
        <v>104</v>
      </c>
      <c r="S680">
        <v>28.5</v>
      </c>
      <c r="T680" t="s">
        <v>73</v>
      </c>
      <c r="U680" t="s">
        <v>226</v>
      </c>
      <c r="V680" t="s">
        <v>445</v>
      </c>
      <c r="W680" t="s">
        <v>235</v>
      </c>
      <c r="X680" t="s">
        <v>229</v>
      </c>
      <c r="Y680" t="s">
        <v>108</v>
      </c>
      <c r="AD680" t="s">
        <v>104</v>
      </c>
      <c r="AE680">
        <v>570</v>
      </c>
      <c r="AF680">
        <v>42298504</v>
      </c>
      <c r="AG680" s="73">
        <v>45364.91170138889</v>
      </c>
      <c r="AH680" t="s">
        <v>226</v>
      </c>
      <c r="AI680" t="s">
        <v>445</v>
      </c>
      <c r="AJ680" t="s">
        <v>235</v>
      </c>
      <c r="AK680" t="s">
        <v>229</v>
      </c>
      <c r="AL680" t="s">
        <v>108</v>
      </c>
      <c r="AP680" t="s">
        <v>230</v>
      </c>
      <c r="AQ680" t="s">
        <v>231</v>
      </c>
      <c r="AT680" t="s">
        <v>232</v>
      </c>
      <c r="AU680">
        <v>-99</v>
      </c>
      <c r="AV680" t="s">
        <v>104</v>
      </c>
      <c r="AW680">
        <v>570</v>
      </c>
      <c r="AX680">
        <v>42298504</v>
      </c>
      <c r="AY680" s="73">
        <v>45364.91170138889</v>
      </c>
      <c r="AZ680" t="s">
        <v>226</v>
      </c>
      <c r="BA680" t="s">
        <v>445</v>
      </c>
      <c r="BB680" t="s">
        <v>235</v>
      </c>
      <c r="BC680" t="s">
        <v>229</v>
      </c>
      <c r="BD680" t="s">
        <v>108</v>
      </c>
      <c r="BI680" t="s">
        <v>233</v>
      </c>
      <c r="BJ680" t="s">
        <v>0</v>
      </c>
      <c r="BK680">
        <v>42298486</v>
      </c>
      <c r="BN680" t="s">
        <v>104</v>
      </c>
      <c r="BO680">
        <v>42298496</v>
      </c>
      <c r="BR680">
        <v>570</v>
      </c>
      <c r="BS680">
        <v>42298504</v>
      </c>
      <c r="BT680" s="73">
        <v>45364.91170138889</v>
      </c>
      <c r="BU680" t="s">
        <v>226</v>
      </c>
      <c r="BV680" t="s">
        <v>445</v>
      </c>
      <c r="BW680" t="s">
        <v>235</v>
      </c>
      <c r="CH680" t="s">
        <v>229</v>
      </c>
      <c r="CI680" t="s">
        <v>108</v>
      </c>
      <c r="CJ680" t="s">
        <v>226</v>
      </c>
      <c r="CK680" t="s">
        <v>445</v>
      </c>
      <c r="CL680" t="s">
        <v>235</v>
      </c>
      <c r="CM680" t="s">
        <v>236</v>
      </c>
      <c r="CN680" t="s">
        <v>104</v>
      </c>
      <c r="CO680">
        <v>570</v>
      </c>
      <c r="CP680">
        <v>42298504</v>
      </c>
      <c r="CQ680" s="73">
        <v>45364.91170138889</v>
      </c>
      <c r="CR680" t="s">
        <v>229</v>
      </c>
      <c r="CS680" t="s">
        <v>108</v>
      </c>
      <c r="CU680" t="s">
        <v>225</v>
      </c>
    </row>
    <row r="681" spans="1:99">
      <c r="A681" t="s">
        <v>111</v>
      </c>
      <c r="B681" t="s">
        <v>77</v>
      </c>
      <c r="J681" t="s">
        <v>225</v>
      </c>
      <c r="K681" t="s">
        <v>225</v>
      </c>
      <c r="M681" s="73">
        <v>45364.91170138889</v>
      </c>
      <c r="N681">
        <v>42298503</v>
      </c>
      <c r="O681">
        <v>2</v>
      </c>
      <c r="P681" t="s">
        <v>45</v>
      </c>
      <c r="Q681">
        <v>2</v>
      </c>
      <c r="R681" t="s">
        <v>45</v>
      </c>
      <c r="U681" t="s">
        <v>226</v>
      </c>
      <c r="V681" t="s">
        <v>445</v>
      </c>
      <c r="W681" t="s">
        <v>237</v>
      </c>
      <c r="X681" t="s">
        <v>229</v>
      </c>
      <c r="Y681" t="s">
        <v>111</v>
      </c>
      <c r="AD681" t="s">
        <v>45</v>
      </c>
      <c r="AE681">
        <v>2</v>
      </c>
      <c r="AF681">
        <v>42298503</v>
      </c>
      <c r="AG681" s="73">
        <v>45364.91170138889</v>
      </c>
      <c r="AH681" t="s">
        <v>226</v>
      </c>
      <c r="AI681" t="s">
        <v>445</v>
      </c>
      <c r="AJ681" t="s">
        <v>237</v>
      </c>
      <c r="AK681" t="s">
        <v>229</v>
      </c>
      <c r="AL681" t="s">
        <v>111</v>
      </c>
      <c r="AP681" t="s">
        <v>230</v>
      </c>
      <c r="AQ681" t="s">
        <v>231</v>
      </c>
      <c r="AT681" t="s">
        <v>232</v>
      </c>
      <c r="AU681">
        <v>-99</v>
      </c>
      <c r="AV681" t="s">
        <v>45</v>
      </c>
      <c r="AW681">
        <v>2</v>
      </c>
      <c r="AX681">
        <v>42298503</v>
      </c>
      <c r="AY681" s="73">
        <v>45364.91170138889</v>
      </c>
      <c r="AZ681" t="s">
        <v>226</v>
      </c>
      <c r="BA681" t="s">
        <v>445</v>
      </c>
      <c r="BB681" t="s">
        <v>237</v>
      </c>
      <c r="BC681" t="s">
        <v>229</v>
      </c>
      <c r="BD681" t="s">
        <v>111</v>
      </c>
      <c r="BI681" t="s">
        <v>233</v>
      </c>
      <c r="BJ681" t="s">
        <v>0</v>
      </c>
      <c r="BK681">
        <v>42298486</v>
      </c>
      <c r="BN681" t="s">
        <v>45</v>
      </c>
      <c r="BO681">
        <v>42298498</v>
      </c>
      <c r="BR681">
        <v>2</v>
      </c>
      <c r="BS681">
        <v>42298503</v>
      </c>
      <c r="BT681" s="73">
        <v>45364.91170138889</v>
      </c>
      <c r="BU681" t="s">
        <v>226</v>
      </c>
      <c r="BV681" t="s">
        <v>445</v>
      </c>
      <c r="BW681" t="s">
        <v>237</v>
      </c>
      <c r="CH681" t="s">
        <v>229</v>
      </c>
      <c r="CI681" t="s">
        <v>111</v>
      </c>
      <c r="CJ681" t="s">
        <v>226</v>
      </c>
      <c r="CK681" t="s">
        <v>445</v>
      </c>
      <c r="CL681" t="s">
        <v>237</v>
      </c>
      <c r="CM681" t="s">
        <v>236</v>
      </c>
      <c r="CN681" t="s">
        <v>45</v>
      </c>
      <c r="CO681">
        <v>2</v>
      </c>
      <c r="CP681">
        <v>42298503</v>
      </c>
      <c r="CQ681" s="73">
        <v>45364.91170138889</v>
      </c>
      <c r="CR681" t="s">
        <v>229</v>
      </c>
      <c r="CS681" t="s">
        <v>111</v>
      </c>
      <c r="CU681" t="s">
        <v>225</v>
      </c>
    </row>
    <row r="682" spans="1:99">
      <c r="A682" t="s">
        <v>52</v>
      </c>
      <c r="B682" t="s">
        <v>92</v>
      </c>
      <c r="J682" t="s">
        <v>225</v>
      </c>
      <c r="K682" t="s">
        <v>225</v>
      </c>
      <c r="M682" s="73">
        <v>45364.910138888888</v>
      </c>
      <c r="N682">
        <v>42298460</v>
      </c>
      <c r="O682">
        <v>-1311</v>
      </c>
      <c r="P682" t="s">
        <v>45</v>
      </c>
      <c r="Q682">
        <v>-1311</v>
      </c>
      <c r="R682" t="s">
        <v>45</v>
      </c>
      <c r="U682" t="s">
        <v>226</v>
      </c>
      <c r="V682" t="s">
        <v>446</v>
      </c>
      <c r="W682" t="s">
        <v>228</v>
      </c>
      <c r="X682" t="s">
        <v>229</v>
      </c>
      <c r="Y682" t="s">
        <v>52</v>
      </c>
      <c r="AD682" t="s">
        <v>45</v>
      </c>
      <c r="AE682">
        <v>-1311</v>
      </c>
      <c r="AF682">
        <v>42298460</v>
      </c>
      <c r="AG682" s="73">
        <v>45364.910138888888</v>
      </c>
      <c r="AH682" t="s">
        <v>226</v>
      </c>
      <c r="AI682" t="s">
        <v>446</v>
      </c>
      <c r="AJ682" t="s">
        <v>228</v>
      </c>
      <c r="AK682" t="s">
        <v>229</v>
      </c>
      <c r="AL682" t="s">
        <v>52</v>
      </c>
      <c r="AP682" t="s">
        <v>230</v>
      </c>
      <c r="AQ682" t="s">
        <v>231</v>
      </c>
      <c r="AT682" t="s">
        <v>232</v>
      </c>
      <c r="AU682">
        <v>-99</v>
      </c>
      <c r="AV682" t="s">
        <v>45</v>
      </c>
      <c r="AW682">
        <v>-1311</v>
      </c>
      <c r="AX682">
        <v>42298460</v>
      </c>
      <c r="AY682" s="73">
        <v>45364.910138888888</v>
      </c>
      <c r="AZ682" t="s">
        <v>226</v>
      </c>
      <c r="BA682" t="s">
        <v>446</v>
      </c>
      <c r="BB682" t="s">
        <v>228</v>
      </c>
      <c r="BC682" t="s">
        <v>229</v>
      </c>
      <c r="BD682" t="s">
        <v>52</v>
      </c>
      <c r="BI682" t="s">
        <v>233</v>
      </c>
      <c r="BJ682" t="s">
        <v>0</v>
      </c>
      <c r="BK682">
        <v>42298444</v>
      </c>
      <c r="BN682" t="s">
        <v>45</v>
      </c>
      <c r="BR682">
        <v>-1311</v>
      </c>
      <c r="BS682">
        <v>42298460</v>
      </c>
      <c r="BT682" s="73">
        <v>45364.910138888888</v>
      </c>
      <c r="BU682" t="s">
        <v>226</v>
      </c>
      <c r="BV682" t="s">
        <v>446</v>
      </c>
      <c r="BW682" t="s">
        <v>228</v>
      </c>
      <c r="CH682" t="s">
        <v>229</v>
      </c>
      <c r="CI682" t="s">
        <v>52</v>
      </c>
      <c r="CJ682" t="s">
        <v>226</v>
      </c>
      <c r="CK682" t="s">
        <v>446</v>
      </c>
      <c r="CL682" t="s">
        <v>228</v>
      </c>
      <c r="CM682" t="s">
        <v>234</v>
      </c>
      <c r="CN682" t="s">
        <v>45</v>
      </c>
      <c r="CO682">
        <v>-1311</v>
      </c>
      <c r="CP682">
        <v>42298460</v>
      </c>
      <c r="CQ682" s="73">
        <v>45364.910138888888</v>
      </c>
      <c r="CR682" t="s">
        <v>229</v>
      </c>
      <c r="CS682" t="s">
        <v>52</v>
      </c>
      <c r="CU682" t="s">
        <v>225</v>
      </c>
    </row>
    <row r="683" spans="1:99">
      <c r="A683" t="s">
        <v>101</v>
      </c>
      <c r="B683" t="s">
        <v>98</v>
      </c>
      <c r="J683" t="s">
        <v>225</v>
      </c>
      <c r="K683" t="s">
        <v>225</v>
      </c>
      <c r="M683" s="73">
        <v>45364.910138888888</v>
      </c>
      <c r="N683">
        <v>42298459</v>
      </c>
      <c r="O683">
        <v>-65.5</v>
      </c>
      <c r="P683" t="s">
        <v>73</v>
      </c>
      <c r="Q683">
        <v>-65.5</v>
      </c>
      <c r="R683" t="s">
        <v>73</v>
      </c>
      <c r="U683" t="s">
        <v>226</v>
      </c>
      <c r="V683" t="s">
        <v>446</v>
      </c>
      <c r="W683" t="s">
        <v>228</v>
      </c>
      <c r="X683" t="s">
        <v>229</v>
      </c>
      <c r="Y683" t="s">
        <v>101</v>
      </c>
      <c r="AD683" t="s">
        <v>73</v>
      </c>
      <c r="AE683">
        <v>-65.5</v>
      </c>
      <c r="AF683">
        <v>42298459</v>
      </c>
      <c r="AG683" s="73">
        <v>45364.910138888888</v>
      </c>
      <c r="AH683" t="s">
        <v>226</v>
      </c>
      <c r="AI683" t="s">
        <v>446</v>
      </c>
      <c r="AJ683" t="s">
        <v>228</v>
      </c>
      <c r="AK683" t="s">
        <v>229</v>
      </c>
      <c r="AL683" t="s">
        <v>101</v>
      </c>
      <c r="AP683" t="s">
        <v>230</v>
      </c>
      <c r="AQ683" t="s">
        <v>231</v>
      </c>
      <c r="AT683" t="s">
        <v>232</v>
      </c>
      <c r="AU683">
        <v>-99</v>
      </c>
      <c r="AV683" t="s">
        <v>73</v>
      </c>
      <c r="AW683">
        <v>-65.5</v>
      </c>
      <c r="AX683">
        <v>42298459</v>
      </c>
      <c r="AY683" s="73">
        <v>45364.910138888888</v>
      </c>
      <c r="AZ683" t="s">
        <v>226</v>
      </c>
      <c r="BA683" t="s">
        <v>446</v>
      </c>
      <c r="BB683" t="s">
        <v>228</v>
      </c>
      <c r="BC683" t="s">
        <v>229</v>
      </c>
      <c r="BD683" t="s">
        <v>101</v>
      </c>
      <c r="BI683" t="s">
        <v>233</v>
      </c>
      <c r="BJ683" t="s">
        <v>0</v>
      </c>
      <c r="BK683">
        <v>42298444</v>
      </c>
      <c r="BN683" t="s">
        <v>73</v>
      </c>
      <c r="BR683">
        <v>-65.5</v>
      </c>
      <c r="BS683">
        <v>42298459</v>
      </c>
      <c r="BT683" s="73">
        <v>45364.910138888888</v>
      </c>
      <c r="BU683" t="s">
        <v>226</v>
      </c>
      <c r="BV683" t="s">
        <v>446</v>
      </c>
      <c r="BW683" t="s">
        <v>228</v>
      </c>
      <c r="CH683" t="s">
        <v>229</v>
      </c>
      <c r="CI683" t="s">
        <v>101</v>
      </c>
      <c r="CJ683" t="s">
        <v>226</v>
      </c>
      <c r="CK683" t="s">
        <v>446</v>
      </c>
      <c r="CL683" t="s">
        <v>228</v>
      </c>
      <c r="CM683" t="s">
        <v>234</v>
      </c>
      <c r="CN683" t="s">
        <v>73</v>
      </c>
      <c r="CO683">
        <v>-65.5</v>
      </c>
      <c r="CP683">
        <v>42298459</v>
      </c>
      <c r="CQ683" s="73">
        <v>45364.910138888888</v>
      </c>
      <c r="CR683" t="s">
        <v>229</v>
      </c>
      <c r="CS683" t="s">
        <v>101</v>
      </c>
      <c r="CU683" t="s">
        <v>225</v>
      </c>
    </row>
    <row r="684" spans="1:99">
      <c r="A684" t="s">
        <v>107</v>
      </c>
      <c r="B684" t="s">
        <v>98</v>
      </c>
      <c r="J684" t="s">
        <v>225</v>
      </c>
      <c r="K684" t="s">
        <v>225</v>
      </c>
      <c r="M684" s="73">
        <v>45364.910138888888</v>
      </c>
      <c r="N684">
        <v>42298458</v>
      </c>
      <c r="O684">
        <v>1310</v>
      </c>
      <c r="P684" t="s">
        <v>104</v>
      </c>
      <c r="Q684">
        <v>1310</v>
      </c>
      <c r="R684" t="s">
        <v>104</v>
      </c>
      <c r="S684">
        <v>65.5</v>
      </c>
      <c r="T684" t="s">
        <v>73</v>
      </c>
      <c r="U684" t="s">
        <v>226</v>
      </c>
      <c r="V684" t="s">
        <v>446</v>
      </c>
      <c r="W684" t="s">
        <v>235</v>
      </c>
      <c r="X684" t="s">
        <v>229</v>
      </c>
      <c r="Y684" t="s">
        <v>107</v>
      </c>
      <c r="AD684" t="s">
        <v>104</v>
      </c>
      <c r="AE684">
        <v>1310</v>
      </c>
      <c r="AF684">
        <v>42298458</v>
      </c>
      <c r="AG684" s="73">
        <v>45364.910138888888</v>
      </c>
      <c r="AH684" t="s">
        <v>226</v>
      </c>
      <c r="AI684" t="s">
        <v>446</v>
      </c>
      <c r="AJ684" t="s">
        <v>235</v>
      </c>
      <c r="AK684" t="s">
        <v>229</v>
      </c>
      <c r="AL684" t="s">
        <v>107</v>
      </c>
      <c r="AP684" t="s">
        <v>230</v>
      </c>
      <c r="AQ684" t="s">
        <v>231</v>
      </c>
      <c r="AT684" t="s">
        <v>232</v>
      </c>
      <c r="AU684">
        <v>-99</v>
      </c>
      <c r="AV684" t="s">
        <v>104</v>
      </c>
      <c r="AW684">
        <v>1310</v>
      </c>
      <c r="AX684">
        <v>42298458</v>
      </c>
      <c r="AY684" s="73">
        <v>45364.910138888888</v>
      </c>
      <c r="AZ684" t="s">
        <v>226</v>
      </c>
      <c r="BA684" t="s">
        <v>446</v>
      </c>
      <c r="BB684" t="s">
        <v>235</v>
      </c>
      <c r="BC684" t="s">
        <v>229</v>
      </c>
      <c r="BD684" t="s">
        <v>107</v>
      </c>
      <c r="BI684" t="s">
        <v>233</v>
      </c>
      <c r="BJ684" t="s">
        <v>0</v>
      </c>
      <c r="BK684">
        <v>42298444</v>
      </c>
      <c r="BN684" t="s">
        <v>104</v>
      </c>
      <c r="BO684">
        <v>42298450</v>
      </c>
      <c r="BR684">
        <v>1310</v>
      </c>
      <c r="BS684">
        <v>42298458</v>
      </c>
      <c r="BT684" s="73">
        <v>45364.910138888888</v>
      </c>
      <c r="BU684" t="s">
        <v>226</v>
      </c>
      <c r="BV684" t="s">
        <v>446</v>
      </c>
      <c r="BW684" t="s">
        <v>235</v>
      </c>
      <c r="CH684" t="s">
        <v>229</v>
      </c>
      <c r="CI684" t="s">
        <v>107</v>
      </c>
      <c r="CJ684" t="s">
        <v>226</v>
      </c>
      <c r="CK684" t="s">
        <v>446</v>
      </c>
      <c r="CL684" t="s">
        <v>235</v>
      </c>
      <c r="CM684" t="s">
        <v>236</v>
      </c>
      <c r="CN684" t="s">
        <v>104</v>
      </c>
      <c r="CO684">
        <v>1310</v>
      </c>
      <c r="CP684">
        <v>42298458</v>
      </c>
      <c r="CQ684" s="73">
        <v>45364.910138888888</v>
      </c>
      <c r="CR684" t="s">
        <v>229</v>
      </c>
      <c r="CS684" t="s">
        <v>107</v>
      </c>
      <c r="CU684" t="s">
        <v>225</v>
      </c>
    </row>
    <row r="685" spans="1:99">
      <c r="A685" t="s">
        <v>111</v>
      </c>
      <c r="B685" t="s">
        <v>77</v>
      </c>
      <c r="J685" t="s">
        <v>225</v>
      </c>
      <c r="K685" t="s">
        <v>225</v>
      </c>
      <c r="M685" s="73">
        <v>45364.910138888888</v>
      </c>
      <c r="N685">
        <v>42298457</v>
      </c>
      <c r="O685">
        <v>1</v>
      </c>
      <c r="P685" t="s">
        <v>45</v>
      </c>
      <c r="Q685">
        <v>1</v>
      </c>
      <c r="R685" t="s">
        <v>45</v>
      </c>
      <c r="U685" t="s">
        <v>226</v>
      </c>
      <c r="V685" t="s">
        <v>446</v>
      </c>
      <c r="W685" t="s">
        <v>237</v>
      </c>
      <c r="X685" t="s">
        <v>229</v>
      </c>
      <c r="Y685" t="s">
        <v>111</v>
      </c>
      <c r="AD685" t="s">
        <v>45</v>
      </c>
      <c r="AE685">
        <v>1</v>
      </c>
      <c r="AF685">
        <v>42298457</v>
      </c>
      <c r="AG685" s="73">
        <v>45364.910138888888</v>
      </c>
      <c r="AH685" t="s">
        <v>226</v>
      </c>
      <c r="AI685" t="s">
        <v>446</v>
      </c>
      <c r="AJ685" t="s">
        <v>237</v>
      </c>
      <c r="AK685" t="s">
        <v>229</v>
      </c>
      <c r="AL685" t="s">
        <v>111</v>
      </c>
      <c r="AP685" t="s">
        <v>230</v>
      </c>
      <c r="AQ685" t="s">
        <v>231</v>
      </c>
      <c r="AT685" t="s">
        <v>232</v>
      </c>
      <c r="AU685">
        <v>-99</v>
      </c>
      <c r="AV685" t="s">
        <v>45</v>
      </c>
      <c r="AW685">
        <v>1</v>
      </c>
      <c r="AX685">
        <v>42298457</v>
      </c>
      <c r="AY685" s="73">
        <v>45364.910138888888</v>
      </c>
      <c r="AZ685" t="s">
        <v>226</v>
      </c>
      <c r="BA685" t="s">
        <v>446</v>
      </c>
      <c r="BB685" t="s">
        <v>237</v>
      </c>
      <c r="BC685" t="s">
        <v>229</v>
      </c>
      <c r="BD685" t="s">
        <v>111</v>
      </c>
      <c r="BI685" t="s">
        <v>233</v>
      </c>
      <c r="BJ685" t="s">
        <v>0</v>
      </c>
      <c r="BK685">
        <v>42298444</v>
      </c>
      <c r="BN685" t="s">
        <v>45</v>
      </c>
      <c r="BO685">
        <v>42298452</v>
      </c>
      <c r="BR685">
        <v>1</v>
      </c>
      <c r="BS685">
        <v>42298457</v>
      </c>
      <c r="BT685" s="73">
        <v>45364.910138888888</v>
      </c>
      <c r="BU685" t="s">
        <v>226</v>
      </c>
      <c r="BV685" t="s">
        <v>446</v>
      </c>
      <c r="BW685" t="s">
        <v>237</v>
      </c>
      <c r="CH685" t="s">
        <v>229</v>
      </c>
      <c r="CI685" t="s">
        <v>111</v>
      </c>
      <c r="CJ685" t="s">
        <v>226</v>
      </c>
      <c r="CK685" t="s">
        <v>446</v>
      </c>
      <c r="CL685" t="s">
        <v>237</v>
      </c>
      <c r="CM685" t="s">
        <v>236</v>
      </c>
      <c r="CN685" t="s">
        <v>45</v>
      </c>
      <c r="CO685">
        <v>1</v>
      </c>
      <c r="CP685">
        <v>42298457</v>
      </c>
      <c r="CQ685" s="73">
        <v>45364.910138888888</v>
      </c>
      <c r="CR685" t="s">
        <v>229</v>
      </c>
      <c r="CS685" t="s">
        <v>111</v>
      </c>
      <c r="CU685" t="s">
        <v>225</v>
      </c>
    </row>
    <row r="686" spans="1:99">
      <c r="A686" t="s">
        <v>99</v>
      </c>
      <c r="B686" t="s">
        <v>98</v>
      </c>
      <c r="J686" t="s">
        <v>225</v>
      </c>
      <c r="K686" t="s">
        <v>225</v>
      </c>
      <c r="M686" s="73">
        <v>45364.590277777781</v>
      </c>
      <c r="N686">
        <v>42291958</v>
      </c>
      <c r="O686">
        <v>1426.72</v>
      </c>
      <c r="P686" t="s">
        <v>73</v>
      </c>
      <c r="Q686">
        <v>1426.72</v>
      </c>
      <c r="R686" t="s">
        <v>73</v>
      </c>
      <c r="U686" t="s">
        <v>226</v>
      </c>
      <c r="V686" t="s">
        <v>447</v>
      </c>
      <c r="W686" t="s">
        <v>235</v>
      </c>
      <c r="X686" t="s">
        <v>229</v>
      </c>
      <c r="Y686" t="s">
        <v>99</v>
      </c>
      <c r="AD686" t="s">
        <v>73</v>
      </c>
      <c r="AE686">
        <v>1426.72</v>
      </c>
      <c r="AF686">
        <v>42291958</v>
      </c>
      <c r="AG686" s="73">
        <v>45364.590277777781</v>
      </c>
      <c r="AH686" t="s">
        <v>226</v>
      </c>
      <c r="AI686" t="s">
        <v>447</v>
      </c>
      <c r="AJ686" t="s">
        <v>235</v>
      </c>
      <c r="AK686" t="s">
        <v>229</v>
      </c>
      <c r="AL686" t="s">
        <v>99</v>
      </c>
      <c r="AP686" t="s">
        <v>230</v>
      </c>
      <c r="AQ686" t="s">
        <v>231</v>
      </c>
      <c r="AT686" t="s">
        <v>232</v>
      </c>
      <c r="AU686">
        <v>-99</v>
      </c>
      <c r="AV686" t="s">
        <v>73</v>
      </c>
      <c r="AW686">
        <v>1426.72</v>
      </c>
      <c r="AX686">
        <v>42291958</v>
      </c>
      <c r="AY686" s="73">
        <v>45364.590277777781</v>
      </c>
      <c r="AZ686" t="s">
        <v>226</v>
      </c>
      <c r="BA686" t="s">
        <v>447</v>
      </c>
      <c r="BB686" t="s">
        <v>235</v>
      </c>
      <c r="BC686" t="s">
        <v>229</v>
      </c>
      <c r="BD686" t="s">
        <v>99</v>
      </c>
      <c r="BI686" t="s">
        <v>233</v>
      </c>
      <c r="BJ686" t="s">
        <v>0</v>
      </c>
      <c r="BK686">
        <v>42291954</v>
      </c>
      <c r="BN686" t="s">
        <v>73</v>
      </c>
      <c r="BO686">
        <v>42291956</v>
      </c>
      <c r="BR686">
        <v>1426.72</v>
      </c>
      <c r="BS686">
        <v>42291958</v>
      </c>
      <c r="BT686" s="73">
        <v>45364.590277777781</v>
      </c>
      <c r="BU686" t="s">
        <v>226</v>
      </c>
      <c r="BV686" t="s">
        <v>447</v>
      </c>
      <c r="BW686" t="s">
        <v>235</v>
      </c>
      <c r="CH686" t="s">
        <v>229</v>
      </c>
      <c r="CI686" t="s">
        <v>99</v>
      </c>
      <c r="CJ686" t="s">
        <v>226</v>
      </c>
      <c r="CK686" t="s">
        <v>447</v>
      </c>
      <c r="CL686" t="s">
        <v>235</v>
      </c>
      <c r="CM686" t="s">
        <v>236</v>
      </c>
      <c r="CN686" t="s">
        <v>73</v>
      </c>
      <c r="CO686">
        <v>1426.72</v>
      </c>
      <c r="CP686">
        <v>42291958</v>
      </c>
      <c r="CQ686" s="73">
        <v>45364.590277777781</v>
      </c>
      <c r="CR686" t="s">
        <v>229</v>
      </c>
      <c r="CS686" t="s">
        <v>99</v>
      </c>
      <c r="CU686" t="s">
        <v>225</v>
      </c>
    </row>
    <row r="687" spans="1:99">
      <c r="A687" t="s">
        <v>71</v>
      </c>
      <c r="B687" t="s">
        <v>77</v>
      </c>
      <c r="J687" t="s">
        <v>225</v>
      </c>
      <c r="K687" t="s">
        <v>225</v>
      </c>
      <c r="M687" s="73">
        <v>45364.590277777781</v>
      </c>
      <c r="N687">
        <v>42291951</v>
      </c>
      <c r="O687">
        <v>0.86</v>
      </c>
      <c r="P687" t="s">
        <v>73</v>
      </c>
      <c r="Q687">
        <v>0.86</v>
      </c>
      <c r="R687" t="s">
        <v>73</v>
      </c>
      <c r="U687" t="s">
        <v>226</v>
      </c>
      <c r="V687" t="s">
        <v>447</v>
      </c>
      <c r="W687" t="s">
        <v>237</v>
      </c>
      <c r="X687" t="s">
        <v>229</v>
      </c>
      <c r="Y687" t="s">
        <v>71</v>
      </c>
      <c r="AD687" t="s">
        <v>73</v>
      </c>
      <c r="AE687">
        <v>0.86</v>
      </c>
      <c r="AF687">
        <v>42291951</v>
      </c>
      <c r="AG687" s="73">
        <v>45364.590277777781</v>
      </c>
      <c r="AH687" t="s">
        <v>226</v>
      </c>
      <c r="AI687" t="s">
        <v>447</v>
      </c>
      <c r="AJ687" t="s">
        <v>237</v>
      </c>
      <c r="AK687" t="s">
        <v>229</v>
      </c>
      <c r="AL687" t="s">
        <v>71</v>
      </c>
      <c r="AP687" t="s">
        <v>230</v>
      </c>
      <c r="AQ687" t="s">
        <v>231</v>
      </c>
      <c r="AT687" t="s">
        <v>232</v>
      </c>
      <c r="AU687">
        <v>-99</v>
      </c>
      <c r="AV687" t="s">
        <v>73</v>
      </c>
      <c r="AW687">
        <v>0.86</v>
      </c>
      <c r="AX687">
        <v>42291951</v>
      </c>
      <c r="AY687" s="73">
        <v>45364.590277777781</v>
      </c>
      <c r="AZ687" t="s">
        <v>226</v>
      </c>
      <c r="BA687" t="s">
        <v>447</v>
      </c>
      <c r="BB687" t="s">
        <v>237</v>
      </c>
      <c r="BC687" t="s">
        <v>229</v>
      </c>
      <c r="BD687" t="s">
        <v>71</v>
      </c>
      <c r="BI687" t="s">
        <v>233</v>
      </c>
      <c r="BJ687" t="s">
        <v>0</v>
      </c>
      <c r="BK687">
        <v>42291947</v>
      </c>
      <c r="BN687" t="s">
        <v>73</v>
      </c>
      <c r="BO687">
        <v>42291949</v>
      </c>
      <c r="BR687">
        <v>0.86</v>
      </c>
      <c r="BS687">
        <v>42291951</v>
      </c>
      <c r="BT687" s="73">
        <v>45364.590277777781</v>
      </c>
      <c r="BU687" t="s">
        <v>226</v>
      </c>
      <c r="BV687" t="s">
        <v>447</v>
      </c>
      <c r="BW687" t="s">
        <v>237</v>
      </c>
      <c r="CH687" t="s">
        <v>229</v>
      </c>
      <c r="CI687" t="s">
        <v>71</v>
      </c>
      <c r="CJ687" t="s">
        <v>226</v>
      </c>
      <c r="CK687" t="s">
        <v>447</v>
      </c>
      <c r="CL687" t="s">
        <v>237</v>
      </c>
      <c r="CM687" t="s">
        <v>236</v>
      </c>
      <c r="CN687" t="s">
        <v>73</v>
      </c>
      <c r="CO687">
        <v>0.86</v>
      </c>
      <c r="CP687">
        <v>42291951</v>
      </c>
      <c r="CQ687" s="73">
        <v>45364.590277777781</v>
      </c>
      <c r="CR687" t="s">
        <v>229</v>
      </c>
      <c r="CS687" t="s">
        <v>71</v>
      </c>
      <c r="CU687" t="s">
        <v>225</v>
      </c>
    </row>
    <row r="688" spans="1:99">
      <c r="A688" t="s">
        <v>131</v>
      </c>
      <c r="B688" t="s">
        <v>90</v>
      </c>
      <c r="J688" t="s">
        <v>225</v>
      </c>
      <c r="K688" t="s">
        <v>225</v>
      </c>
      <c r="M688" s="73">
        <v>45364.590277777781</v>
      </c>
      <c r="N688">
        <v>42291944</v>
      </c>
      <c r="O688">
        <v>-131.80000000000001</v>
      </c>
      <c r="P688" t="s">
        <v>73</v>
      </c>
      <c r="Q688">
        <v>-131.80000000000001</v>
      </c>
      <c r="R688" t="s">
        <v>73</v>
      </c>
      <c r="U688" t="s">
        <v>226</v>
      </c>
      <c r="V688" t="s">
        <v>447</v>
      </c>
      <c r="W688" t="s">
        <v>228</v>
      </c>
      <c r="X688" t="s">
        <v>229</v>
      </c>
      <c r="Y688" t="s">
        <v>131</v>
      </c>
      <c r="AD688" t="s">
        <v>73</v>
      </c>
      <c r="AE688">
        <v>-131.80000000000001</v>
      </c>
      <c r="AF688">
        <v>42291944</v>
      </c>
      <c r="AG688" s="73">
        <v>45364.590277777781</v>
      </c>
      <c r="AH688" t="s">
        <v>226</v>
      </c>
      <c r="AI688" t="s">
        <v>447</v>
      </c>
      <c r="AJ688" t="s">
        <v>228</v>
      </c>
      <c r="AK688" t="s">
        <v>229</v>
      </c>
      <c r="AL688" t="s">
        <v>131</v>
      </c>
      <c r="AP688" t="s">
        <v>230</v>
      </c>
      <c r="AQ688" t="s">
        <v>231</v>
      </c>
      <c r="AT688" t="s">
        <v>232</v>
      </c>
      <c r="AU688">
        <v>-99</v>
      </c>
      <c r="AV688" t="s">
        <v>73</v>
      </c>
      <c r="AW688">
        <v>-131.80000000000001</v>
      </c>
      <c r="AX688">
        <v>42291944</v>
      </c>
      <c r="AY688" s="73">
        <v>45364.590277777781</v>
      </c>
      <c r="AZ688" t="s">
        <v>226</v>
      </c>
      <c r="BA688" t="s">
        <v>447</v>
      </c>
      <c r="BB688" t="s">
        <v>228</v>
      </c>
      <c r="BC688" t="s">
        <v>229</v>
      </c>
      <c r="BD688" t="s">
        <v>131</v>
      </c>
      <c r="BI688" t="s">
        <v>233</v>
      </c>
      <c r="BJ688" t="s">
        <v>0</v>
      </c>
      <c r="BK688">
        <v>42291940</v>
      </c>
      <c r="BN688" t="s">
        <v>73</v>
      </c>
      <c r="BR688">
        <v>-131.80000000000001</v>
      </c>
      <c r="BS688">
        <v>42291944</v>
      </c>
      <c r="BT688" s="73">
        <v>45364.590277777781</v>
      </c>
      <c r="BU688" t="s">
        <v>226</v>
      </c>
      <c r="BV688" t="s">
        <v>447</v>
      </c>
      <c r="BW688" t="s">
        <v>228</v>
      </c>
      <c r="CH688" t="s">
        <v>229</v>
      </c>
      <c r="CI688" t="s">
        <v>131</v>
      </c>
      <c r="CJ688" t="s">
        <v>226</v>
      </c>
      <c r="CK688" t="s">
        <v>447</v>
      </c>
      <c r="CL688" t="s">
        <v>228</v>
      </c>
      <c r="CM688" t="s">
        <v>234</v>
      </c>
      <c r="CN688" t="s">
        <v>73</v>
      </c>
      <c r="CO688">
        <v>-131.80000000000001</v>
      </c>
      <c r="CP688">
        <v>42291944</v>
      </c>
      <c r="CQ688" s="73">
        <v>45364.590277777781</v>
      </c>
      <c r="CR688" t="s">
        <v>229</v>
      </c>
      <c r="CS688" t="s">
        <v>131</v>
      </c>
      <c r="CU688" t="s">
        <v>225</v>
      </c>
    </row>
    <row r="689" spans="1:99">
      <c r="A689" t="s">
        <v>87</v>
      </c>
      <c r="B689" t="s">
        <v>90</v>
      </c>
      <c r="J689" t="s">
        <v>225</v>
      </c>
      <c r="K689" t="s">
        <v>225</v>
      </c>
      <c r="M689" s="73">
        <v>45364.590277777781</v>
      </c>
      <c r="N689">
        <v>42291937</v>
      </c>
      <c r="O689">
        <v>-59</v>
      </c>
      <c r="P689" t="s">
        <v>73</v>
      </c>
      <c r="Q689">
        <v>-59</v>
      </c>
      <c r="R689" t="s">
        <v>73</v>
      </c>
      <c r="U689" t="s">
        <v>226</v>
      </c>
      <c r="V689" t="s">
        <v>447</v>
      </c>
      <c r="W689" t="s">
        <v>228</v>
      </c>
      <c r="X689" t="s">
        <v>229</v>
      </c>
      <c r="Y689" t="s">
        <v>87</v>
      </c>
      <c r="AD689" t="s">
        <v>73</v>
      </c>
      <c r="AE689">
        <v>-59</v>
      </c>
      <c r="AF689">
        <v>42291937</v>
      </c>
      <c r="AG689" s="73">
        <v>45364.590277777781</v>
      </c>
      <c r="AH689" t="s">
        <v>226</v>
      </c>
      <c r="AI689" t="s">
        <v>447</v>
      </c>
      <c r="AJ689" t="s">
        <v>228</v>
      </c>
      <c r="AK689" t="s">
        <v>229</v>
      </c>
      <c r="AL689" t="s">
        <v>87</v>
      </c>
      <c r="AP689" t="s">
        <v>230</v>
      </c>
      <c r="AQ689" t="s">
        <v>231</v>
      </c>
      <c r="AT689" t="s">
        <v>232</v>
      </c>
      <c r="AU689">
        <v>-99</v>
      </c>
      <c r="AV689" t="s">
        <v>73</v>
      </c>
      <c r="AW689">
        <v>-59</v>
      </c>
      <c r="AX689">
        <v>42291937</v>
      </c>
      <c r="AY689" s="73">
        <v>45364.590277777781</v>
      </c>
      <c r="AZ689" t="s">
        <v>226</v>
      </c>
      <c r="BA689" t="s">
        <v>447</v>
      </c>
      <c r="BB689" t="s">
        <v>228</v>
      </c>
      <c r="BC689" t="s">
        <v>229</v>
      </c>
      <c r="BD689" t="s">
        <v>87</v>
      </c>
      <c r="BI689" t="s">
        <v>233</v>
      </c>
      <c r="BJ689" t="s">
        <v>0</v>
      </c>
      <c r="BK689">
        <v>42291933</v>
      </c>
      <c r="BN689" t="s">
        <v>73</v>
      </c>
      <c r="BR689">
        <v>-59</v>
      </c>
      <c r="BS689">
        <v>42291937</v>
      </c>
      <c r="BT689" s="73">
        <v>45364.590277777781</v>
      </c>
      <c r="BU689" t="s">
        <v>226</v>
      </c>
      <c r="BV689" t="s">
        <v>447</v>
      </c>
      <c r="BW689" t="s">
        <v>228</v>
      </c>
      <c r="CH689" t="s">
        <v>229</v>
      </c>
      <c r="CI689" t="s">
        <v>87</v>
      </c>
      <c r="CJ689" t="s">
        <v>226</v>
      </c>
      <c r="CK689" t="s">
        <v>447</v>
      </c>
      <c r="CL689" t="s">
        <v>228</v>
      </c>
      <c r="CM689" t="s">
        <v>234</v>
      </c>
      <c r="CN689" t="s">
        <v>73</v>
      </c>
      <c r="CO689">
        <v>-59</v>
      </c>
      <c r="CP689">
        <v>42291937</v>
      </c>
      <c r="CQ689" s="73">
        <v>45364.590277777781</v>
      </c>
      <c r="CR689" t="s">
        <v>229</v>
      </c>
      <c r="CS689" t="s">
        <v>87</v>
      </c>
      <c r="CU689" t="s">
        <v>225</v>
      </c>
    </row>
    <row r="690" spans="1:99">
      <c r="A690" t="s">
        <v>133</v>
      </c>
      <c r="B690" t="s">
        <v>90</v>
      </c>
      <c r="J690" t="s">
        <v>225</v>
      </c>
      <c r="K690" t="s">
        <v>225</v>
      </c>
      <c r="M690" s="73">
        <v>45364.590277777781</v>
      </c>
      <c r="N690">
        <v>42291930</v>
      </c>
      <c r="O690">
        <v>-620.5</v>
      </c>
      <c r="P690" t="s">
        <v>73</v>
      </c>
      <c r="Q690">
        <v>-620.5</v>
      </c>
      <c r="R690" t="s">
        <v>73</v>
      </c>
      <c r="U690" t="s">
        <v>226</v>
      </c>
      <c r="V690" t="s">
        <v>447</v>
      </c>
      <c r="W690" t="s">
        <v>228</v>
      </c>
      <c r="X690" t="s">
        <v>229</v>
      </c>
      <c r="Y690" t="s">
        <v>133</v>
      </c>
      <c r="AD690" t="s">
        <v>73</v>
      </c>
      <c r="AE690">
        <v>-620.5</v>
      </c>
      <c r="AF690">
        <v>42291930</v>
      </c>
      <c r="AG690" s="73">
        <v>45364.590277777781</v>
      </c>
      <c r="AH690" t="s">
        <v>226</v>
      </c>
      <c r="AI690" t="s">
        <v>447</v>
      </c>
      <c r="AJ690" t="s">
        <v>228</v>
      </c>
      <c r="AK690" t="s">
        <v>229</v>
      </c>
      <c r="AL690" t="s">
        <v>133</v>
      </c>
      <c r="AP690" t="s">
        <v>230</v>
      </c>
      <c r="AQ690" t="s">
        <v>231</v>
      </c>
      <c r="AT690" t="s">
        <v>232</v>
      </c>
      <c r="AU690">
        <v>-99</v>
      </c>
      <c r="AV690" t="s">
        <v>73</v>
      </c>
      <c r="AW690">
        <v>-620.5</v>
      </c>
      <c r="AX690">
        <v>42291930</v>
      </c>
      <c r="AY690" s="73">
        <v>45364.590277777781</v>
      </c>
      <c r="AZ690" t="s">
        <v>226</v>
      </c>
      <c r="BA690" t="s">
        <v>447</v>
      </c>
      <c r="BB690" t="s">
        <v>228</v>
      </c>
      <c r="BC690" t="s">
        <v>229</v>
      </c>
      <c r="BD690" t="s">
        <v>133</v>
      </c>
      <c r="BI690" t="s">
        <v>233</v>
      </c>
      <c r="BJ690" t="s">
        <v>0</v>
      </c>
      <c r="BK690">
        <v>42291926</v>
      </c>
      <c r="BN690" t="s">
        <v>73</v>
      </c>
      <c r="BR690">
        <v>-620.5</v>
      </c>
      <c r="BS690">
        <v>42291930</v>
      </c>
      <c r="BT690" s="73">
        <v>45364.590277777781</v>
      </c>
      <c r="BU690" t="s">
        <v>226</v>
      </c>
      <c r="BV690" t="s">
        <v>447</v>
      </c>
      <c r="BW690" t="s">
        <v>228</v>
      </c>
      <c r="CH690" t="s">
        <v>229</v>
      </c>
      <c r="CI690" t="s">
        <v>133</v>
      </c>
      <c r="CJ690" t="s">
        <v>226</v>
      </c>
      <c r="CK690" t="s">
        <v>447</v>
      </c>
      <c r="CL690" t="s">
        <v>228</v>
      </c>
      <c r="CM690" t="s">
        <v>234</v>
      </c>
      <c r="CN690" t="s">
        <v>73</v>
      </c>
      <c r="CO690">
        <v>-620.5</v>
      </c>
      <c r="CP690">
        <v>42291930</v>
      </c>
      <c r="CQ690" s="73">
        <v>45364.590277777781</v>
      </c>
      <c r="CR690" t="s">
        <v>229</v>
      </c>
      <c r="CS690" t="s">
        <v>133</v>
      </c>
      <c r="CU690" t="s">
        <v>225</v>
      </c>
    </row>
    <row r="691" spans="1:99">
      <c r="A691" t="s">
        <v>127</v>
      </c>
      <c r="B691" t="s">
        <v>90</v>
      </c>
      <c r="J691" t="s">
        <v>225</v>
      </c>
      <c r="K691" t="s">
        <v>225</v>
      </c>
      <c r="M691" s="73">
        <v>45364.590277777781</v>
      </c>
      <c r="N691">
        <v>42291923</v>
      </c>
      <c r="O691">
        <v>-666</v>
      </c>
      <c r="P691" t="s">
        <v>73</v>
      </c>
      <c r="Q691">
        <v>-666</v>
      </c>
      <c r="R691" t="s">
        <v>73</v>
      </c>
      <c r="U691" t="s">
        <v>226</v>
      </c>
      <c r="V691" t="s">
        <v>447</v>
      </c>
      <c r="W691" t="s">
        <v>228</v>
      </c>
      <c r="X691" t="s">
        <v>229</v>
      </c>
      <c r="Y691" t="s">
        <v>127</v>
      </c>
      <c r="AD691" t="s">
        <v>73</v>
      </c>
      <c r="AE691">
        <v>-666</v>
      </c>
      <c r="AF691">
        <v>42291923</v>
      </c>
      <c r="AG691" s="73">
        <v>45364.590277777781</v>
      </c>
      <c r="AH691" t="s">
        <v>226</v>
      </c>
      <c r="AI691" t="s">
        <v>447</v>
      </c>
      <c r="AJ691" t="s">
        <v>228</v>
      </c>
      <c r="AK691" t="s">
        <v>229</v>
      </c>
      <c r="AL691" t="s">
        <v>127</v>
      </c>
      <c r="AP691" t="s">
        <v>230</v>
      </c>
      <c r="AQ691" t="s">
        <v>231</v>
      </c>
      <c r="AT691" t="s">
        <v>232</v>
      </c>
      <c r="AU691">
        <v>-99</v>
      </c>
      <c r="AV691" t="s">
        <v>73</v>
      </c>
      <c r="AW691">
        <v>-666</v>
      </c>
      <c r="AX691">
        <v>42291923</v>
      </c>
      <c r="AY691" s="73">
        <v>45364.590277777781</v>
      </c>
      <c r="AZ691" t="s">
        <v>226</v>
      </c>
      <c r="BA691" t="s">
        <v>447</v>
      </c>
      <c r="BB691" t="s">
        <v>228</v>
      </c>
      <c r="BC691" t="s">
        <v>229</v>
      </c>
      <c r="BD691" t="s">
        <v>127</v>
      </c>
      <c r="BI691" t="s">
        <v>233</v>
      </c>
      <c r="BJ691" t="s">
        <v>0</v>
      </c>
      <c r="BK691">
        <v>42291919</v>
      </c>
      <c r="BN691" t="s">
        <v>73</v>
      </c>
      <c r="BR691">
        <v>-666</v>
      </c>
      <c r="BS691">
        <v>42291923</v>
      </c>
      <c r="BT691" s="73">
        <v>45364.590277777781</v>
      </c>
      <c r="BU691" t="s">
        <v>226</v>
      </c>
      <c r="BV691" t="s">
        <v>447</v>
      </c>
      <c r="BW691" t="s">
        <v>228</v>
      </c>
      <c r="CH691" t="s">
        <v>229</v>
      </c>
      <c r="CI691" t="s">
        <v>127</v>
      </c>
      <c r="CJ691" t="s">
        <v>226</v>
      </c>
      <c r="CK691" t="s">
        <v>447</v>
      </c>
      <c r="CL691" t="s">
        <v>228</v>
      </c>
      <c r="CM691" t="s">
        <v>234</v>
      </c>
      <c r="CN691" t="s">
        <v>73</v>
      </c>
      <c r="CO691">
        <v>-666</v>
      </c>
      <c r="CP691">
        <v>42291923</v>
      </c>
      <c r="CQ691" s="73">
        <v>45364.590277777781</v>
      </c>
      <c r="CR691" t="s">
        <v>229</v>
      </c>
      <c r="CS691" t="s">
        <v>127</v>
      </c>
      <c r="CU691" t="s">
        <v>225</v>
      </c>
    </row>
    <row r="692" spans="1:99">
      <c r="A692" t="s">
        <v>42</v>
      </c>
      <c r="B692" t="s">
        <v>92</v>
      </c>
      <c r="J692" t="s">
        <v>225</v>
      </c>
      <c r="K692" t="s">
        <v>225</v>
      </c>
      <c r="M692" s="73">
        <v>45364.287499999999</v>
      </c>
      <c r="N692">
        <v>42289411</v>
      </c>
      <c r="O692">
        <v>-2410</v>
      </c>
      <c r="P692" t="s">
        <v>45</v>
      </c>
      <c r="Q692">
        <v>-2410</v>
      </c>
      <c r="R692" t="s">
        <v>45</v>
      </c>
      <c r="U692" t="s">
        <v>226</v>
      </c>
      <c r="V692" t="s">
        <v>448</v>
      </c>
      <c r="W692" t="s">
        <v>228</v>
      </c>
      <c r="X692" t="s">
        <v>229</v>
      </c>
      <c r="Y692" t="s">
        <v>42</v>
      </c>
      <c r="AD692" t="s">
        <v>45</v>
      </c>
      <c r="AE692">
        <v>-2410</v>
      </c>
      <c r="AF692">
        <v>42289411</v>
      </c>
      <c r="AG692" s="73">
        <v>45364.287499999999</v>
      </c>
      <c r="AH692" t="s">
        <v>226</v>
      </c>
      <c r="AI692" t="s">
        <v>448</v>
      </c>
      <c r="AJ692" t="s">
        <v>228</v>
      </c>
      <c r="AK692" t="s">
        <v>229</v>
      </c>
      <c r="AL692" t="s">
        <v>42</v>
      </c>
      <c r="AP692" t="s">
        <v>230</v>
      </c>
      <c r="AQ692" t="s">
        <v>231</v>
      </c>
      <c r="AT692" t="s">
        <v>232</v>
      </c>
      <c r="AU692">
        <v>-99</v>
      </c>
      <c r="AV692" t="s">
        <v>45</v>
      </c>
      <c r="AW692">
        <v>-2410</v>
      </c>
      <c r="AX692">
        <v>42289411</v>
      </c>
      <c r="AY692" s="73">
        <v>45364.287499999999</v>
      </c>
      <c r="AZ692" t="s">
        <v>226</v>
      </c>
      <c r="BA692" t="s">
        <v>448</v>
      </c>
      <c r="BB692" t="s">
        <v>228</v>
      </c>
      <c r="BC692" t="s">
        <v>229</v>
      </c>
      <c r="BD692" t="s">
        <v>42</v>
      </c>
      <c r="BI692" t="s">
        <v>233</v>
      </c>
      <c r="BJ692" t="s">
        <v>0</v>
      </c>
      <c r="BK692">
        <v>42289381</v>
      </c>
      <c r="BN692" t="s">
        <v>45</v>
      </c>
      <c r="BR692">
        <v>-2410</v>
      </c>
      <c r="BS692">
        <v>42289411</v>
      </c>
      <c r="BT692" s="73">
        <v>45364.287499999999</v>
      </c>
      <c r="BU692" t="s">
        <v>226</v>
      </c>
      <c r="BV692" t="s">
        <v>448</v>
      </c>
      <c r="BW692" t="s">
        <v>228</v>
      </c>
      <c r="CH692" t="s">
        <v>229</v>
      </c>
      <c r="CI692" t="s">
        <v>42</v>
      </c>
      <c r="CJ692" t="s">
        <v>226</v>
      </c>
      <c r="CK692" t="s">
        <v>448</v>
      </c>
      <c r="CL692" t="s">
        <v>228</v>
      </c>
      <c r="CM692" t="s">
        <v>234</v>
      </c>
      <c r="CN692" t="s">
        <v>45</v>
      </c>
      <c r="CO692">
        <v>-2410</v>
      </c>
      <c r="CP692">
        <v>42289411</v>
      </c>
      <c r="CQ692" s="73">
        <v>45364.287499999999</v>
      </c>
      <c r="CR692" t="s">
        <v>229</v>
      </c>
      <c r="CS692" t="s">
        <v>42</v>
      </c>
      <c r="CU692" t="s">
        <v>225</v>
      </c>
    </row>
    <row r="693" spans="1:99">
      <c r="A693" t="s">
        <v>99</v>
      </c>
      <c r="B693" t="s">
        <v>98</v>
      </c>
      <c r="J693" t="s">
        <v>225</v>
      </c>
      <c r="K693" t="s">
        <v>225</v>
      </c>
      <c r="M693" s="73">
        <v>45364.287499999999</v>
      </c>
      <c r="N693">
        <v>42289410</v>
      </c>
      <c r="O693">
        <v>-120</v>
      </c>
      <c r="P693" t="s">
        <v>73</v>
      </c>
      <c r="Q693">
        <v>-120</v>
      </c>
      <c r="R693" t="s">
        <v>73</v>
      </c>
      <c r="U693" t="s">
        <v>226</v>
      </c>
      <c r="V693" t="s">
        <v>448</v>
      </c>
      <c r="W693" t="s">
        <v>228</v>
      </c>
      <c r="X693" t="s">
        <v>229</v>
      </c>
      <c r="Y693" t="s">
        <v>99</v>
      </c>
      <c r="AD693" t="s">
        <v>73</v>
      </c>
      <c r="AE693">
        <v>-120</v>
      </c>
      <c r="AF693">
        <v>42289410</v>
      </c>
      <c r="AG693" s="73">
        <v>45364.287499999999</v>
      </c>
      <c r="AH693" t="s">
        <v>226</v>
      </c>
      <c r="AI693" t="s">
        <v>448</v>
      </c>
      <c r="AJ693" t="s">
        <v>228</v>
      </c>
      <c r="AK693" t="s">
        <v>229</v>
      </c>
      <c r="AL693" t="s">
        <v>99</v>
      </c>
      <c r="AP693" t="s">
        <v>230</v>
      </c>
      <c r="AQ693" t="s">
        <v>231</v>
      </c>
      <c r="AT693" t="s">
        <v>232</v>
      </c>
      <c r="AU693">
        <v>-99</v>
      </c>
      <c r="AV693" t="s">
        <v>73</v>
      </c>
      <c r="AW693">
        <v>-120</v>
      </c>
      <c r="AX693">
        <v>42289410</v>
      </c>
      <c r="AY693" s="73">
        <v>45364.287499999999</v>
      </c>
      <c r="AZ693" t="s">
        <v>226</v>
      </c>
      <c r="BA693" t="s">
        <v>448</v>
      </c>
      <c r="BB693" t="s">
        <v>228</v>
      </c>
      <c r="BC693" t="s">
        <v>229</v>
      </c>
      <c r="BD693" t="s">
        <v>99</v>
      </c>
      <c r="BI693" t="s">
        <v>233</v>
      </c>
      <c r="BJ693" t="s">
        <v>0</v>
      </c>
      <c r="BK693">
        <v>42289381</v>
      </c>
      <c r="BN693" t="s">
        <v>73</v>
      </c>
      <c r="BR693">
        <v>-120</v>
      </c>
      <c r="BS693">
        <v>42289410</v>
      </c>
      <c r="BT693" s="73">
        <v>45364.287499999999</v>
      </c>
      <c r="BU693" t="s">
        <v>226</v>
      </c>
      <c r="BV693" t="s">
        <v>448</v>
      </c>
      <c r="BW693" t="s">
        <v>228</v>
      </c>
      <c r="CH693" t="s">
        <v>229</v>
      </c>
      <c r="CI693" t="s">
        <v>99</v>
      </c>
      <c r="CJ693" t="s">
        <v>226</v>
      </c>
      <c r="CK693" t="s">
        <v>448</v>
      </c>
      <c r="CL693" t="s">
        <v>228</v>
      </c>
      <c r="CM693" t="s">
        <v>234</v>
      </c>
      <c r="CN693" t="s">
        <v>73</v>
      </c>
      <c r="CO693">
        <v>-120</v>
      </c>
      <c r="CP693">
        <v>42289410</v>
      </c>
      <c r="CQ693" s="73">
        <v>45364.287499999999</v>
      </c>
      <c r="CR693" t="s">
        <v>229</v>
      </c>
      <c r="CS693" t="s">
        <v>99</v>
      </c>
      <c r="CU693" t="s">
        <v>225</v>
      </c>
    </row>
    <row r="694" spans="1:99">
      <c r="A694" t="s">
        <v>103</v>
      </c>
      <c r="B694" t="s">
        <v>98</v>
      </c>
      <c r="J694" t="s">
        <v>225</v>
      </c>
      <c r="K694" t="s">
        <v>225</v>
      </c>
      <c r="M694" s="73">
        <v>45364.287499999999</v>
      </c>
      <c r="N694">
        <v>42289409</v>
      </c>
      <c r="O694">
        <v>2400</v>
      </c>
      <c r="P694" t="s">
        <v>104</v>
      </c>
      <c r="Q694">
        <v>2400</v>
      </c>
      <c r="R694" t="s">
        <v>104</v>
      </c>
      <c r="S694">
        <v>120</v>
      </c>
      <c r="T694" t="s">
        <v>73</v>
      </c>
      <c r="U694" t="s">
        <v>226</v>
      </c>
      <c r="V694" t="s">
        <v>448</v>
      </c>
      <c r="W694" t="s">
        <v>235</v>
      </c>
      <c r="X694" t="s">
        <v>229</v>
      </c>
      <c r="Y694" t="s">
        <v>103</v>
      </c>
      <c r="AD694" t="s">
        <v>104</v>
      </c>
      <c r="AE694">
        <v>2400</v>
      </c>
      <c r="AF694">
        <v>42289409</v>
      </c>
      <c r="AG694" s="73">
        <v>45364.287499999999</v>
      </c>
      <c r="AH694" t="s">
        <v>226</v>
      </c>
      <c r="AI694" t="s">
        <v>448</v>
      </c>
      <c r="AJ694" t="s">
        <v>235</v>
      </c>
      <c r="AK694" t="s">
        <v>229</v>
      </c>
      <c r="AL694" t="s">
        <v>103</v>
      </c>
      <c r="AP694" t="s">
        <v>230</v>
      </c>
      <c r="AQ694" t="s">
        <v>231</v>
      </c>
      <c r="AT694" t="s">
        <v>232</v>
      </c>
      <c r="AU694">
        <v>-99</v>
      </c>
      <c r="AV694" t="s">
        <v>104</v>
      </c>
      <c r="AW694">
        <v>2400</v>
      </c>
      <c r="AX694">
        <v>42289409</v>
      </c>
      <c r="AY694" s="73">
        <v>45364.287499999999</v>
      </c>
      <c r="AZ694" t="s">
        <v>226</v>
      </c>
      <c r="BA694" t="s">
        <v>448</v>
      </c>
      <c r="BB694" t="s">
        <v>235</v>
      </c>
      <c r="BC694" t="s">
        <v>229</v>
      </c>
      <c r="BD694" t="s">
        <v>103</v>
      </c>
      <c r="BI694" t="s">
        <v>233</v>
      </c>
      <c r="BJ694" t="s">
        <v>0</v>
      </c>
      <c r="BK694">
        <v>42289381</v>
      </c>
      <c r="BN694" t="s">
        <v>104</v>
      </c>
      <c r="BO694">
        <v>42289389</v>
      </c>
      <c r="BR694">
        <v>2400</v>
      </c>
      <c r="BS694">
        <v>42289409</v>
      </c>
      <c r="BT694" s="73">
        <v>45364.287499999999</v>
      </c>
      <c r="BU694" t="s">
        <v>226</v>
      </c>
      <c r="BV694" t="s">
        <v>448</v>
      </c>
      <c r="BW694" t="s">
        <v>235</v>
      </c>
      <c r="CH694" t="s">
        <v>229</v>
      </c>
      <c r="CI694" t="s">
        <v>103</v>
      </c>
      <c r="CJ694" t="s">
        <v>226</v>
      </c>
      <c r="CK694" t="s">
        <v>448</v>
      </c>
      <c r="CL694" t="s">
        <v>235</v>
      </c>
      <c r="CM694" t="s">
        <v>236</v>
      </c>
      <c r="CN694" t="s">
        <v>104</v>
      </c>
      <c r="CO694">
        <v>2400</v>
      </c>
      <c r="CP694">
        <v>42289409</v>
      </c>
      <c r="CQ694" s="73">
        <v>45364.287499999999</v>
      </c>
      <c r="CR694" t="s">
        <v>229</v>
      </c>
      <c r="CS694" t="s">
        <v>103</v>
      </c>
      <c r="CU694" t="s">
        <v>225</v>
      </c>
    </row>
    <row r="695" spans="1:99">
      <c r="A695" t="s">
        <v>111</v>
      </c>
      <c r="B695" t="s">
        <v>77</v>
      </c>
      <c r="J695" t="s">
        <v>225</v>
      </c>
      <c r="K695" t="s">
        <v>225</v>
      </c>
      <c r="M695" s="73">
        <v>45364.287499999999</v>
      </c>
      <c r="N695">
        <v>42289408</v>
      </c>
      <c r="O695">
        <v>10</v>
      </c>
      <c r="P695" t="s">
        <v>45</v>
      </c>
      <c r="Q695">
        <v>10</v>
      </c>
      <c r="R695" t="s">
        <v>45</v>
      </c>
      <c r="U695" t="s">
        <v>226</v>
      </c>
      <c r="V695" t="s">
        <v>448</v>
      </c>
      <c r="W695" t="s">
        <v>237</v>
      </c>
      <c r="X695" t="s">
        <v>229</v>
      </c>
      <c r="Y695" t="s">
        <v>111</v>
      </c>
      <c r="AD695" t="s">
        <v>45</v>
      </c>
      <c r="AE695">
        <v>10</v>
      </c>
      <c r="AF695">
        <v>42289408</v>
      </c>
      <c r="AG695" s="73">
        <v>45364.287499999999</v>
      </c>
      <c r="AH695" t="s">
        <v>226</v>
      </c>
      <c r="AI695" t="s">
        <v>448</v>
      </c>
      <c r="AJ695" t="s">
        <v>237</v>
      </c>
      <c r="AK695" t="s">
        <v>229</v>
      </c>
      <c r="AL695" t="s">
        <v>111</v>
      </c>
      <c r="AP695" t="s">
        <v>230</v>
      </c>
      <c r="AQ695" t="s">
        <v>231</v>
      </c>
      <c r="AT695" t="s">
        <v>232</v>
      </c>
      <c r="AU695">
        <v>-99</v>
      </c>
      <c r="AV695" t="s">
        <v>45</v>
      </c>
      <c r="AW695">
        <v>10</v>
      </c>
      <c r="AX695">
        <v>42289408</v>
      </c>
      <c r="AY695" s="73">
        <v>45364.287499999999</v>
      </c>
      <c r="AZ695" t="s">
        <v>226</v>
      </c>
      <c r="BA695" t="s">
        <v>448</v>
      </c>
      <c r="BB695" t="s">
        <v>237</v>
      </c>
      <c r="BC695" t="s">
        <v>229</v>
      </c>
      <c r="BD695" t="s">
        <v>111</v>
      </c>
      <c r="BI695" t="s">
        <v>233</v>
      </c>
      <c r="BJ695" t="s">
        <v>0</v>
      </c>
      <c r="BK695">
        <v>42289381</v>
      </c>
      <c r="BN695" t="s">
        <v>45</v>
      </c>
      <c r="BO695">
        <v>42289403</v>
      </c>
      <c r="BR695">
        <v>10</v>
      </c>
      <c r="BS695">
        <v>42289408</v>
      </c>
      <c r="BT695" s="73">
        <v>45364.287499999999</v>
      </c>
      <c r="BU695" t="s">
        <v>226</v>
      </c>
      <c r="BV695" t="s">
        <v>448</v>
      </c>
      <c r="BW695" t="s">
        <v>237</v>
      </c>
      <c r="CH695" t="s">
        <v>229</v>
      </c>
      <c r="CI695" t="s">
        <v>111</v>
      </c>
      <c r="CJ695" t="s">
        <v>226</v>
      </c>
      <c r="CK695" t="s">
        <v>448</v>
      </c>
      <c r="CL695" t="s">
        <v>237</v>
      </c>
      <c r="CM695" t="s">
        <v>236</v>
      </c>
      <c r="CN695" t="s">
        <v>45</v>
      </c>
      <c r="CO695">
        <v>10</v>
      </c>
      <c r="CP695">
        <v>42289408</v>
      </c>
      <c r="CQ695" s="73">
        <v>45364.287499999999</v>
      </c>
      <c r="CR695" t="s">
        <v>229</v>
      </c>
      <c r="CS695" t="s">
        <v>111</v>
      </c>
      <c r="CU695" t="s">
        <v>225</v>
      </c>
    </row>
    <row r="696" spans="1:99">
      <c r="A696" t="s">
        <v>52</v>
      </c>
      <c r="B696" t="s">
        <v>92</v>
      </c>
      <c r="J696" t="s">
        <v>225</v>
      </c>
      <c r="K696" t="s">
        <v>225</v>
      </c>
      <c r="M696" s="73">
        <v>45364.286111111112</v>
      </c>
      <c r="N696">
        <v>42289376</v>
      </c>
      <c r="O696">
        <v>-200</v>
      </c>
      <c r="P696" t="s">
        <v>45</v>
      </c>
      <c r="Q696">
        <v>-200</v>
      </c>
      <c r="R696" t="s">
        <v>45</v>
      </c>
      <c r="U696" t="s">
        <v>226</v>
      </c>
      <c r="V696" t="s">
        <v>449</v>
      </c>
      <c r="W696" t="s">
        <v>228</v>
      </c>
      <c r="X696" t="s">
        <v>229</v>
      </c>
      <c r="Y696" t="s">
        <v>52</v>
      </c>
      <c r="AD696" t="s">
        <v>45</v>
      </c>
      <c r="AE696">
        <v>-200</v>
      </c>
      <c r="AF696">
        <v>42289376</v>
      </c>
      <c r="AG696" s="73">
        <v>45364.286111111112</v>
      </c>
      <c r="AH696" t="s">
        <v>226</v>
      </c>
      <c r="AI696" t="s">
        <v>449</v>
      </c>
      <c r="AJ696" t="s">
        <v>228</v>
      </c>
      <c r="AK696" t="s">
        <v>229</v>
      </c>
      <c r="AL696" t="s">
        <v>52</v>
      </c>
      <c r="AP696" t="s">
        <v>230</v>
      </c>
      <c r="AQ696" t="s">
        <v>231</v>
      </c>
      <c r="AT696" t="s">
        <v>232</v>
      </c>
      <c r="AU696">
        <v>-99</v>
      </c>
      <c r="AV696" t="s">
        <v>45</v>
      </c>
      <c r="AW696">
        <v>-200</v>
      </c>
      <c r="AX696">
        <v>42289376</v>
      </c>
      <c r="AY696" s="73">
        <v>45364.286111111112</v>
      </c>
      <c r="AZ696" t="s">
        <v>226</v>
      </c>
      <c r="BA696" t="s">
        <v>449</v>
      </c>
      <c r="BB696" t="s">
        <v>228</v>
      </c>
      <c r="BC696" t="s">
        <v>229</v>
      </c>
      <c r="BD696" t="s">
        <v>52</v>
      </c>
      <c r="BI696" t="s">
        <v>233</v>
      </c>
      <c r="BJ696" t="s">
        <v>0</v>
      </c>
      <c r="BK696">
        <v>42289352</v>
      </c>
      <c r="BN696" t="s">
        <v>45</v>
      </c>
      <c r="BR696">
        <v>-200</v>
      </c>
      <c r="BS696">
        <v>42289376</v>
      </c>
      <c r="BT696" s="73">
        <v>45364.286111111112</v>
      </c>
      <c r="BU696" t="s">
        <v>226</v>
      </c>
      <c r="BV696" t="s">
        <v>449</v>
      </c>
      <c r="BW696" t="s">
        <v>228</v>
      </c>
      <c r="CH696" t="s">
        <v>229</v>
      </c>
      <c r="CI696" t="s">
        <v>52</v>
      </c>
      <c r="CJ696" t="s">
        <v>226</v>
      </c>
      <c r="CK696" t="s">
        <v>449</v>
      </c>
      <c r="CL696" t="s">
        <v>228</v>
      </c>
      <c r="CM696" t="s">
        <v>234</v>
      </c>
      <c r="CN696" t="s">
        <v>45</v>
      </c>
      <c r="CO696">
        <v>-200</v>
      </c>
      <c r="CP696">
        <v>42289376</v>
      </c>
      <c r="CQ696" s="73">
        <v>45364.286111111112</v>
      </c>
      <c r="CR696" t="s">
        <v>229</v>
      </c>
      <c r="CS696" t="s">
        <v>52</v>
      </c>
      <c r="CU696" t="s">
        <v>225</v>
      </c>
    </row>
    <row r="697" spans="1:99">
      <c r="A697" t="s">
        <v>101</v>
      </c>
      <c r="B697" t="s">
        <v>98</v>
      </c>
      <c r="J697" t="s">
        <v>225</v>
      </c>
      <c r="K697" t="s">
        <v>225</v>
      </c>
      <c r="M697" s="73">
        <v>45364.286111111112</v>
      </c>
      <c r="N697">
        <v>42289375</v>
      </c>
      <c r="O697">
        <v>-10</v>
      </c>
      <c r="P697" t="s">
        <v>73</v>
      </c>
      <c r="Q697">
        <v>-10</v>
      </c>
      <c r="R697" t="s">
        <v>73</v>
      </c>
      <c r="U697" t="s">
        <v>226</v>
      </c>
      <c r="V697" t="s">
        <v>449</v>
      </c>
      <c r="W697" t="s">
        <v>228</v>
      </c>
      <c r="X697" t="s">
        <v>229</v>
      </c>
      <c r="Y697" t="s">
        <v>101</v>
      </c>
      <c r="AD697" t="s">
        <v>73</v>
      </c>
      <c r="AE697">
        <v>-10</v>
      </c>
      <c r="AF697">
        <v>42289375</v>
      </c>
      <c r="AG697" s="73">
        <v>45364.286111111112</v>
      </c>
      <c r="AH697" t="s">
        <v>226</v>
      </c>
      <c r="AI697" t="s">
        <v>449</v>
      </c>
      <c r="AJ697" t="s">
        <v>228</v>
      </c>
      <c r="AK697" t="s">
        <v>229</v>
      </c>
      <c r="AL697" t="s">
        <v>101</v>
      </c>
      <c r="AP697" t="s">
        <v>230</v>
      </c>
      <c r="AQ697" t="s">
        <v>231</v>
      </c>
      <c r="AT697" t="s">
        <v>232</v>
      </c>
      <c r="AU697">
        <v>-99</v>
      </c>
      <c r="AV697" t="s">
        <v>73</v>
      </c>
      <c r="AW697">
        <v>-10</v>
      </c>
      <c r="AX697">
        <v>42289375</v>
      </c>
      <c r="AY697" s="73">
        <v>45364.286111111112</v>
      </c>
      <c r="AZ697" t="s">
        <v>226</v>
      </c>
      <c r="BA697" t="s">
        <v>449</v>
      </c>
      <c r="BB697" t="s">
        <v>228</v>
      </c>
      <c r="BC697" t="s">
        <v>229</v>
      </c>
      <c r="BD697" t="s">
        <v>101</v>
      </c>
      <c r="BI697" t="s">
        <v>233</v>
      </c>
      <c r="BJ697" t="s">
        <v>0</v>
      </c>
      <c r="BK697">
        <v>42289352</v>
      </c>
      <c r="BN697" t="s">
        <v>73</v>
      </c>
      <c r="BR697">
        <v>-10</v>
      </c>
      <c r="BS697">
        <v>42289375</v>
      </c>
      <c r="BT697" s="73">
        <v>45364.286111111112</v>
      </c>
      <c r="BU697" t="s">
        <v>226</v>
      </c>
      <c r="BV697" t="s">
        <v>449</v>
      </c>
      <c r="BW697" t="s">
        <v>228</v>
      </c>
      <c r="CH697" t="s">
        <v>229</v>
      </c>
      <c r="CI697" t="s">
        <v>101</v>
      </c>
      <c r="CJ697" t="s">
        <v>226</v>
      </c>
      <c r="CK697" t="s">
        <v>449</v>
      </c>
      <c r="CL697" t="s">
        <v>228</v>
      </c>
      <c r="CM697" t="s">
        <v>234</v>
      </c>
      <c r="CN697" t="s">
        <v>73</v>
      </c>
      <c r="CO697">
        <v>-10</v>
      </c>
      <c r="CP697">
        <v>42289375</v>
      </c>
      <c r="CQ697" s="73">
        <v>45364.286111111112</v>
      </c>
      <c r="CR697" t="s">
        <v>229</v>
      </c>
      <c r="CS697" t="s">
        <v>101</v>
      </c>
      <c r="CU697" t="s">
        <v>225</v>
      </c>
    </row>
    <row r="698" spans="1:99">
      <c r="A698" t="s">
        <v>107</v>
      </c>
      <c r="B698" t="s">
        <v>98</v>
      </c>
      <c r="J698" t="s">
        <v>225</v>
      </c>
      <c r="K698" t="s">
        <v>225</v>
      </c>
      <c r="M698" s="73">
        <v>45364.286111111112</v>
      </c>
      <c r="N698">
        <v>42289374</v>
      </c>
      <c r="O698">
        <v>200</v>
      </c>
      <c r="P698" t="s">
        <v>104</v>
      </c>
      <c r="Q698">
        <v>200</v>
      </c>
      <c r="R698" t="s">
        <v>104</v>
      </c>
      <c r="S698">
        <v>10</v>
      </c>
      <c r="T698" t="s">
        <v>73</v>
      </c>
      <c r="U698" t="s">
        <v>226</v>
      </c>
      <c r="V698" t="s">
        <v>449</v>
      </c>
      <c r="W698" t="s">
        <v>235</v>
      </c>
      <c r="X698" t="s">
        <v>229</v>
      </c>
      <c r="Y698" t="s">
        <v>107</v>
      </c>
      <c r="AD698" t="s">
        <v>104</v>
      </c>
      <c r="AE698">
        <v>200</v>
      </c>
      <c r="AF698">
        <v>42289374</v>
      </c>
      <c r="AG698" s="73">
        <v>45364.286111111112</v>
      </c>
      <c r="AH698" t="s">
        <v>226</v>
      </c>
      <c r="AI698" t="s">
        <v>449</v>
      </c>
      <c r="AJ698" t="s">
        <v>235</v>
      </c>
      <c r="AK698" t="s">
        <v>229</v>
      </c>
      <c r="AL698" t="s">
        <v>107</v>
      </c>
      <c r="AP698" t="s">
        <v>230</v>
      </c>
      <c r="AQ698" t="s">
        <v>231</v>
      </c>
      <c r="AT698" t="s">
        <v>232</v>
      </c>
      <c r="AU698">
        <v>-99</v>
      </c>
      <c r="AV698" t="s">
        <v>104</v>
      </c>
      <c r="AW698">
        <v>200</v>
      </c>
      <c r="AX698">
        <v>42289374</v>
      </c>
      <c r="AY698" s="73">
        <v>45364.286111111112</v>
      </c>
      <c r="AZ698" t="s">
        <v>226</v>
      </c>
      <c r="BA698" t="s">
        <v>449</v>
      </c>
      <c r="BB698" t="s">
        <v>235</v>
      </c>
      <c r="BC698" t="s">
        <v>229</v>
      </c>
      <c r="BD698" t="s">
        <v>107</v>
      </c>
      <c r="BI698" t="s">
        <v>233</v>
      </c>
      <c r="BJ698" t="s">
        <v>0</v>
      </c>
      <c r="BK698">
        <v>42289352</v>
      </c>
      <c r="BN698" t="s">
        <v>104</v>
      </c>
      <c r="BO698">
        <v>42289370</v>
      </c>
      <c r="BR698">
        <v>200</v>
      </c>
      <c r="BS698">
        <v>42289374</v>
      </c>
      <c r="BT698" s="73">
        <v>45364.286111111112</v>
      </c>
      <c r="BU698" t="s">
        <v>226</v>
      </c>
      <c r="BV698" t="s">
        <v>449</v>
      </c>
      <c r="BW698" t="s">
        <v>235</v>
      </c>
      <c r="CH698" t="s">
        <v>229</v>
      </c>
      <c r="CI698" t="s">
        <v>107</v>
      </c>
      <c r="CJ698" t="s">
        <v>226</v>
      </c>
      <c r="CK698" t="s">
        <v>449</v>
      </c>
      <c r="CL698" t="s">
        <v>235</v>
      </c>
      <c r="CM698" t="s">
        <v>236</v>
      </c>
      <c r="CN698" t="s">
        <v>104</v>
      </c>
      <c r="CO698">
        <v>200</v>
      </c>
      <c r="CP698">
        <v>42289374</v>
      </c>
      <c r="CQ698" s="73">
        <v>45364.286111111112</v>
      </c>
      <c r="CR698" t="s">
        <v>229</v>
      </c>
      <c r="CS698" t="s">
        <v>107</v>
      </c>
      <c r="CU698" t="s">
        <v>225</v>
      </c>
    </row>
    <row r="699" spans="1:99">
      <c r="A699" t="s">
        <v>113</v>
      </c>
      <c r="B699" t="s">
        <v>90</v>
      </c>
      <c r="J699" t="s">
        <v>225</v>
      </c>
      <c r="K699" t="s">
        <v>225</v>
      </c>
      <c r="M699" s="73">
        <v>45364.256956018522</v>
      </c>
      <c r="N699">
        <v>42291990</v>
      </c>
      <c r="O699">
        <v>-300</v>
      </c>
      <c r="P699" t="s">
        <v>115</v>
      </c>
      <c r="Q699">
        <v>-300</v>
      </c>
      <c r="R699" t="s">
        <v>115</v>
      </c>
      <c r="U699" t="s">
        <v>226</v>
      </c>
      <c r="V699" t="s">
        <v>447</v>
      </c>
      <c r="W699" t="s">
        <v>228</v>
      </c>
      <c r="X699" t="s">
        <v>229</v>
      </c>
      <c r="Y699" t="s">
        <v>113</v>
      </c>
      <c r="AD699" t="s">
        <v>115</v>
      </c>
      <c r="AE699">
        <v>-300</v>
      </c>
      <c r="AF699">
        <v>42291990</v>
      </c>
      <c r="AG699" s="73">
        <v>45364.256956018522</v>
      </c>
      <c r="AH699" t="s">
        <v>226</v>
      </c>
      <c r="AI699" t="s">
        <v>447</v>
      </c>
      <c r="AJ699" t="s">
        <v>228</v>
      </c>
      <c r="AK699" t="s">
        <v>229</v>
      </c>
      <c r="AL699" t="s">
        <v>113</v>
      </c>
      <c r="AP699" t="s">
        <v>230</v>
      </c>
      <c r="AQ699" t="s">
        <v>231</v>
      </c>
      <c r="AT699" t="s">
        <v>232</v>
      </c>
      <c r="AU699">
        <v>-99</v>
      </c>
      <c r="AV699" t="s">
        <v>115</v>
      </c>
      <c r="AW699">
        <v>-300</v>
      </c>
      <c r="AX699">
        <v>42291990</v>
      </c>
      <c r="AY699" s="73">
        <v>45364.256956018522</v>
      </c>
      <c r="AZ699" t="s">
        <v>226</v>
      </c>
      <c r="BA699" t="s">
        <v>447</v>
      </c>
      <c r="BB699" t="s">
        <v>228</v>
      </c>
      <c r="BC699" t="s">
        <v>229</v>
      </c>
      <c r="BD699" t="s">
        <v>113</v>
      </c>
      <c r="BI699" t="s">
        <v>233</v>
      </c>
      <c r="BJ699" t="s">
        <v>0</v>
      </c>
      <c r="BK699">
        <v>42291976</v>
      </c>
      <c r="BN699" t="s">
        <v>115</v>
      </c>
      <c r="BR699">
        <v>-300</v>
      </c>
      <c r="BS699">
        <v>42291990</v>
      </c>
      <c r="BT699" s="73">
        <v>45364.256956018522</v>
      </c>
      <c r="BU699" t="s">
        <v>226</v>
      </c>
      <c r="BV699" t="s">
        <v>447</v>
      </c>
      <c r="BW699" t="s">
        <v>228</v>
      </c>
      <c r="CH699" t="s">
        <v>229</v>
      </c>
      <c r="CI699" t="s">
        <v>113</v>
      </c>
      <c r="CJ699" t="s">
        <v>226</v>
      </c>
      <c r="CK699" t="s">
        <v>447</v>
      </c>
      <c r="CL699" t="s">
        <v>228</v>
      </c>
      <c r="CM699" t="s">
        <v>234</v>
      </c>
      <c r="CN699" t="s">
        <v>115</v>
      </c>
      <c r="CO699">
        <v>-300</v>
      </c>
      <c r="CP699">
        <v>42291990</v>
      </c>
      <c r="CQ699" s="73">
        <v>45364.256956018522</v>
      </c>
      <c r="CR699" t="s">
        <v>229</v>
      </c>
      <c r="CS699" t="s">
        <v>113</v>
      </c>
      <c r="CU699" t="s">
        <v>225</v>
      </c>
    </row>
    <row r="700" spans="1:99">
      <c r="A700" t="s">
        <v>129</v>
      </c>
      <c r="B700" t="s">
        <v>90</v>
      </c>
      <c r="J700" t="s">
        <v>225</v>
      </c>
      <c r="K700" t="s">
        <v>225</v>
      </c>
      <c r="M700" s="73">
        <v>45364.256956018522</v>
      </c>
      <c r="N700">
        <v>42291989</v>
      </c>
      <c r="O700">
        <v>-5.9</v>
      </c>
      <c r="P700" t="s">
        <v>73</v>
      </c>
      <c r="Q700">
        <v>-5.9</v>
      </c>
      <c r="R700" t="s">
        <v>73</v>
      </c>
      <c r="U700" t="s">
        <v>226</v>
      </c>
      <c r="V700" t="s">
        <v>447</v>
      </c>
      <c r="W700" t="s">
        <v>228</v>
      </c>
      <c r="X700" t="s">
        <v>229</v>
      </c>
      <c r="Y700" t="s">
        <v>129</v>
      </c>
      <c r="AD700" t="s">
        <v>73</v>
      </c>
      <c r="AE700">
        <v>-5.9</v>
      </c>
      <c r="AF700">
        <v>42291989</v>
      </c>
      <c r="AG700" s="73">
        <v>45364.256956018522</v>
      </c>
      <c r="AH700" t="s">
        <v>226</v>
      </c>
      <c r="AI700" t="s">
        <v>447</v>
      </c>
      <c r="AJ700" t="s">
        <v>228</v>
      </c>
      <c r="AK700" t="s">
        <v>229</v>
      </c>
      <c r="AL700" t="s">
        <v>129</v>
      </c>
      <c r="AP700" t="s">
        <v>230</v>
      </c>
      <c r="AQ700" t="s">
        <v>231</v>
      </c>
      <c r="AT700" t="s">
        <v>232</v>
      </c>
      <c r="AU700">
        <v>-99</v>
      </c>
      <c r="AV700" t="s">
        <v>73</v>
      </c>
      <c r="AW700">
        <v>-5.9</v>
      </c>
      <c r="AX700">
        <v>42291989</v>
      </c>
      <c r="AY700" s="73">
        <v>45364.256956018522</v>
      </c>
      <c r="AZ700" t="s">
        <v>226</v>
      </c>
      <c r="BA700" t="s">
        <v>447</v>
      </c>
      <c r="BB700" t="s">
        <v>228</v>
      </c>
      <c r="BC700" t="s">
        <v>229</v>
      </c>
      <c r="BD700" t="s">
        <v>129</v>
      </c>
      <c r="BI700" t="s">
        <v>233</v>
      </c>
      <c r="BJ700" t="s">
        <v>0</v>
      </c>
      <c r="BK700">
        <v>42291976</v>
      </c>
      <c r="BN700" t="s">
        <v>73</v>
      </c>
      <c r="BR700">
        <v>-5.9</v>
      </c>
      <c r="BS700">
        <v>42291989</v>
      </c>
      <c r="BT700" s="73">
        <v>45364.256956018522</v>
      </c>
      <c r="BU700" t="s">
        <v>226</v>
      </c>
      <c r="BV700" t="s">
        <v>447</v>
      </c>
      <c r="BW700" t="s">
        <v>228</v>
      </c>
      <c r="CH700" t="s">
        <v>229</v>
      </c>
      <c r="CI700" t="s">
        <v>129</v>
      </c>
      <c r="CJ700" t="s">
        <v>226</v>
      </c>
      <c r="CK700" t="s">
        <v>447</v>
      </c>
      <c r="CL700" t="s">
        <v>228</v>
      </c>
      <c r="CM700" t="s">
        <v>234</v>
      </c>
      <c r="CN700" t="s">
        <v>73</v>
      </c>
      <c r="CO700">
        <v>-5.9</v>
      </c>
      <c r="CP700">
        <v>42291989</v>
      </c>
      <c r="CQ700" s="73">
        <v>45364.256956018522</v>
      </c>
      <c r="CR700" t="s">
        <v>229</v>
      </c>
      <c r="CS700" t="s">
        <v>129</v>
      </c>
      <c r="CU700" t="s">
        <v>225</v>
      </c>
    </row>
    <row r="701" spans="1:99">
      <c r="A701" t="s">
        <v>42</v>
      </c>
      <c r="B701" t="s">
        <v>92</v>
      </c>
      <c r="J701" t="s">
        <v>225</v>
      </c>
      <c r="K701" t="s">
        <v>225</v>
      </c>
      <c r="M701" s="73">
        <v>45364.243634259263</v>
      </c>
      <c r="N701">
        <v>42283822</v>
      </c>
      <c r="O701">
        <v>-5758</v>
      </c>
      <c r="P701" t="s">
        <v>45</v>
      </c>
      <c r="Q701">
        <v>-5758</v>
      </c>
      <c r="R701" t="s">
        <v>45</v>
      </c>
      <c r="U701" t="s">
        <v>226</v>
      </c>
      <c r="V701" t="s">
        <v>450</v>
      </c>
      <c r="W701" t="s">
        <v>228</v>
      </c>
      <c r="X701" t="s">
        <v>229</v>
      </c>
      <c r="Y701" t="s">
        <v>42</v>
      </c>
      <c r="AD701" t="s">
        <v>45</v>
      </c>
      <c r="AE701">
        <v>-5758</v>
      </c>
      <c r="AF701">
        <v>42283822</v>
      </c>
      <c r="AG701" s="73">
        <v>45364.243634259263</v>
      </c>
      <c r="AH701" t="s">
        <v>226</v>
      </c>
      <c r="AI701" t="s">
        <v>450</v>
      </c>
      <c r="AJ701" t="s">
        <v>228</v>
      </c>
      <c r="AK701" t="s">
        <v>229</v>
      </c>
      <c r="AL701" t="s">
        <v>42</v>
      </c>
      <c r="AP701" t="s">
        <v>230</v>
      </c>
      <c r="AQ701" t="s">
        <v>231</v>
      </c>
      <c r="AT701" t="s">
        <v>232</v>
      </c>
      <c r="AU701">
        <v>-99</v>
      </c>
      <c r="AV701" t="s">
        <v>45</v>
      </c>
      <c r="AW701">
        <v>-5758</v>
      </c>
      <c r="AX701">
        <v>42283822</v>
      </c>
      <c r="AY701" s="73">
        <v>45364.243634259263</v>
      </c>
      <c r="AZ701" t="s">
        <v>226</v>
      </c>
      <c r="BA701" t="s">
        <v>450</v>
      </c>
      <c r="BB701" t="s">
        <v>228</v>
      </c>
      <c r="BC701" t="s">
        <v>229</v>
      </c>
      <c r="BD701" t="s">
        <v>42</v>
      </c>
      <c r="BI701" t="s">
        <v>233</v>
      </c>
      <c r="BJ701" t="s">
        <v>0</v>
      </c>
      <c r="BK701">
        <v>42283803</v>
      </c>
      <c r="BN701" t="s">
        <v>45</v>
      </c>
      <c r="BR701">
        <v>-5758</v>
      </c>
      <c r="BS701">
        <v>42283822</v>
      </c>
      <c r="BT701" s="73">
        <v>45364.243634259263</v>
      </c>
      <c r="BU701" t="s">
        <v>226</v>
      </c>
      <c r="BV701" t="s">
        <v>450</v>
      </c>
      <c r="BW701" t="s">
        <v>228</v>
      </c>
      <c r="CH701" t="s">
        <v>229</v>
      </c>
      <c r="CI701" t="s">
        <v>42</v>
      </c>
      <c r="CJ701" t="s">
        <v>226</v>
      </c>
      <c r="CK701" t="s">
        <v>450</v>
      </c>
      <c r="CL701" t="s">
        <v>228</v>
      </c>
      <c r="CM701" t="s">
        <v>234</v>
      </c>
      <c r="CN701" t="s">
        <v>45</v>
      </c>
      <c r="CO701">
        <v>-5758</v>
      </c>
      <c r="CP701">
        <v>42283822</v>
      </c>
      <c r="CQ701" s="73">
        <v>45364.243634259263</v>
      </c>
      <c r="CR701" t="s">
        <v>229</v>
      </c>
      <c r="CS701" t="s">
        <v>42</v>
      </c>
      <c r="CU701" t="s">
        <v>225</v>
      </c>
    </row>
    <row r="702" spans="1:99">
      <c r="A702" t="s">
        <v>99</v>
      </c>
      <c r="B702" t="s">
        <v>98</v>
      </c>
      <c r="J702" t="s">
        <v>225</v>
      </c>
      <c r="K702" t="s">
        <v>225</v>
      </c>
      <c r="M702" s="73">
        <v>45364.243634259263</v>
      </c>
      <c r="N702">
        <v>42283821</v>
      </c>
      <c r="O702">
        <v>-287.5</v>
      </c>
      <c r="P702" t="s">
        <v>73</v>
      </c>
      <c r="Q702">
        <v>-287.5</v>
      </c>
      <c r="R702" t="s">
        <v>73</v>
      </c>
      <c r="U702" t="s">
        <v>226</v>
      </c>
      <c r="V702" t="s">
        <v>450</v>
      </c>
      <c r="W702" t="s">
        <v>228</v>
      </c>
      <c r="X702" t="s">
        <v>229</v>
      </c>
      <c r="Y702" t="s">
        <v>99</v>
      </c>
      <c r="AD702" t="s">
        <v>73</v>
      </c>
      <c r="AE702">
        <v>-287.5</v>
      </c>
      <c r="AF702">
        <v>42283821</v>
      </c>
      <c r="AG702" s="73">
        <v>45364.243634259263</v>
      </c>
      <c r="AH702" t="s">
        <v>226</v>
      </c>
      <c r="AI702" t="s">
        <v>450</v>
      </c>
      <c r="AJ702" t="s">
        <v>228</v>
      </c>
      <c r="AK702" t="s">
        <v>229</v>
      </c>
      <c r="AL702" t="s">
        <v>99</v>
      </c>
      <c r="AP702" t="s">
        <v>230</v>
      </c>
      <c r="AQ702" t="s">
        <v>231</v>
      </c>
      <c r="AT702" t="s">
        <v>232</v>
      </c>
      <c r="AU702">
        <v>-99</v>
      </c>
      <c r="AV702" t="s">
        <v>73</v>
      </c>
      <c r="AW702">
        <v>-287.5</v>
      </c>
      <c r="AX702">
        <v>42283821</v>
      </c>
      <c r="AY702" s="73">
        <v>45364.243634259263</v>
      </c>
      <c r="AZ702" t="s">
        <v>226</v>
      </c>
      <c r="BA702" t="s">
        <v>450</v>
      </c>
      <c r="BB702" t="s">
        <v>228</v>
      </c>
      <c r="BC702" t="s">
        <v>229</v>
      </c>
      <c r="BD702" t="s">
        <v>99</v>
      </c>
      <c r="BI702" t="s">
        <v>233</v>
      </c>
      <c r="BJ702" t="s">
        <v>0</v>
      </c>
      <c r="BK702">
        <v>42283803</v>
      </c>
      <c r="BN702" t="s">
        <v>73</v>
      </c>
      <c r="BR702">
        <v>-287.5</v>
      </c>
      <c r="BS702">
        <v>42283821</v>
      </c>
      <c r="BT702" s="73">
        <v>45364.243634259263</v>
      </c>
      <c r="BU702" t="s">
        <v>226</v>
      </c>
      <c r="BV702" t="s">
        <v>450</v>
      </c>
      <c r="BW702" t="s">
        <v>228</v>
      </c>
      <c r="CH702" t="s">
        <v>229</v>
      </c>
      <c r="CI702" t="s">
        <v>99</v>
      </c>
      <c r="CJ702" t="s">
        <v>226</v>
      </c>
      <c r="CK702" t="s">
        <v>450</v>
      </c>
      <c r="CL702" t="s">
        <v>228</v>
      </c>
      <c r="CM702" t="s">
        <v>234</v>
      </c>
      <c r="CN702" t="s">
        <v>73</v>
      </c>
      <c r="CO702">
        <v>-287.5</v>
      </c>
      <c r="CP702">
        <v>42283821</v>
      </c>
      <c r="CQ702" s="73">
        <v>45364.243634259263</v>
      </c>
      <c r="CR702" t="s">
        <v>229</v>
      </c>
      <c r="CS702" t="s">
        <v>99</v>
      </c>
      <c r="CU702" t="s">
        <v>225</v>
      </c>
    </row>
    <row r="703" spans="1:99">
      <c r="A703" t="s">
        <v>103</v>
      </c>
      <c r="B703" t="s">
        <v>98</v>
      </c>
      <c r="J703" t="s">
        <v>225</v>
      </c>
      <c r="K703" t="s">
        <v>225</v>
      </c>
      <c r="M703" s="73">
        <v>45364.243634259263</v>
      </c>
      <c r="N703">
        <v>42283820</v>
      </c>
      <c r="O703">
        <v>5750</v>
      </c>
      <c r="P703" t="s">
        <v>104</v>
      </c>
      <c r="Q703">
        <v>5750</v>
      </c>
      <c r="R703" t="s">
        <v>104</v>
      </c>
      <c r="S703">
        <v>287.5</v>
      </c>
      <c r="T703" t="s">
        <v>73</v>
      </c>
      <c r="U703" t="s">
        <v>226</v>
      </c>
      <c r="V703" t="s">
        <v>450</v>
      </c>
      <c r="W703" t="s">
        <v>235</v>
      </c>
      <c r="X703" t="s">
        <v>229</v>
      </c>
      <c r="Y703" t="s">
        <v>103</v>
      </c>
      <c r="AD703" t="s">
        <v>104</v>
      </c>
      <c r="AE703">
        <v>5750</v>
      </c>
      <c r="AF703">
        <v>42283820</v>
      </c>
      <c r="AG703" s="73">
        <v>45364.243634259263</v>
      </c>
      <c r="AH703" t="s">
        <v>226</v>
      </c>
      <c r="AI703" t="s">
        <v>450</v>
      </c>
      <c r="AJ703" t="s">
        <v>235</v>
      </c>
      <c r="AK703" t="s">
        <v>229</v>
      </c>
      <c r="AL703" t="s">
        <v>103</v>
      </c>
      <c r="AP703" t="s">
        <v>230</v>
      </c>
      <c r="AQ703" t="s">
        <v>231</v>
      </c>
      <c r="AT703" t="s">
        <v>232</v>
      </c>
      <c r="AU703">
        <v>-99</v>
      </c>
      <c r="AV703" t="s">
        <v>104</v>
      </c>
      <c r="AW703">
        <v>5750</v>
      </c>
      <c r="AX703">
        <v>42283820</v>
      </c>
      <c r="AY703" s="73">
        <v>45364.243634259263</v>
      </c>
      <c r="AZ703" t="s">
        <v>226</v>
      </c>
      <c r="BA703" t="s">
        <v>450</v>
      </c>
      <c r="BB703" t="s">
        <v>235</v>
      </c>
      <c r="BC703" t="s">
        <v>229</v>
      </c>
      <c r="BD703" t="s">
        <v>103</v>
      </c>
      <c r="BI703" t="s">
        <v>233</v>
      </c>
      <c r="BJ703" t="s">
        <v>0</v>
      </c>
      <c r="BK703">
        <v>42283803</v>
      </c>
      <c r="BN703" t="s">
        <v>104</v>
      </c>
      <c r="BO703">
        <v>42283809</v>
      </c>
      <c r="BR703">
        <v>5750</v>
      </c>
      <c r="BS703">
        <v>42283820</v>
      </c>
      <c r="BT703" s="73">
        <v>45364.243634259263</v>
      </c>
      <c r="BU703" t="s">
        <v>226</v>
      </c>
      <c r="BV703" t="s">
        <v>450</v>
      </c>
      <c r="BW703" t="s">
        <v>235</v>
      </c>
      <c r="CH703" t="s">
        <v>229</v>
      </c>
      <c r="CI703" t="s">
        <v>103</v>
      </c>
      <c r="CJ703" t="s">
        <v>226</v>
      </c>
      <c r="CK703" t="s">
        <v>450</v>
      </c>
      <c r="CL703" t="s">
        <v>235</v>
      </c>
      <c r="CM703" t="s">
        <v>236</v>
      </c>
      <c r="CN703" t="s">
        <v>104</v>
      </c>
      <c r="CO703">
        <v>5750</v>
      </c>
      <c r="CP703">
        <v>42283820</v>
      </c>
      <c r="CQ703" s="73">
        <v>45364.243634259263</v>
      </c>
      <c r="CR703" t="s">
        <v>229</v>
      </c>
      <c r="CS703" t="s">
        <v>103</v>
      </c>
      <c r="CU703" t="s">
        <v>225</v>
      </c>
    </row>
    <row r="704" spans="1:99">
      <c r="A704" t="s">
        <v>111</v>
      </c>
      <c r="B704" t="s">
        <v>77</v>
      </c>
      <c r="J704" t="s">
        <v>225</v>
      </c>
      <c r="K704" t="s">
        <v>225</v>
      </c>
      <c r="M704" s="73">
        <v>45364.243634259263</v>
      </c>
      <c r="N704">
        <v>42283819</v>
      </c>
      <c r="O704">
        <v>8</v>
      </c>
      <c r="P704" t="s">
        <v>45</v>
      </c>
      <c r="Q704">
        <v>8</v>
      </c>
      <c r="R704" t="s">
        <v>45</v>
      </c>
      <c r="U704" t="s">
        <v>226</v>
      </c>
      <c r="V704" t="s">
        <v>450</v>
      </c>
      <c r="W704" t="s">
        <v>237</v>
      </c>
      <c r="X704" t="s">
        <v>229</v>
      </c>
      <c r="Y704" t="s">
        <v>111</v>
      </c>
      <c r="AD704" t="s">
        <v>45</v>
      </c>
      <c r="AE704">
        <v>8</v>
      </c>
      <c r="AF704">
        <v>42283819</v>
      </c>
      <c r="AG704" s="73">
        <v>45364.243634259263</v>
      </c>
      <c r="AH704" t="s">
        <v>226</v>
      </c>
      <c r="AI704" t="s">
        <v>450</v>
      </c>
      <c r="AJ704" t="s">
        <v>237</v>
      </c>
      <c r="AK704" t="s">
        <v>229</v>
      </c>
      <c r="AL704" t="s">
        <v>111</v>
      </c>
      <c r="AP704" t="s">
        <v>230</v>
      </c>
      <c r="AQ704" t="s">
        <v>231</v>
      </c>
      <c r="AT704" t="s">
        <v>232</v>
      </c>
      <c r="AU704">
        <v>-99</v>
      </c>
      <c r="AV704" t="s">
        <v>45</v>
      </c>
      <c r="AW704">
        <v>8</v>
      </c>
      <c r="AX704">
        <v>42283819</v>
      </c>
      <c r="AY704" s="73">
        <v>45364.243634259263</v>
      </c>
      <c r="AZ704" t="s">
        <v>226</v>
      </c>
      <c r="BA704" t="s">
        <v>450</v>
      </c>
      <c r="BB704" t="s">
        <v>237</v>
      </c>
      <c r="BC704" t="s">
        <v>229</v>
      </c>
      <c r="BD704" t="s">
        <v>111</v>
      </c>
      <c r="BI704" t="s">
        <v>233</v>
      </c>
      <c r="BJ704" t="s">
        <v>0</v>
      </c>
      <c r="BK704">
        <v>42283803</v>
      </c>
      <c r="BN704" t="s">
        <v>45</v>
      </c>
      <c r="BO704">
        <v>42283811</v>
      </c>
      <c r="BR704">
        <v>8</v>
      </c>
      <c r="BS704">
        <v>42283819</v>
      </c>
      <c r="BT704" s="73">
        <v>45364.243634259263</v>
      </c>
      <c r="BU704" t="s">
        <v>226</v>
      </c>
      <c r="BV704" t="s">
        <v>450</v>
      </c>
      <c r="BW704" t="s">
        <v>237</v>
      </c>
      <c r="CH704" t="s">
        <v>229</v>
      </c>
      <c r="CI704" t="s">
        <v>111</v>
      </c>
      <c r="CJ704" t="s">
        <v>226</v>
      </c>
      <c r="CK704" t="s">
        <v>450</v>
      </c>
      <c r="CL704" t="s">
        <v>237</v>
      </c>
      <c r="CM704" t="s">
        <v>236</v>
      </c>
      <c r="CN704" t="s">
        <v>45</v>
      </c>
      <c r="CO704">
        <v>8</v>
      </c>
      <c r="CP704">
        <v>42283819</v>
      </c>
      <c r="CQ704" s="73">
        <v>45364.243634259263</v>
      </c>
      <c r="CR704" t="s">
        <v>229</v>
      </c>
      <c r="CS704" t="s">
        <v>111</v>
      </c>
      <c r="CU704" t="s">
        <v>225</v>
      </c>
    </row>
    <row r="705" spans="1:99">
      <c r="A705" t="s">
        <v>42</v>
      </c>
      <c r="B705" t="s">
        <v>92</v>
      </c>
      <c r="J705" t="s">
        <v>225</v>
      </c>
      <c r="K705" t="s">
        <v>225</v>
      </c>
      <c r="M705" s="73">
        <v>45364.240486111114</v>
      </c>
      <c r="N705">
        <v>42283801</v>
      </c>
      <c r="O705">
        <v>-2160</v>
      </c>
      <c r="P705" t="s">
        <v>45</v>
      </c>
      <c r="Q705">
        <v>-2160</v>
      </c>
      <c r="R705" t="s">
        <v>45</v>
      </c>
      <c r="U705" t="s">
        <v>226</v>
      </c>
      <c r="V705" t="s">
        <v>451</v>
      </c>
      <c r="W705" t="s">
        <v>228</v>
      </c>
      <c r="X705" t="s">
        <v>229</v>
      </c>
      <c r="Y705" t="s">
        <v>42</v>
      </c>
      <c r="AD705" t="s">
        <v>45</v>
      </c>
      <c r="AE705">
        <v>-2160</v>
      </c>
      <c r="AF705">
        <v>42283801</v>
      </c>
      <c r="AG705" s="73">
        <v>45364.240486111114</v>
      </c>
      <c r="AH705" t="s">
        <v>226</v>
      </c>
      <c r="AI705" t="s">
        <v>451</v>
      </c>
      <c r="AJ705" t="s">
        <v>228</v>
      </c>
      <c r="AK705" t="s">
        <v>229</v>
      </c>
      <c r="AL705" t="s">
        <v>42</v>
      </c>
      <c r="AP705" t="s">
        <v>230</v>
      </c>
      <c r="AQ705" t="s">
        <v>231</v>
      </c>
      <c r="AT705" t="s">
        <v>232</v>
      </c>
      <c r="AU705">
        <v>-99</v>
      </c>
      <c r="AV705" t="s">
        <v>45</v>
      </c>
      <c r="AW705">
        <v>-2160</v>
      </c>
      <c r="AX705">
        <v>42283801</v>
      </c>
      <c r="AY705" s="73">
        <v>45364.240486111114</v>
      </c>
      <c r="AZ705" t="s">
        <v>226</v>
      </c>
      <c r="BA705" t="s">
        <v>451</v>
      </c>
      <c r="BB705" t="s">
        <v>228</v>
      </c>
      <c r="BC705" t="s">
        <v>229</v>
      </c>
      <c r="BD705" t="s">
        <v>42</v>
      </c>
      <c r="BI705" t="s">
        <v>233</v>
      </c>
      <c r="BJ705" t="s">
        <v>0</v>
      </c>
      <c r="BK705">
        <v>42283782</v>
      </c>
      <c r="BN705" t="s">
        <v>45</v>
      </c>
      <c r="BR705">
        <v>-2160</v>
      </c>
      <c r="BS705">
        <v>42283801</v>
      </c>
      <c r="BT705" s="73">
        <v>45364.240486111114</v>
      </c>
      <c r="BU705" t="s">
        <v>226</v>
      </c>
      <c r="BV705" t="s">
        <v>451</v>
      </c>
      <c r="BW705" t="s">
        <v>228</v>
      </c>
      <c r="CH705" t="s">
        <v>229</v>
      </c>
      <c r="CI705" t="s">
        <v>42</v>
      </c>
      <c r="CJ705" t="s">
        <v>226</v>
      </c>
      <c r="CK705" t="s">
        <v>451</v>
      </c>
      <c r="CL705" t="s">
        <v>228</v>
      </c>
      <c r="CM705" t="s">
        <v>234</v>
      </c>
      <c r="CN705" t="s">
        <v>45</v>
      </c>
      <c r="CO705">
        <v>-2160</v>
      </c>
      <c r="CP705">
        <v>42283801</v>
      </c>
      <c r="CQ705" s="73">
        <v>45364.240486111114</v>
      </c>
      <c r="CR705" t="s">
        <v>229</v>
      </c>
      <c r="CS705" t="s">
        <v>42</v>
      </c>
      <c r="CU705" t="s">
        <v>225</v>
      </c>
    </row>
    <row r="706" spans="1:99">
      <c r="A706" t="s">
        <v>99</v>
      </c>
      <c r="B706" t="s">
        <v>98</v>
      </c>
      <c r="J706" t="s">
        <v>225</v>
      </c>
      <c r="K706" t="s">
        <v>225</v>
      </c>
      <c r="M706" s="73">
        <v>45364.240486111114</v>
      </c>
      <c r="N706">
        <v>42283800</v>
      </c>
      <c r="O706">
        <v>-108</v>
      </c>
      <c r="P706" t="s">
        <v>73</v>
      </c>
      <c r="Q706">
        <v>-108</v>
      </c>
      <c r="R706" t="s">
        <v>73</v>
      </c>
      <c r="U706" t="s">
        <v>226</v>
      </c>
      <c r="V706" t="s">
        <v>451</v>
      </c>
      <c r="W706" t="s">
        <v>228</v>
      </c>
      <c r="X706" t="s">
        <v>229</v>
      </c>
      <c r="Y706" t="s">
        <v>99</v>
      </c>
      <c r="AD706" t="s">
        <v>73</v>
      </c>
      <c r="AE706">
        <v>-108</v>
      </c>
      <c r="AF706">
        <v>42283800</v>
      </c>
      <c r="AG706" s="73">
        <v>45364.240486111114</v>
      </c>
      <c r="AH706" t="s">
        <v>226</v>
      </c>
      <c r="AI706" t="s">
        <v>451</v>
      </c>
      <c r="AJ706" t="s">
        <v>228</v>
      </c>
      <c r="AK706" t="s">
        <v>229</v>
      </c>
      <c r="AL706" t="s">
        <v>99</v>
      </c>
      <c r="AP706" t="s">
        <v>230</v>
      </c>
      <c r="AQ706" t="s">
        <v>231</v>
      </c>
      <c r="AT706" t="s">
        <v>232</v>
      </c>
      <c r="AU706">
        <v>-99</v>
      </c>
      <c r="AV706" t="s">
        <v>73</v>
      </c>
      <c r="AW706">
        <v>-108</v>
      </c>
      <c r="AX706">
        <v>42283800</v>
      </c>
      <c r="AY706" s="73">
        <v>45364.240486111114</v>
      </c>
      <c r="AZ706" t="s">
        <v>226</v>
      </c>
      <c r="BA706" t="s">
        <v>451</v>
      </c>
      <c r="BB706" t="s">
        <v>228</v>
      </c>
      <c r="BC706" t="s">
        <v>229</v>
      </c>
      <c r="BD706" t="s">
        <v>99</v>
      </c>
      <c r="BI706" t="s">
        <v>233</v>
      </c>
      <c r="BJ706" t="s">
        <v>0</v>
      </c>
      <c r="BK706">
        <v>42283782</v>
      </c>
      <c r="BN706" t="s">
        <v>73</v>
      </c>
      <c r="BR706">
        <v>-108</v>
      </c>
      <c r="BS706">
        <v>42283800</v>
      </c>
      <c r="BT706" s="73">
        <v>45364.240486111114</v>
      </c>
      <c r="BU706" t="s">
        <v>226</v>
      </c>
      <c r="BV706" t="s">
        <v>451</v>
      </c>
      <c r="BW706" t="s">
        <v>228</v>
      </c>
      <c r="CH706" t="s">
        <v>229</v>
      </c>
      <c r="CI706" t="s">
        <v>99</v>
      </c>
      <c r="CJ706" t="s">
        <v>226</v>
      </c>
      <c r="CK706" t="s">
        <v>451</v>
      </c>
      <c r="CL706" t="s">
        <v>228</v>
      </c>
      <c r="CM706" t="s">
        <v>234</v>
      </c>
      <c r="CN706" t="s">
        <v>73</v>
      </c>
      <c r="CO706">
        <v>-108</v>
      </c>
      <c r="CP706">
        <v>42283800</v>
      </c>
      <c r="CQ706" s="73">
        <v>45364.240486111114</v>
      </c>
      <c r="CR706" t="s">
        <v>229</v>
      </c>
      <c r="CS706" t="s">
        <v>99</v>
      </c>
      <c r="CU706" t="s">
        <v>225</v>
      </c>
    </row>
    <row r="707" spans="1:99">
      <c r="A707" t="s">
        <v>103</v>
      </c>
      <c r="B707" t="s">
        <v>98</v>
      </c>
      <c r="J707" t="s">
        <v>225</v>
      </c>
      <c r="K707" t="s">
        <v>225</v>
      </c>
      <c r="M707" s="73">
        <v>45364.240486111114</v>
      </c>
      <c r="N707">
        <v>42283799</v>
      </c>
      <c r="O707">
        <v>2160</v>
      </c>
      <c r="P707" t="s">
        <v>104</v>
      </c>
      <c r="Q707">
        <v>2160</v>
      </c>
      <c r="R707" t="s">
        <v>104</v>
      </c>
      <c r="S707">
        <v>108</v>
      </c>
      <c r="T707" t="s">
        <v>73</v>
      </c>
      <c r="U707" t="s">
        <v>226</v>
      </c>
      <c r="V707" t="s">
        <v>451</v>
      </c>
      <c r="W707" t="s">
        <v>235</v>
      </c>
      <c r="X707" t="s">
        <v>229</v>
      </c>
      <c r="Y707" t="s">
        <v>103</v>
      </c>
      <c r="AD707" t="s">
        <v>104</v>
      </c>
      <c r="AE707">
        <v>2160</v>
      </c>
      <c r="AF707">
        <v>42283799</v>
      </c>
      <c r="AG707" s="73">
        <v>45364.240486111114</v>
      </c>
      <c r="AH707" t="s">
        <v>226</v>
      </c>
      <c r="AI707" t="s">
        <v>451</v>
      </c>
      <c r="AJ707" t="s">
        <v>235</v>
      </c>
      <c r="AK707" t="s">
        <v>229</v>
      </c>
      <c r="AL707" t="s">
        <v>103</v>
      </c>
      <c r="AP707" t="s">
        <v>230</v>
      </c>
      <c r="AQ707" t="s">
        <v>231</v>
      </c>
      <c r="AT707" t="s">
        <v>232</v>
      </c>
      <c r="AU707">
        <v>-99</v>
      </c>
      <c r="AV707" t="s">
        <v>104</v>
      </c>
      <c r="AW707">
        <v>2160</v>
      </c>
      <c r="AX707">
        <v>42283799</v>
      </c>
      <c r="AY707" s="73">
        <v>45364.240486111114</v>
      </c>
      <c r="AZ707" t="s">
        <v>226</v>
      </c>
      <c r="BA707" t="s">
        <v>451</v>
      </c>
      <c r="BB707" t="s">
        <v>235</v>
      </c>
      <c r="BC707" t="s">
        <v>229</v>
      </c>
      <c r="BD707" t="s">
        <v>103</v>
      </c>
      <c r="BI707" t="s">
        <v>233</v>
      </c>
      <c r="BJ707" t="s">
        <v>0</v>
      </c>
      <c r="BK707">
        <v>42283782</v>
      </c>
      <c r="BN707" t="s">
        <v>104</v>
      </c>
      <c r="BO707">
        <v>42283795</v>
      </c>
      <c r="BR707">
        <v>2160</v>
      </c>
      <c r="BS707">
        <v>42283799</v>
      </c>
      <c r="BT707" s="73">
        <v>45364.240486111114</v>
      </c>
      <c r="BU707" t="s">
        <v>226</v>
      </c>
      <c r="BV707" t="s">
        <v>451</v>
      </c>
      <c r="BW707" t="s">
        <v>235</v>
      </c>
      <c r="CH707" t="s">
        <v>229</v>
      </c>
      <c r="CI707" t="s">
        <v>103</v>
      </c>
      <c r="CJ707" t="s">
        <v>226</v>
      </c>
      <c r="CK707" t="s">
        <v>451</v>
      </c>
      <c r="CL707" t="s">
        <v>235</v>
      </c>
      <c r="CM707" t="s">
        <v>236</v>
      </c>
      <c r="CN707" t="s">
        <v>104</v>
      </c>
      <c r="CO707">
        <v>2160</v>
      </c>
      <c r="CP707">
        <v>42283799</v>
      </c>
      <c r="CQ707" s="73">
        <v>45364.240486111114</v>
      </c>
      <c r="CR707" t="s">
        <v>229</v>
      </c>
      <c r="CS707" t="s">
        <v>103</v>
      </c>
      <c r="CU707" t="s">
        <v>225</v>
      </c>
    </row>
    <row r="708" spans="1:99">
      <c r="A708" t="s">
        <v>46</v>
      </c>
      <c r="B708" t="s">
        <v>92</v>
      </c>
      <c r="J708" t="s">
        <v>225</v>
      </c>
      <c r="K708" t="s">
        <v>225</v>
      </c>
      <c r="M708" s="73">
        <v>45364.238368055558</v>
      </c>
      <c r="N708">
        <v>42283761</v>
      </c>
      <c r="O708">
        <v>-340</v>
      </c>
      <c r="P708" t="s">
        <v>45</v>
      </c>
      <c r="Q708">
        <v>-340</v>
      </c>
      <c r="R708" t="s">
        <v>45</v>
      </c>
      <c r="U708" t="s">
        <v>226</v>
      </c>
      <c r="V708" t="s">
        <v>452</v>
      </c>
      <c r="W708" t="s">
        <v>228</v>
      </c>
      <c r="X708" t="s">
        <v>229</v>
      </c>
      <c r="Y708" t="s">
        <v>46</v>
      </c>
      <c r="AD708" t="s">
        <v>45</v>
      </c>
      <c r="AE708">
        <v>-340</v>
      </c>
      <c r="AF708">
        <v>42283761</v>
      </c>
      <c r="AG708" s="73">
        <v>45364.238368055558</v>
      </c>
      <c r="AH708" t="s">
        <v>226</v>
      </c>
      <c r="AI708" t="s">
        <v>452</v>
      </c>
      <c r="AJ708" t="s">
        <v>228</v>
      </c>
      <c r="AK708" t="s">
        <v>229</v>
      </c>
      <c r="AL708" t="s">
        <v>46</v>
      </c>
      <c r="AP708" t="s">
        <v>230</v>
      </c>
      <c r="AQ708" t="s">
        <v>231</v>
      </c>
      <c r="AT708" t="s">
        <v>232</v>
      </c>
      <c r="AU708">
        <v>-99</v>
      </c>
      <c r="AV708" t="s">
        <v>45</v>
      </c>
      <c r="AW708">
        <v>-340</v>
      </c>
      <c r="AX708">
        <v>42283761</v>
      </c>
      <c r="AY708" s="73">
        <v>45364.238368055558</v>
      </c>
      <c r="AZ708" t="s">
        <v>226</v>
      </c>
      <c r="BA708" t="s">
        <v>452</v>
      </c>
      <c r="BB708" t="s">
        <v>228</v>
      </c>
      <c r="BC708" t="s">
        <v>229</v>
      </c>
      <c r="BD708" t="s">
        <v>46</v>
      </c>
      <c r="BI708" t="s">
        <v>233</v>
      </c>
      <c r="BJ708" t="s">
        <v>0</v>
      </c>
      <c r="BK708">
        <v>42283749</v>
      </c>
      <c r="BN708" t="s">
        <v>45</v>
      </c>
      <c r="BR708">
        <v>-340</v>
      </c>
      <c r="BS708">
        <v>42283761</v>
      </c>
      <c r="BT708" s="73">
        <v>45364.238368055558</v>
      </c>
      <c r="BU708" t="s">
        <v>226</v>
      </c>
      <c r="BV708" t="s">
        <v>452</v>
      </c>
      <c r="BW708" t="s">
        <v>228</v>
      </c>
      <c r="CH708" t="s">
        <v>229</v>
      </c>
      <c r="CI708" t="s">
        <v>46</v>
      </c>
      <c r="CJ708" t="s">
        <v>226</v>
      </c>
      <c r="CK708" t="s">
        <v>452</v>
      </c>
      <c r="CL708" t="s">
        <v>228</v>
      </c>
      <c r="CM708" t="s">
        <v>234</v>
      </c>
      <c r="CN708" t="s">
        <v>45</v>
      </c>
      <c r="CO708">
        <v>-340</v>
      </c>
      <c r="CP708">
        <v>42283761</v>
      </c>
      <c r="CQ708" s="73">
        <v>45364.238368055558</v>
      </c>
      <c r="CR708" t="s">
        <v>229</v>
      </c>
      <c r="CS708" t="s">
        <v>46</v>
      </c>
      <c r="CU708" t="s">
        <v>225</v>
      </c>
    </row>
    <row r="709" spans="1:99">
      <c r="A709" t="s">
        <v>93</v>
      </c>
      <c r="B709" t="s">
        <v>98</v>
      </c>
      <c r="J709" t="s">
        <v>225</v>
      </c>
      <c r="K709" t="s">
        <v>225</v>
      </c>
      <c r="M709" s="73">
        <v>45364.238368055558</v>
      </c>
      <c r="N709">
        <v>42283760</v>
      </c>
      <c r="O709">
        <v>-17</v>
      </c>
      <c r="P709" t="s">
        <v>73</v>
      </c>
      <c r="Q709">
        <v>-17</v>
      </c>
      <c r="R709" t="s">
        <v>73</v>
      </c>
      <c r="U709" t="s">
        <v>226</v>
      </c>
      <c r="V709" t="s">
        <v>452</v>
      </c>
      <c r="W709" t="s">
        <v>228</v>
      </c>
      <c r="X709" t="s">
        <v>229</v>
      </c>
      <c r="Y709" t="s">
        <v>93</v>
      </c>
      <c r="AD709" t="s">
        <v>73</v>
      </c>
      <c r="AE709">
        <v>-17</v>
      </c>
      <c r="AF709">
        <v>42283760</v>
      </c>
      <c r="AG709" s="73">
        <v>45364.238368055558</v>
      </c>
      <c r="AH709" t="s">
        <v>226</v>
      </c>
      <c r="AI709" t="s">
        <v>452</v>
      </c>
      <c r="AJ709" t="s">
        <v>228</v>
      </c>
      <c r="AK709" t="s">
        <v>229</v>
      </c>
      <c r="AL709" t="s">
        <v>93</v>
      </c>
      <c r="AP709" t="s">
        <v>230</v>
      </c>
      <c r="AQ709" t="s">
        <v>231</v>
      </c>
      <c r="AT709" t="s">
        <v>232</v>
      </c>
      <c r="AU709">
        <v>-99</v>
      </c>
      <c r="AV709" t="s">
        <v>73</v>
      </c>
      <c r="AW709">
        <v>-17</v>
      </c>
      <c r="AX709">
        <v>42283760</v>
      </c>
      <c r="AY709" s="73">
        <v>45364.238368055558</v>
      </c>
      <c r="AZ709" t="s">
        <v>226</v>
      </c>
      <c r="BA709" t="s">
        <v>452</v>
      </c>
      <c r="BB709" t="s">
        <v>228</v>
      </c>
      <c r="BC709" t="s">
        <v>229</v>
      </c>
      <c r="BD709" t="s">
        <v>93</v>
      </c>
      <c r="BI709" t="s">
        <v>233</v>
      </c>
      <c r="BJ709" t="s">
        <v>0</v>
      </c>
      <c r="BK709">
        <v>42283749</v>
      </c>
      <c r="BN709" t="s">
        <v>73</v>
      </c>
      <c r="BR709">
        <v>-17</v>
      </c>
      <c r="BS709">
        <v>42283760</v>
      </c>
      <c r="BT709" s="73">
        <v>45364.238368055558</v>
      </c>
      <c r="BU709" t="s">
        <v>226</v>
      </c>
      <c r="BV709" t="s">
        <v>452</v>
      </c>
      <c r="BW709" t="s">
        <v>228</v>
      </c>
      <c r="CH709" t="s">
        <v>229</v>
      </c>
      <c r="CI709" t="s">
        <v>93</v>
      </c>
      <c r="CJ709" t="s">
        <v>226</v>
      </c>
      <c r="CK709" t="s">
        <v>452</v>
      </c>
      <c r="CL709" t="s">
        <v>228</v>
      </c>
      <c r="CM709" t="s">
        <v>234</v>
      </c>
      <c r="CN709" t="s">
        <v>73</v>
      </c>
      <c r="CO709">
        <v>-17</v>
      </c>
      <c r="CP709">
        <v>42283760</v>
      </c>
      <c r="CQ709" s="73">
        <v>45364.238368055558</v>
      </c>
      <c r="CR709" t="s">
        <v>229</v>
      </c>
      <c r="CS709" t="s">
        <v>93</v>
      </c>
      <c r="CU709" t="s">
        <v>225</v>
      </c>
    </row>
    <row r="710" spans="1:99">
      <c r="A710" t="s">
        <v>108</v>
      </c>
      <c r="B710" t="s">
        <v>98</v>
      </c>
      <c r="J710" t="s">
        <v>225</v>
      </c>
      <c r="K710" t="s">
        <v>225</v>
      </c>
      <c r="M710" s="73">
        <v>45364.238368055558</v>
      </c>
      <c r="N710">
        <v>42283759</v>
      </c>
      <c r="O710">
        <v>340</v>
      </c>
      <c r="P710" t="s">
        <v>104</v>
      </c>
      <c r="Q710">
        <v>340</v>
      </c>
      <c r="R710" t="s">
        <v>104</v>
      </c>
      <c r="S710">
        <v>17</v>
      </c>
      <c r="T710" t="s">
        <v>73</v>
      </c>
      <c r="U710" t="s">
        <v>226</v>
      </c>
      <c r="V710" t="s">
        <v>452</v>
      </c>
      <c r="W710" t="s">
        <v>235</v>
      </c>
      <c r="X710" t="s">
        <v>229</v>
      </c>
      <c r="Y710" t="s">
        <v>108</v>
      </c>
      <c r="AD710" t="s">
        <v>104</v>
      </c>
      <c r="AE710">
        <v>340</v>
      </c>
      <c r="AF710">
        <v>42283759</v>
      </c>
      <c r="AG710" s="73">
        <v>45364.238368055558</v>
      </c>
      <c r="AH710" t="s">
        <v>226</v>
      </c>
      <c r="AI710" t="s">
        <v>452</v>
      </c>
      <c r="AJ710" t="s">
        <v>235</v>
      </c>
      <c r="AK710" t="s">
        <v>229</v>
      </c>
      <c r="AL710" t="s">
        <v>108</v>
      </c>
      <c r="AP710" t="s">
        <v>230</v>
      </c>
      <c r="AQ710" t="s">
        <v>231</v>
      </c>
      <c r="AT710" t="s">
        <v>232</v>
      </c>
      <c r="AU710">
        <v>-99</v>
      </c>
      <c r="AV710" t="s">
        <v>104</v>
      </c>
      <c r="AW710">
        <v>340</v>
      </c>
      <c r="AX710">
        <v>42283759</v>
      </c>
      <c r="AY710" s="73">
        <v>45364.238368055558</v>
      </c>
      <c r="AZ710" t="s">
        <v>226</v>
      </c>
      <c r="BA710" t="s">
        <v>452</v>
      </c>
      <c r="BB710" t="s">
        <v>235</v>
      </c>
      <c r="BC710" t="s">
        <v>229</v>
      </c>
      <c r="BD710" t="s">
        <v>108</v>
      </c>
      <c r="BI710" t="s">
        <v>233</v>
      </c>
      <c r="BJ710" t="s">
        <v>0</v>
      </c>
      <c r="BK710">
        <v>42283749</v>
      </c>
      <c r="BN710" t="s">
        <v>104</v>
      </c>
      <c r="BO710">
        <v>42283755</v>
      </c>
      <c r="BR710">
        <v>340</v>
      </c>
      <c r="BS710">
        <v>42283759</v>
      </c>
      <c r="BT710" s="73">
        <v>45364.238368055558</v>
      </c>
      <c r="BU710" t="s">
        <v>226</v>
      </c>
      <c r="BV710" t="s">
        <v>452</v>
      </c>
      <c r="BW710" t="s">
        <v>235</v>
      </c>
      <c r="CH710" t="s">
        <v>229</v>
      </c>
      <c r="CI710" t="s">
        <v>108</v>
      </c>
      <c r="CJ710" t="s">
        <v>226</v>
      </c>
      <c r="CK710" t="s">
        <v>452</v>
      </c>
      <c r="CL710" t="s">
        <v>235</v>
      </c>
      <c r="CM710" t="s">
        <v>236</v>
      </c>
      <c r="CN710" t="s">
        <v>104</v>
      </c>
      <c r="CO710">
        <v>340</v>
      </c>
      <c r="CP710">
        <v>42283759</v>
      </c>
      <c r="CQ710" s="73">
        <v>45364.238368055558</v>
      </c>
      <c r="CR710" t="s">
        <v>229</v>
      </c>
      <c r="CS710" t="s">
        <v>108</v>
      </c>
      <c r="CU710" t="s">
        <v>225</v>
      </c>
    </row>
    <row r="711" spans="1:99">
      <c r="A711" t="s">
        <v>52</v>
      </c>
      <c r="B711" t="s">
        <v>92</v>
      </c>
      <c r="J711" t="s">
        <v>225</v>
      </c>
      <c r="K711" t="s">
        <v>225</v>
      </c>
      <c r="M711" s="73">
        <v>45364.236620370371</v>
      </c>
      <c r="N711">
        <v>42283740</v>
      </c>
      <c r="O711">
        <v>-1750</v>
      </c>
      <c r="P711" t="s">
        <v>45</v>
      </c>
      <c r="Q711">
        <v>-1750</v>
      </c>
      <c r="R711" t="s">
        <v>45</v>
      </c>
      <c r="U711" t="s">
        <v>226</v>
      </c>
      <c r="V711" t="s">
        <v>453</v>
      </c>
      <c r="W711" t="s">
        <v>228</v>
      </c>
      <c r="X711" t="s">
        <v>229</v>
      </c>
      <c r="Y711" t="s">
        <v>52</v>
      </c>
      <c r="AD711" t="s">
        <v>45</v>
      </c>
      <c r="AE711">
        <v>-1750</v>
      </c>
      <c r="AF711">
        <v>42283740</v>
      </c>
      <c r="AG711" s="73">
        <v>45364.236620370371</v>
      </c>
      <c r="AH711" t="s">
        <v>226</v>
      </c>
      <c r="AI711" t="s">
        <v>453</v>
      </c>
      <c r="AJ711" t="s">
        <v>228</v>
      </c>
      <c r="AK711" t="s">
        <v>229</v>
      </c>
      <c r="AL711" t="s">
        <v>52</v>
      </c>
      <c r="AP711" t="s">
        <v>230</v>
      </c>
      <c r="AQ711" t="s">
        <v>231</v>
      </c>
      <c r="AT711" t="s">
        <v>232</v>
      </c>
      <c r="AU711">
        <v>-99</v>
      </c>
      <c r="AV711" t="s">
        <v>45</v>
      </c>
      <c r="AW711">
        <v>-1750</v>
      </c>
      <c r="AX711">
        <v>42283740</v>
      </c>
      <c r="AY711" s="73">
        <v>45364.236620370371</v>
      </c>
      <c r="AZ711" t="s">
        <v>226</v>
      </c>
      <c r="BA711" t="s">
        <v>453</v>
      </c>
      <c r="BB711" t="s">
        <v>228</v>
      </c>
      <c r="BC711" t="s">
        <v>229</v>
      </c>
      <c r="BD711" t="s">
        <v>52</v>
      </c>
      <c r="BI711" t="s">
        <v>233</v>
      </c>
      <c r="BJ711" t="s">
        <v>0</v>
      </c>
      <c r="BK711">
        <v>42283714</v>
      </c>
      <c r="BN711" t="s">
        <v>45</v>
      </c>
      <c r="BR711">
        <v>-1750</v>
      </c>
      <c r="BS711">
        <v>42283740</v>
      </c>
      <c r="BT711" s="73">
        <v>45364.236620370371</v>
      </c>
      <c r="BU711" t="s">
        <v>226</v>
      </c>
      <c r="BV711" t="s">
        <v>453</v>
      </c>
      <c r="BW711" t="s">
        <v>228</v>
      </c>
      <c r="CH711" t="s">
        <v>229</v>
      </c>
      <c r="CI711" t="s">
        <v>52</v>
      </c>
      <c r="CJ711" t="s">
        <v>226</v>
      </c>
      <c r="CK711" t="s">
        <v>453</v>
      </c>
      <c r="CL711" t="s">
        <v>228</v>
      </c>
      <c r="CM711" t="s">
        <v>234</v>
      </c>
      <c r="CN711" t="s">
        <v>45</v>
      </c>
      <c r="CO711">
        <v>-1750</v>
      </c>
      <c r="CP711">
        <v>42283740</v>
      </c>
      <c r="CQ711" s="73">
        <v>45364.236620370371</v>
      </c>
      <c r="CR711" t="s">
        <v>229</v>
      </c>
      <c r="CS711" t="s">
        <v>52</v>
      </c>
      <c r="CU711" t="s">
        <v>225</v>
      </c>
    </row>
    <row r="712" spans="1:99">
      <c r="A712" t="s">
        <v>101</v>
      </c>
      <c r="B712" t="s">
        <v>98</v>
      </c>
      <c r="J712" t="s">
        <v>225</v>
      </c>
      <c r="K712" t="s">
        <v>225</v>
      </c>
      <c r="M712" s="73">
        <v>45364.236620370371</v>
      </c>
      <c r="N712">
        <v>42283739</v>
      </c>
      <c r="O712">
        <v>-87.5</v>
      </c>
      <c r="P712" t="s">
        <v>73</v>
      </c>
      <c r="Q712">
        <v>-87.5</v>
      </c>
      <c r="R712" t="s">
        <v>73</v>
      </c>
      <c r="U712" t="s">
        <v>226</v>
      </c>
      <c r="V712" t="s">
        <v>453</v>
      </c>
      <c r="W712" t="s">
        <v>228</v>
      </c>
      <c r="X712" t="s">
        <v>229</v>
      </c>
      <c r="Y712" t="s">
        <v>101</v>
      </c>
      <c r="AD712" t="s">
        <v>73</v>
      </c>
      <c r="AE712">
        <v>-87.5</v>
      </c>
      <c r="AF712">
        <v>42283739</v>
      </c>
      <c r="AG712" s="73">
        <v>45364.236620370371</v>
      </c>
      <c r="AH712" t="s">
        <v>226</v>
      </c>
      <c r="AI712" t="s">
        <v>453</v>
      </c>
      <c r="AJ712" t="s">
        <v>228</v>
      </c>
      <c r="AK712" t="s">
        <v>229</v>
      </c>
      <c r="AL712" t="s">
        <v>101</v>
      </c>
      <c r="AP712" t="s">
        <v>230</v>
      </c>
      <c r="AQ712" t="s">
        <v>231</v>
      </c>
      <c r="AT712" t="s">
        <v>232</v>
      </c>
      <c r="AU712">
        <v>-99</v>
      </c>
      <c r="AV712" t="s">
        <v>73</v>
      </c>
      <c r="AW712">
        <v>-87.5</v>
      </c>
      <c r="AX712">
        <v>42283739</v>
      </c>
      <c r="AY712" s="73">
        <v>45364.236620370371</v>
      </c>
      <c r="AZ712" t="s">
        <v>226</v>
      </c>
      <c r="BA712" t="s">
        <v>453</v>
      </c>
      <c r="BB712" t="s">
        <v>228</v>
      </c>
      <c r="BC712" t="s">
        <v>229</v>
      </c>
      <c r="BD712" t="s">
        <v>101</v>
      </c>
      <c r="BI712" t="s">
        <v>233</v>
      </c>
      <c r="BJ712" t="s">
        <v>0</v>
      </c>
      <c r="BK712">
        <v>42283714</v>
      </c>
      <c r="BN712" t="s">
        <v>73</v>
      </c>
      <c r="BR712">
        <v>-87.5</v>
      </c>
      <c r="BS712">
        <v>42283739</v>
      </c>
      <c r="BT712" s="73">
        <v>45364.236620370371</v>
      </c>
      <c r="BU712" t="s">
        <v>226</v>
      </c>
      <c r="BV712" t="s">
        <v>453</v>
      </c>
      <c r="BW712" t="s">
        <v>228</v>
      </c>
      <c r="CH712" t="s">
        <v>229</v>
      </c>
      <c r="CI712" t="s">
        <v>101</v>
      </c>
      <c r="CJ712" t="s">
        <v>226</v>
      </c>
      <c r="CK712" t="s">
        <v>453</v>
      </c>
      <c r="CL712" t="s">
        <v>228</v>
      </c>
      <c r="CM712" t="s">
        <v>234</v>
      </c>
      <c r="CN712" t="s">
        <v>73</v>
      </c>
      <c r="CO712">
        <v>-87.5</v>
      </c>
      <c r="CP712">
        <v>42283739</v>
      </c>
      <c r="CQ712" s="73">
        <v>45364.236620370371</v>
      </c>
      <c r="CR712" t="s">
        <v>229</v>
      </c>
      <c r="CS712" t="s">
        <v>101</v>
      </c>
      <c r="CU712" t="s">
        <v>225</v>
      </c>
    </row>
    <row r="713" spans="1:99">
      <c r="A713" t="s">
        <v>107</v>
      </c>
      <c r="B713" t="s">
        <v>98</v>
      </c>
      <c r="J713" t="s">
        <v>225</v>
      </c>
      <c r="K713" t="s">
        <v>225</v>
      </c>
      <c r="M713" s="73">
        <v>45364.236620370371</v>
      </c>
      <c r="N713">
        <v>42283738</v>
      </c>
      <c r="O713">
        <v>1750</v>
      </c>
      <c r="P713" t="s">
        <v>104</v>
      </c>
      <c r="Q713">
        <v>1750</v>
      </c>
      <c r="R713" t="s">
        <v>104</v>
      </c>
      <c r="S713">
        <v>87.5</v>
      </c>
      <c r="T713" t="s">
        <v>73</v>
      </c>
      <c r="U713" t="s">
        <v>226</v>
      </c>
      <c r="V713" t="s">
        <v>453</v>
      </c>
      <c r="W713" t="s">
        <v>235</v>
      </c>
      <c r="X713" t="s">
        <v>229</v>
      </c>
      <c r="Y713" t="s">
        <v>107</v>
      </c>
      <c r="AD713" t="s">
        <v>104</v>
      </c>
      <c r="AE713">
        <v>1750</v>
      </c>
      <c r="AF713">
        <v>42283738</v>
      </c>
      <c r="AG713" s="73">
        <v>45364.236620370371</v>
      </c>
      <c r="AH713" t="s">
        <v>226</v>
      </c>
      <c r="AI713" t="s">
        <v>453</v>
      </c>
      <c r="AJ713" t="s">
        <v>235</v>
      </c>
      <c r="AK713" t="s">
        <v>229</v>
      </c>
      <c r="AL713" t="s">
        <v>107</v>
      </c>
      <c r="AP713" t="s">
        <v>230</v>
      </c>
      <c r="AQ713" t="s">
        <v>231</v>
      </c>
      <c r="AT713" t="s">
        <v>232</v>
      </c>
      <c r="AU713">
        <v>-99</v>
      </c>
      <c r="AV713" t="s">
        <v>104</v>
      </c>
      <c r="AW713">
        <v>1750</v>
      </c>
      <c r="AX713">
        <v>42283738</v>
      </c>
      <c r="AY713" s="73">
        <v>45364.236620370371</v>
      </c>
      <c r="AZ713" t="s">
        <v>226</v>
      </c>
      <c r="BA713" t="s">
        <v>453</v>
      </c>
      <c r="BB713" t="s">
        <v>235</v>
      </c>
      <c r="BC713" t="s">
        <v>229</v>
      </c>
      <c r="BD713" t="s">
        <v>107</v>
      </c>
      <c r="BI713" t="s">
        <v>233</v>
      </c>
      <c r="BJ713" t="s">
        <v>0</v>
      </c>
      <c r="BK713">
        <v>42283714</v>
      </c>
      <c r="BN713" t="s">
        <v>104</v>
      </c>
      <c r="BO713">
        <v>42283734</v>
      </c>
      <c r="BR713">
        <v>1750</v>
      </c>
      <c r="BS713">
        <v>42283738</v>
      </c>
      <c r="BT713" s="73">
        <v>45364.236620370371</v>
      </c>
      <c r="BU713" t="s">
        <v>226</v>
      </c>
      <c r="BV713" t="s">
        <v>453</v>
      </c>
      <c r="BW713" t="s">
        <v>235</v>
      </c>
      <c r="CH713" t="s">
        <v>229</v>
      </c>
      <c r="CI713" t="s">
        <v>107</v>
      </c>
      <c r="CJ713" t="s">
        <v>226</v>
      </c>
      <c r="CK713" t="s">
        <v>453</v>
      </c>
      <c r="CL713" t="s">
        <v>235</v>
      </c>
      <c r="CM713" t="s">
        <v>236</v>
      </c>
      <c r="CN713" t="s">
        <v>104</v>
      </c>
      <c r="CO713">
        <v>1750</v>
      </c>
      <c r="CP713">
        <v>42283738</v>
      </c>
      <c r="CQ713" s="73">
        <v>45364.236620370371</v>
      </c>
      <c r="CR713" t="s">
        <v>229</v>
      </c>
      <c r="CS713" t="s">
        <v>107</v>
      </c>
      <c r="CU713" t="s">
        <v>225</v>
      </c>
    </row>
    <row r="714" spans="1:99">
      <c r="A714" t="s">
        <v>113</v>
      </c>
      <c r="B714" t="s">
        <v>90</v>
      </c>
      <c r="J714" t="s">
        <v>225</v>
      </c>
      <c r="K714" t="s">
        <v>225</v>
      </c>
      <c r="M714" s="73">
        <v>45363.923622685186</v>
      </c>
      <c r="N714">
        <v>42284923</v>
      </c>
      <c r="O714">
        <v>-250</v>
      </c>
      <c r="P714" t="s">
        <v>115</v>
      </c>
      <c r="Q714">
        <v>-250</v>
      </c>
      <c r="R714" t="s">
        <v>115</v>
      </c>
      <c r="U714" t="s">
        <v>226</v>
      </c>
      <c r="V714" t="s">
        <v>454</v>
      </c>
      <c r="W714" t="s">
        <v>228</v>
      </c>
      <c r="X714" t="s">
        <v>229</v>
      </c>
      <c r="Y714" t="s">
        <v>113</v>
      </c>
      <c r="AD714" t="s">
        <v>115</v>
      </c>
      <c r="AE714">
        <v>-250</v>
      </c>
      <c r="AF714">
        <v>42284923</v>
      </c>
      <c r="AG714" s="73">
        <v>45363.923622685186</v>
      </c>
      <c r="AH714" t="s">
        <v>226</v>
      </c>
      <c r="AI714" t="s">
        <v>454</v>
      </c>
      <c r="AJ714" t="s">
        <v>228</v>
      </c>
      <c r="AK714" t="s">
        <v>229</v>
      </c>
      <c r="AL714" t="s">
        <v>113</v>
      </c>
      <c r="AP714" t="s">
        <v>230</v>
      </c>
      <c r="AQ714" t="s">
        <v>231</v>
      </c>
      <c r="AT714" t="s">
        <v>232</v>
      </c>
      <c r="AU714">
        <v>-99</v>
      </c>
      <c r="AV714" t="s">
        <v>115</v>
      </c>
      <c r="AW714">
        <v>-250</v>
      </c>
      <c r="AX714">
        <v>42284923</v>
      </c>
      <c r="AY714" s="73">
        <v>45363.923622685186</v>
      </c>
      <c r="AZ714" t="s">
        <v>226</v>
      </c>
      <c r="BA714" t="s">
        <v>454</v>
      </c>
      <c r="BB714" t="s">
        <v>228</v>
      </c>
      <c r="BC714" t="s">
        <v>229</v>
      </c>
      <c r="BD714" t="s">
        <v>113</v>
      </c>
      <c r="BI714" t="s">
        <v>233</v>
      </c>
      <c r="BJ714" t="s">
        <v>0</v>
      </c>
      <c r="BK714">
        <v>42284911</v>
      </c>
      <c r="BN714" t="s">
        <v>115</v>
      </c>
      <c r="BR714">
        <v>-250</v>
      </c>
      <c r="BS714">
        <v>42284923</v>
      </c>
      <c r="BT714" s="73">
        <v>45363.923622685186</v>
      </c>
      <c r="BU714" t="s">
        <v>226</v>
      </c>
      <c r="BV714" t="s">
        <v>454</v>
      </c>
      <c r="BW714" t="s">
        <v>228</v>
      </c>
      <c r="CH714" t="s">
        <v>229</v>
      </c>
      <c r="CI714" t="s">
        <v>113</v>
      </c>
      <c r="CJ714" t="s">
        <v>226</v>
      </c>
      <c r="CK714" t="s">
        <v>454</v>
      </c>
      <c r="CL714" t="s">
        <v>228</v>
      </c>
      <c r="CM714" t="s">
        <v>234</v>
      </c>
      <c r="CN714" t="s">
        <v>115</v>
      </c>
      <c r="CO714">
        <v>-250</v>
      </c>
      <c r="CP714">
        <v>42284923</v>
      </c>
      <c r="CQ714" s="73">
        <v>45363.923622685186</v>
      </c>
      <c r="CR714" t="s">
        <v>229</v>
      </c>
      <c r="CS714" t="s">
        <v>113</v>
      </c>
      <c r="CU714" t="s">
        <v>225</v>
      </c>
    </row>
    <row r="715" spans="1:99">
      <c r="A715" t="s">
        <v>129</v>
      </c>
      <c r="B715" t="s">
        <v>90</v>
      </c>
      <c r="J715" t="s">
        <v>225</v>
      </c>
      <c r="K715" t="s">
        <v>225</v>
      </c>
      <c r="M715" s="73">
        <v>45363.923622685186</v>
      </c>
      <c r="N715">
        <v>42284922</v>
      </c>
      <c r="O715">
        <v>-4.8</v>
      </c>
      <c r="P715" t="s">
        <v>73</v>
      </c>
      <c r="Q715">
        <v>-4.8</v>
      </c>
      <c r="R715" t="s">
        <v>73</v>
      </c>
      <c r="U715" t="s">
        <v>226</v>
      </c>
      <c r="V715" t="s">
        <v>454</v>
      </c>
      <c r="W715" t="s">
        <v>228</v>
      </c>
      <c r="X715" t="s">
        <v>229</v>
      </c>
      <c r="Y715" t="s">
        <v>129</v>
      </c>
      <c r="AD715" t="s">
        <v>73</v>
      </c>
      <c r="AE715">
        <v>-4.8</v>
      </c>
      <c r="AF715">
        <v>42284922</v>
      </c>
      <c r="AG715" s="73">
        <v>45363.923622685186</v>
      </c>
      <c r="AH715" t="s">
        <v>226</v>
      </c>
      <c r="AI715" t="s">
        <v>454</v>
      </c>
      <c r="AJ715" t="s">
        <v>228</v>
      </c>
      <c r="AK715" t="s">
        <v>229</v>
      </c>
      <c r="AL715" t="s">
        <v>129</v>
      </c>
      <c r="AP715" t="s">
        <v>230</v>
      </c>
      <c r="AQ715" t="s">
        <v>231</v>
      </c>
      <c r="AT715" t="s">
        <v>232</v>
      </c>
      <c r="AU715">
        <v>-99</v>
      </c>
      <c r="AV715" t="s">
        <v>73</v>
      </c>
      <c r="AW715">
        <v>-4.8</v>
      </c>
      <c r="AX715">
        <v>42284922</v>
      </c>
      <c r="AY715" s="73">
        <v>45363.923622685186</v>
      </c>
      <c r="AZ715" t="s">
        <v>226</v>
      </c>
      <c r="BA715" t="s">
        <v>454</v>
      </c>
      <c r="BB715" t="s">
        <v>228</v>
      </c>
      <c r="BC715" t="s">
        <v>229</v>
      </c>
      <c r="BD715" t="s">
        <v>129</v>
      </c>
      <c r="BI715" t="s">
        <v>233</v>
      </c>
      <c r="BJ715" t="s">
        <v>0</v>
      </c>
      <c r="BK715">
        <v>42284911</v>
      </c>
      <c r="BN715" t="s">
        <v>73</v>
      </c>
      <c r="BR715">
        <v>-4.8</v>
      </c>
      <c r="BS715">
        <v>42284922</v>
      </c>
      <c r="BT715" s="73">
        <v>45363.923622685186</v>
      </c>
      <c r="BU715" t="s">
        <v>226</v>
      </c>
      <c r="BV715" t="s">
        <v>454</v>
      </c>
      <c r="BW715" t="s">
        <v>228</v>
      </c>
      <c r="CH715" t="s">
        <v>229</v>
      </c>
      <c r="CI715" t="s">
        <v>129</v>
      </c>
      <c r="CJ715" t="s">
        <v>226</v>
      </c>
      <c r="CK715" t="s">
        <v>454</v>
      </c>
      <c r="CL715" t="s">
        <v>228</v>
      </c>
      <c r="CM715" t="s">
        <v>234</v>
      </c>
      <c r="CN715" t="s">
        <v>73</v>
      </c>
      <c r="CO715">
        <v>-4.8</v>
      </c>
      <c r="CP715">
        <v>42284922</v>
      </c>
      <c r="CQ715" s="73">
        <v>45363.923622685186</v>
      </c>
      <c r="CR715" t="s">
        <v>229</v>
      </c>
      <c r="CS715" t="s">
        <v>129</v>
      </c>
      <c r="CU715" t="s">
        <v>225</v>
      </c>
    </row>
    <row r="716" spans="1:99">
      <c r="A716" t="s">
        <v>118</v>
      </c>
      <c r="B716" t="s">
        <v>90</v>
      </c>
      <c r="J716" t="s">
        <v>225</v>
      </c>
      <c r="K716" t="s">
        <v>225</v>
      </c>
      <c r="M716" s="73">
        <v>45363.923622685186</v>
      </c>
      <c r="N716">
        <v>42284921</v>
      </c>
      <c r="O716">
        <v>-35</v>
      </c>
      <c r="P716" t="s">
        <v>120</v>
      </c>
      <c r="Q716">
        <v>-35</v>
      </c>
      <c r="R716" t="s">
        <v>120</v>
      </c>
      <c r="U716" t="s">
        <v>226</v>
      </c>
      <c r="V716" t="s">
        <v>454</v>
      </c>
      <c r="W716" t="s">
        <v>228</v>
      </c>
      <c r="X716" t="s">
        <v>229</v>
      </c>
      <c r="Y716" t="s">
        <v>118</v>
      </c>
      <c r="AD716" t="s">
        <v>120</v>
      </c>
      <c r="AE716">
        <v>-35</v>
      </c>
      <c r="AF716">
        <v>42284921</v>
      </c>
      <c r="AG716" s="73">
        <v>45363.923622685186</v>
      </c>
      <c r="AH716" t="s">
        <v>226</v>
      </c>
      <c r="AI716" t="s">
        <v>454</v>
      </c>
      <c r="AJ716" t="s">
        <v>228</v>
      </c>
      <c r="AK716" t="s">
        <v>229</v>
      </c>
      <c r="AL716" t="s">
        <v>118</v>
      </c>
      <c r="AP716" t="s">
        <v>230</v>
      </c>
      <c r="AQ716" t="s">
        <v>231</v>
      </c>
      <c r="AT716" t="s">
        <v>232</v>
      </c>
      <c r="AU716">
        <v>-99</v>
      </c>
      <c r="AV716" t="s">
        <v>120</v>
      </c>
      <c r="AW716">
        <v>-35</v>
      </c>
      <c r="AX716">
        <v>42284921</v>
      </c>
      <c r="AY716" s="73">
        <v>45363.923622685186</v>
      </c>
      <c r="AZ716" t="s">
        <v>226</v>
      </c>
      <c r="BA716" t="s">
        <v>454</v>
      </c>
      <c r="BB716" t="s">
        <v>228</v>
      </c>
      <c r="BC716" t="s">
        <v>229</v>
      </c>
      <c r="BD716" t="s">
        <v>118</v>
      </c>
      <c r="BI716" t="s">
        <v>233</v>
      </c>
      <c r="BJ716" t="s">
        <v>0</v>
      </c>
      <c r="BK716">
        <v>42284911</v>
      </c>
      <c r="BN716" t="s">
        <v>120</v>
      </c>
      <c r="BR716">
        <v>-35</v>
      </c>
      <c r="BS716">
        <v>42284921</v>
      </c>
      <c r="BT716" s="73">
        <v>45363.923622685186</v>
      </c>
      <c r="BU716" t="s">
        <v>226</v>
      </c>
      <c r="BV716" t="s">
        <v>454</v>
      </c>
      <c r="BW716" t="s">
        <v>228</v>
      </c>
      <c r="CH716" t="s">
        <v>229</v>
      </c>
      <c r="CI716" t="s">
        <v>118</v>
      </c>
      <c r="CJ716" t="s">
        <v>226</v>
      </c>
      <c r="CK716" t="s">
        <v>454</v>
      </c>
      <c r="CL716" t="s">
        <v>228</v>
      </c>
      <c r="CM716" t="s">
        <v>234</v>
      </c>
      <c r="CN716" t="s">
        <v>120</v>
      </c>
      <c r="CO716">
        <v>-35</v>
      </c>
      <c r="CP716">
        <v>42284921</v>
      </c>
      <c r="CQ716" s="73">
        <v>45363.923622685186</v>
      </c>
      <c r="CR716" t="s">
        <v>229</v>
      </c>
      <c r="CS716" t="s">
        <v>118</v>
      </c>
      <c r="CU716" t="s">
        <v>225</v>
      </c>
    </row>
    <row r="717" spans="1:99">
      <c r="A717" t="s">
        <v>99</v>
      </c>
      <c r="B717" t="s">
        <v>98</v>
      </c>
      <c r="J717" t="s">
        <v>225</v>
      </c>
      <c r="K717" t="s">
        <v>225</v>
      </c>
      <c r="M717" s="73">
        <v>45363.923622685186</v>
      </c>
      <c r="N717">
        <v>42284902</v>
      </c>
      <c r="O717">
        <v>1185.6099999999999</v>
      </c>
      <c r="P717" t="s">
        <v>73</v>
      </c>
      <c r="Q717">
        <v>1185.6099999999999</v>
      </c>
      <c r="R717" t="s">
        <v>73</v>
      </c>
      <c r="U717" t="s">
        <v>226</v>
      </c>
      <c r="V717" t="s">
        <v>454</v>
      </c>
      <c r="W717" t="s">
        <v>235</v>
      </c>
      <c r="X717" t="s">
        <v>229</v>
      </c>
      <c r="Y717" t="s">
        <v>99</v>
      </c>
      <c r="AD717" t="s">
        <v>73</v>
      </c>
      <c r="AE717">
        <v>1185.6099999999999</v>
      </c>
      <c r="AF717">
        <v>42284902</v>
      </c>
      <c r="AG717" s="73">
        <v>45363.923622685186</v>
      </c>
      <c r="AH717" t="s">
        <v>226</v>
      </c>
      <c r="AI717" t="s">
        <v>454</v>
      </c>
      <c r="AJ717" t="s">
        <v>235</v>
      </c>
      <c r="AK717" t="s">
        <v>229</v>
      </c>
      <c r="AL717" t="s">
        <v>99</v>
      </c>
      <c r="AP717" t="s">
        <v>230</v>
      </c>
      <c r="AQ717" t="s">
        <v>231</v>
      </c>
      <c r="AT717" t="s">
        <v>232</v>
      </c>
      <c r="AU717">
        <v>-99</v>
      </c>
      <c r="AV717" t="s">
        <v>73</v>
      </c>
      <c r="AW717">
        <v>1185.6099999999999</v>
      </c>
      <c r="AX717">
        <v>42284902</v>
      </c>
      <c r="AY717" s="73">
        <v>45363.923622685186</v>
      </c>
      <c r="AZ717" t="s">
        <v>226</v>
      </c>
      <c r="BA717" t="s">
        <v>454</v>
      </c>
      <c r="BB717" t="s">
        <v>235</v>
      </c>
      <c r="BC717" t="s">
        <v>229</v>
      </c>
      <c r="BD717" t="s">
        <v>99</v>
      </c>
      <c r="BI717" t="s">
        <v>233</v>
      </c>
      <c r="BJ717" t="s">
        <v>0</v>
      </c>
      <c r="BK717">
        <v>42284898</v>
      </c>
      <c r="BN717" t="s">
        <v>73</v>
      </c>
      <c r="BO717">
        <v>42284900</v>
      </c>
      <c r="BR717">
        <v>1185.6099999999999</v>
      </c>
      <c r="BS717">
        <v>42284902</v>
      </c>
      <c r="BT717" s="73">
        <v>45363.923622685186</v>
      </c>
      <c r="BU717" t="s">
        <v>226</v>
      </c>
      <c r="BV717" t="s">
        <v>454</v>
      </c>
      <c r="BW717" t="s">
        <v>235</v>
      </c>
      <c r="CH717" t="s">
        <v>229</v>
      </c>
      <c r="CI717" t="s">
        <v>99</v>
      </c>
      <c r="CJ717" t="s">
        <v>226</v>
      </c>
      <c r="CK717" t="s">
        <v>454</v>
      </c>
      <c r="CL717" t="s">
        <v>235</v>
      </c>
      <c r="CM717" t="s">
        <v>236</v>
      </c>
      <c r="CN717" t="s">
        <v>73</v>
      </c>
      <c r="CO717">
        <v>1185.6099999999999</v>
      </c>
      <c r="CP717">
        <v>42284902</v>
      </c>
      <c r="CQ717" s="73">
        <v>45363.923622685186</v>
      </c>
      <c r="CR717" t="s">
        <v>229</v>
      </c>
      <c r="CS717" t="s">
        <v>99</v>
      </c>
      <c r="CU717" t="s">
        <v>225</v>
      </c>
    </row>
    <row r="718" spans="1:99">
      <c r="A718" t="s">
        <v>71</v>
      </c>
      <c r="B718" t="s">
        <v>77</v>
      </c>
      <c r="J718" t="s">
        <v>225</v>
      </c>
      <c r="K718" t="s">
        <v>225</v>
      </c>
      <c r="M718" s="73">
        <v>45363.923622685186</v>
      </c>
      <c r="N718">
        <v>42284895</v>
      </c>
      <c r="O718">
        <v>0.71</v>
      </c>
      <c r="P718" t="s">
        <v>73</v>
      </c>
      <c r="Q718">
        <v>0.71</v>
      </c>
      <c r="R718" t="s">
        <v>73</v>
      </c>
      <c r="U718" t="s">
        <v>226</v>
      </c>
      <c r="V718" t="s">
        <v>454</v>
      </c>
      <c r="W718" t="s">
        <v>237</v>
      </c>
      <c r="X718" t="s">
        <v>229</v>
      </c>
      <c r="Y718" t="s">
        <v>71</v>
      </c>
      <c r="AD718" t="s">
        <v>73</v>
      </c>
      <c r="AE718">
        <v>0.71</v>
      </c>
      <c r="AF718">
        <v>42284895</v>
      </c>
      <c r="AG718" s="73">
        <v>45363.923622685186</v>
      </c>
      <c r="AH718" t="s">
        <v>226</v>
      </c>
      <c r="AI718" t="s">
        <v>454</v>
      </c>
      <c r="AJ718" t="s">
        <v>237</v>
      </c>
      <c r="AK718" t="s">
        <v>229</v>
      </c>
      <c r="AL718" t="s">
        <v>71</v>
      </c>
      <c r="AP718" t="s">
        <v>230</v>
      </c>
      <c r="AQ718" t="s">
        <v>231</v>
      </c>
      <c r="AT718" t="s">
        <v>232</v>
      </c>
      <c r="AU718">
        <v>-99</v>
      </c>
      <c r="AV718" t="s">
        <v>73</v>
      </c>
      <c r="AW718">
        <v>0.71</v>
      </c>
      <c r="AX718">
        <v>42284895</v>
      </c>
      <c r="AY718" s="73">
        <v>45363.923622685186</v>
      </c>
      <c r="AZ718" t="s">
        <v>226</v>
      </c>
      <c r="BA718" t="s">
        <v>454</v>
      </c>
      <c r="BB718" t="s">
        <v>237</v>
      </c>
      <c r="BC718" t="s">
        <v>229</v>
      </c>
      <c r="BD718" t="s">
        <v>71</v>
      </c>
      <c r="BI718" t="s">
        <v>233</v>
      </c>
      <c r="BJ718" t="s">
        <v>0</v>
      </c>
      <c r="BK718">
        <v>42284891</v>
      </c>
      <c r="BN718" t="s">
        <v>73</v>
      </c>
      <c r="BO718">
        <v>42284893</v>
      </c>
      <c r="BR718">
        <v>0.71</v>
      </c>
      <c r="BS718">
        <v>42284895</v>
      </c>
      <c r="BT718" s="73">
        <v>45363.923622685186</v>
      </c>
      <c r="BU718" t="s">
        <v>226</v>
      </c>
      <c r="BV718" t="s">
        <v>454</v>
      </c>
      <c r="BW718" t="s">
        <v>237</v>
      </c>
      <c r="CH718" t="s">
        <v>229</v>
      </c>
      <c r="CI718" t="s">
        <v>71</v>
      </c>
      <c r="CJ718" t="s">
        <v>226</v>
      </c>
      <c r="CK718" t="s">
        <v>454</v>
      </c>
      <c r="CL718" t="s">
        <v>237</v>
      </c>
      <c r="CM718" t="s">
        <v>236</v>
      </c>
      <c r="CN718" t="s">
        <v>73</v>
      </c>
      <c r="CO718">
        <v>0.71</v>
      </c>
      <c r="CP718">
        <v>42284895</v>
      </c>
      <c r="CQ718" s="73">
        <v>45363.923622685186</v>
      </c>
      <c r="CR718" t="s">
        <v>229</v>
      </c>
      <c r="CS718" t="s">
        <v>71</v>
      </c>
      <c r="CU718" t="s">
        <v>225</v>
      </c>
    </row>
    <row r="719" spans="1:99">
      <c r="A719" t="s">
        <v>131</v>
      </c>
      <c r="B719" t="s">
        <v>90</v>
      </c>
      <c r="J719" t="s">
        <v>225</v>
      </c>
      <c r="K719" t="s">
        <v>225</v>
      </c>
      <c r="M719" s="73">
        <v>45363.923622685186</v>
      </c>
      <c r="N719">
        <v>42284888</v>
      </c>
      <c r="O719">
        <v>-110.3</v>
      </c>
      <c r="P719" t="s">
        <v>73</v>
      </c>
      <c r="Q719">
        <v>-110.3</v>
      </c>
      <c r="R719" t="s">
        <v>73</v>
      </c>
      <c r="U719" t="s">
        <v>226</v>
      </c>
      <c r="V719" t="s">
        <v>454</v>
      </c>
      <c r="W719" t="s">
        <v>228</v>
      </c>
      <c r="X719" t="s">
        <v>229</v>
      </c>
      <c r="Y719" t="s">
        <v>131</v>
      </c>
      <c r="AD719" t="s">
        <v>73</v>
      </c>
      <c r="AE719">
        <v>-110.3</v>
      </c>
      <c r="AF719">
        <v>42284888</v>
      </c>
      <c r="AG719" s="73">
        <v>45363.923622685186</v>
      </c>
      <c r="AH719" t="s">
        <v>226</v>
      </c>
      <c r="AI719" t="s">
        <v>454</v>
      </c>
      <c r="AJ719" t="s">
        <v>228</v>
      </c>
      <c r="AK719" t="s">
        <v>229</v>
      </c>
      <c r="AL719" t="s">
        <v>131</v>
      </c>
      <c r="AP719" t="s">
        <v>230</v>
      </c>
      <c r="AQ719" t="s">
        <v>231</v>
      </c>
      <c r="AT719" t="s">
        <v>232</v>
      </c>
      <c r="AU719">
        <v>-99</v>
      </c>
      <c r="AV719" t="s">
        <v>73</v>
      </c>
      <c r="AW719">
        <v>-110.3</v>
      </c>
      <c r="AX719">
        <v>42284888</v>
      </c>
      <c r="AY719" s="73">
        <v>45363.923622685186</v>
      </c>
      <c r="AZ719" t="s">
        <v>226</v>
      </c>
      <c r="BA719" t="s">
        <v>454</v>
      </c>
      <c r="BB719" t="s">
        <v>228</v>
      </c>
      <c r="BC719" t="s">
        <v>229</v>
      </c>
      <c r="BD719" t="s">
        <v>131</v>
      </c>
      <c r="BI719" t="s">
        <v>233</v>
      </c>
      <c r="BJ719" t="s">
        <v>0</v>
      </c>
      <c r="BK719">
        <v>42284884</v>
      </c>
      <c r="BN719" t="s">
        <v>73</v>
      </c>
      <c r="BR719">
        <v>-110.3</v>
      </c>
      <c r="BS719">
        <v>42284888</v>
      </c>
      <c r="BT719" s="73">
        <v>45363.923622685186</v>
      </c>
      <c r="BU719" t="s">
        <v>226</v>
      </c>
      <c r="BV719" t="s">
        <v>454</v>
      </c>
      <c r="BW719" t="s">
        <v>228</v>
      </c>
      <c r="CH719" t="s">
        <v>229</v>
      </c>
      <c r="CI719" t="s">
        <v>131</v>
      </c>
      <c r="CJ719" t="s">
        <v>226</v>
      </c>
      <c r="CK719" t="s">
        <v>454</v>
      </c>
      <c r="CL719" t="s">
        <v>228</v>
      </c>
      <c r="CM719" t="s">
        <v>234</v>
      </c>
      <c r="CN719" t="s">
        <v>73</v>
      </c>
      <c r="CO719">
        <v>-110.3</v>
      </c>
      <c r="CP719">
        <v>42284888</v>
      </c>
      <c r="CQ719" s="73">
        <v>45363.923622685186</v>
      </c>
      <c r="CR719" t="s">
        <v>229</v>
      </c>
      <c r="CS719" t="s">
        <v>131</v>
      </c>
      <c r="CU719" t="s">
        <v>225</v>
      </c>
    </row>
    <row r="720" spans="1:99">
      <c r="A720" t="s">
        <v>87</v>
      </c>
      <c r="B720" t="s">
        <v>90</v>
      </c>
      <c r="J720" t="s">
        <v>225</v>
      </c>
      <c r="K720" t="s">
        <v>225</v>
      </c>
      <c r="M720" s="73">
        <v>45363.923622685186</v>
      </c>
      <c r="N720">
        <v>42284881</v>
      </c>
      <c r="O720">
        <v>-49.4</v>
      </c>
      <c r="P720" t="s">
        <v>73</v>
      </c>
      <c r="Q720">
        <v>-49.4</v>
      </c>
      <c r="R720" t="s">
        <v>73</v>
      </c>
      <c r="U720" t="s">
        <v>226</v>
      </c>
      <c r="V720" t="s">
        <v>454</v>
      </c>
      <c r="W720" t="s">
        <v>228</v>
      </c>
      <c r="X720" t="s">
        <v>229</v>
      </c>
      <c r="Y720" t="s">
        <v>87</v>
      </c>
      <c r="AD720" t="s">
        <v>73</v>
      </c>
      <c r="AE720">
        <v>-49.4</v>
      </c>
      <c r="AF720">
        <v>42284881</v>
      </c>
      <c r="AG720" s="73">
        <v>45363.923622685186</v>
      </c>
      <c r="AH720" t="s">
        <v>226</v>
      </c>
      <c r="AI720" t="s">
        <v>454</v>
      </c>
      <c r="AJ720" t="s">
        <v>228</v>
      </c>
      <c r="AK720" t="s">
        <v>229</v>
      </c>
      <c r="AL720" t="s">
        <v>87</v>
      </c>
      <c r="AP720" t="s">
        <v>230</v>
      </c>
      <c r="AQ720" t="s">
        <v>231</v>
      </c>
      <c r="AT720" t="s">
        <v>232</v>
      </c>
      <c r="AU720">
        <v>-99</v>
      </c>
      <c r="AV720" t="s">
        <v>73</v>
      </c>
      <c r="AW720">
        <v>-49.4</v>
      </c>
      <c r="AX720">
        <v>42284881</v>
      </c>
      <c r="AY720" s="73">
        <v>45363.923622685186</v>
      </c>
      <c r="AZ720" t="s">
        <v>226</v>
      </c>
      <c r="BA720" t="s">
        <v>454</v>
      </c>
      <c r="BB720" t="s">
        <v>228</v>
      </c>
      <c r="BC720" t="s">
        <v>229</v>
      </c>
      <c r="BD720" t="s">
        <v>87</v>
      </c>
      <c r="BI720" t="s">
        <v>233</v>
      </c>
      <c r="BJ720" t="s">
        <v>0</v>
      </c>
      <c r="BK720">
        <v>42284877</v>
      </c>
      <c r="BN720" t="s">
        <v>73</v>
      </c>
      <c r="BR720">
        <v>-49.4</v>
      </c>
      <c r="BS720">
        <v>42284881</v>
      </c>
      <c r="BT720" s="73">
        <v>45363.923622685186</v>
      </c>
      <c r="BU720" t="s">
        <v>226</v>
      </c>
      <c r="BV720" t="s">
        <v>454</v>
      </c>
      <c r="BW720" t="s">
        <v>228</v>
      </c>
      <c r="CH720" t="s">
        <v>229</v>
      </c>
      <c r="CI720" t="s">
        <v>87</v>
      </c>
      <c r="CJ720" t="s">
        <v>226</v>
      </c>
      <c r="CK720" t="s">
        <v>454</v>
      </c>
      <c r="CL720" t="s">
        <v>228</v>
      </c>
      <c r="CM720" t="s">
        <v>234</v>
      </c>
      <c r="CN720" t="s">
        <v>73</v>
      </c>
      <c r="CO720">
        <v>-49.4</v>
      </c>
      <c r="CP720">
        <v>42284881</v>
      </c>
      <c r="CQ720" s="73">
        <v>45363.923622685186</v>
      </c>
      <c r="CR720" t="s">
        <v>229</v>
      </c>
      <c r="CS720" t="s">
        <v>87</v>
      </c>
      <c r="CU720" t="s">
        <v>225</v>
      </c>
    </row>
    <row r="721" spans="1:99">
      <c r="A721" t="s">
        <v>127</v>
      </c>
      <c r="B721" t="s">
        <v>90</v>
      </c>
      <c r="J721" t="s">
        <v>225</v>
      </c>
      <c r="K721" t="s">
        <v>225</v>
      </c>
      <c r="M721" s="73">
        <v>45363.923622685186</v>
      </c>
      <c r="N721">
        <v>42284874</v>
      </c>
      <c r="O721">
        <v>-557.1</v>
      </c>
      <c r="P721" t="s">
        <v>73</v>
      </c>
      <c r="Q721">
        <v>-557.1</v>
      </c>
      <c r="R721" t="s">
        <v>73</v>
      </c>
      <c r="U721" t="s">
        <v>226</v>
      </c>
      <c r="V721" t="s">
        <v>454</v>
      </c>
      <c r="W721" t="s">
        <v>228</v>
      </c>
      <c r="X721" t="s">
        <v>229</v>
      </c>
      <c r="Y721" t="s">
        <v>127</v>
      </c>
      <c r="AD721" t="s">
        <v>73</v>
      </c>
      <c r="AE721">
        <v>-557.1</v>
      </c>
      <c r="AF721">
        <v>42284874</v>
      </c>
      <c r="AG721" s="73">
        <v>45363.923622685186</v>
      </c>
      <c r="AH721" t="s">
        <v>226</v>
      </c>
      <c r="AI721" t="s">
        <v>454</v>
      </c>
      <c r="AJ721" t="s">
        <v>228</v>
      </c>
      <c r="AK721" t="s">
        <v>229</v>
      </c>
      <c r="AL721" t="s">
        <v>127</v>
      </c>
      <c r="AP721" t="s">
        <v>230</v>
      </c>
      <c r="AQ721" t="s">
        <v>231</v>
      </c>
      <c r="AT721" t="s">
        <v>232</v>
      </c>
      <c r="AU721">
        <v>-99</v>
      </c>
      <c r="AV721" t="s">
        <v>73</v>
      </c>
      <c r="AW721">
        <v>-557.1</v>
      </c>
      <c r="AX721">
        <v>42284874</v>
      </c>
      <c r="AY721" s="73">
        <v>45363.923622685186</v>
      </c>
      <c r="AZ721" t="s">
        <v>226</v>
      </c>
      <c r="BA721" t="s">
        <v>454</v>
      </c>
      <c r="BB721" t="s">
        <v>228</v>
      </c>
      <c r="BC721" t="s">
        <v>229</v>
      </c>
      <c r="BD721" t="s">
        <v>127</v>
      </c>
      <c r="BI721" t="s">
        <v>233</v>
      </c>
      <c r="BJ721" t="s">
        <v>0</v>
      </c>
      <c r="BK721">
        <v>42284870</v>
      </c>
      <c r="BN721" t="s">
        <v>73</v>
      </c>
      <c r="BR721">
        <v>-557.1</v>
      </c>
      <c r="BS721">
        <v>42284874</v>
      </c>
      <c r="BT721" s="73">
        <v>45363.923622685186</v>
      </c>
      <c r="BU721" t="s">
        <v>226</v>
      </c>
      <c r="BV721" t="s">
        <v>454</v>
      </c>
      <c r="BW721" t="s">
        <v>228</v>
      </c>
      <c r="CH721" t="s">
        <v>229</v>
      </c>
      <c r="CI721" t="s">
        <v>127</v>
      </c>
      <c r="CJ721" t="s">
        <v>226</v>
      </c>
      <c r="CK721" t="s">
        <v>454</v>
      </c>
      <c r="CL721" t="s">
        <v>228</v>
      </c>
      <c r="CM721" t="s">
        <v>234</v>
      </c>
      <c r="CN721" t="s">
        <v>73</v>
      </c>
      <c r="CO721">
        <v>-557.1</v>
      </c>
      <c r="CP721">
        <v>42284874</v>
      </c>
      <c r="CQ721" s="73">
        <v>45363.923622685186</v>
      </c>
      <c r="CR721" t="s">
        <v>229</v>
      </c>
      <c r="CS721" t="s">
        <v>127</v>
      </c>
      <c r="CU721" t="s">
        <v>225</v>
      </c>
    </row>
    <row r="722" spans="1:99">
      <c r="A722" t="s">
        <v>133</v>
      </c>
      <c r="B722" t="s">
        <v>90</v>
      </c>
      <c r="J722" t="s">
        <v>225</v>
      </c>
      <c r="K722" t="s">
        <v>225</v>
      </c>
      <c r="M722" s="73">
        <v>45363.923622685186</v>
      </c>
      <c r="N722">
        <v>42284867</v>
      </c>
      <c r="O722">
        <v>-518.9</v>
      </c>
      <c r="P722" t="s">
        <v>73</v>
      </c>
      <c r="Q722">
        <v>-518.9</v>
      </c>
      <c r="R722" t="s">
        <v>73</v>
      </c>
      <c r="U722" t="s">
        <v>226</v>
      </c>
      <c r="V722" t="s">
        <v>454</v>
      </c>
      <c r="W722" t="s">
        <v>228</v>
      </c>
      <c r="X722" t="s">
        <v>229</v>
      </c>
      <c r="Y722" t="s">
        <v>133</v>
      </c>
      <c r="AD722" t="s">
        <v>73</v>
      </c>
      <c r="AE722">
        <v>-518.9</v>
      </c>
      <c r="AF722">
        <v>42284867</v>
      </c>
      <c r="AG722" s="73">
        <v>45363.923622685186</v>
      </c>
      <c r="AH722" t="s">
        <v>226</v>
      </c>
      <c r="AI722" t="s">
        <v>454</v>
      </c>
      <c r="AJ722" t="s">
        <v>228</v>
      </c>
      <c r="AK722" t="s">
        <v>229</v>
      </c>
      <c r="AL722" t="s">
        <v>133</v>
      </c>
      <c r="AP722" t="s">
        <v>230</v>
      </c>
      <c r="AQ722" t="s">
        <v>231</v>
      </c>
      <c r="AT722" t="s">
        <v>232</v>
      </c>
      <c r="AU722">
        <v>-99</v>
      </c>
      <c r="AV722" t="s">
        <v>73</v>
      </c>
      <c r="AW722">
        <v>-518.9</v>
      </c>
      <c r="AX722">
        <v>42284867</v>
      </c>
      <c r="AY722" s="73">
        <v>45363.923622685186</v>
      </c>
      <c r="AZ722" t="s">
        <v>226</v>
      </c>
      <c r="BA722" t="s">
        <v>454</v>
      </c>
      <c r="BB722" t="s">
        <v>228</v>
      </c>
      <c r="BC722" t="s">
        <v>229</v>
      </c>
      <c r="BD722" t="s">
        <v>133</v>
      </c>
      <c r="BI722" t="s">
        <v>233</v>
      </c>
      <c r="BJ722" t="s">
        <v>0</v>
      </c>
      <c r="BK722">
        <v>42284863</v>
      </c>
      <c r="BN722" t="s">
        <v>73</v>
      </c>
      <c r="BR722">
        <v>-518.9</v>
      </c>
      <c r="BS722">
        <v>42284867</v>
      </c>
      <c r="BT722" s="73">
        <v>45363.923622685186</v>
      </c>
      <c r="BU722" t="s">
        <v>226</v>
      </c>
      <c r="BV722" t="s">
        <v>454</v>
      </c>
      <c r="BW722" t="s">
        <v>228</v>
      </c>
      <c r="CH722" t="s">
        <v>229</v>
      </c>
      <c r="CI722" t="s">
        <v>133</v>
      </c>
      <c r="CJ722" t="s">
        <v>226</v>
      </c>
      <c r="CK722" t="s">
        <v>454</v>
      </c>
      <c r="CL722" t="s">
        <v>228</v>
      </c>
      <c r="CM722" t="s">
        <v>234</v>
      </c>
      <c r="CN722" t="s">
        <v>73</v>
      </c>
      <c r="CO722">
        <v>-518.9</v>
      </c>
      <c r="CP722">
        <v>42284867</v>
      </c>
      <c r="CQ722" s="73">
        <v>45363.923622685186</v>
      </c>
      <c r="CR722" t="s">
        <v>229</v>
      </c>
      <c r="CS722" t="s">
        <v>133</v>
      </c>
      <c r="CU722" t="s">
        <v>225</v>
      </c>
    </row>
    <row r="723" spans="1:99">
      <c r="A723" t="s">
        <v>99</v>
      </c>
      <c r="B723" t="s">
        <v>98</v>
      </c>
      <c r="J723" t="s">
        <v>225</v>
      </c>
      <c r="K723" t="s">
        <v>225</v>
      </c>
      <c r="M723" s="73">
        <v>45363.923611111109</v>
      </c>
      <c r="N723">
        <v>42278711</v>
      </c>
      <c r="O723">
        <v>1349.46</v>
      </c>
      <c r="P723" t="s">
        <v>73</v>
      </c>
      <c r="Q723">
        <v>1349.46</v>
      </c>
      <c r="R723" t="s">
        <v>73</v>
      </c>
      <c r="U723" t="s">
        <v>226</v>
      </c>
      <c r="V723" t="s">
        <v>455</v>
      </c>
      <c r="W723" t="s">
        <v>235</v>
      </c>
      <c r="X723" t="s">
        <v>229</v>
      </c>
      <c r="Y723" t="s">
        <v>99</v>
      </c>
      <c r="AD723" t="s">
        <v>73</v>
      </c>
      <c r="AE723">
        <v>1349.46</v>
      </c>
      <c r="AF723">
        <v>42278711</v>
      </c>
      <c r="AG723" s="73">
        <v>45363.923611111109</v>
      </c>
      <c r="AH723" t="s">
        <v>226</v>
      </c>
      <c r="AI723" t="s">
        <v>455</v>
      </c>
      <c r="AJ723" t="s">
        <v>235</v>
      </c>
      <c r="AK723" t="s">
        <v>229</v>
      </c>
      <c r="AL723" t="s">
        <v>99</v>
      </c>
      <c r="AP723" t="s">
        <v>230</v>
      </c>
      <c r="AQ723" t="s">
        <v>231</v>
      </c>
      <c r="AT723" t="s">
        <v>232</v>
      </c>
      <c r="AU723">
        <v>-99</v>
      </c>
      <c r="AV723" t="s">
        <v>73</v>
      </c>
      <c r="AW723">
        <v>1349.46</v>
      </c>
      <c r="AX723">
        <v>42278711</v>
      </c>
      <c r="AY723" s="73">
        <v>45363.923611111109</v>
      </c>
      <c r="AZ723" t="s">
        <v>226</v>
      </c>
      <c r="BA723" t="s">
        <v>455</v>
      </c>
      <c r="BB723" t="s">
        <v>235</v>
      </c>
      <c r="BC723" t="s">
        <v>229</v>
      </c>
      <c r="BD723" t="s">
        <v>99</v>
      </c>
      <c r="BI723" t="s">
        <v>233</v>
      </c>
      <c r="BJ723" t="s">
        <v>0</v>
      </c>
      <c r="BK723">
        <v>42278707</v>
      </c>
      <c r="BN723" t="s">
        <v>73</v>
      </c>
      <c r="BO723">
        <v>42278709</v>
      </c>
      <c r="BR723">
        <v>1349.46</v>
      </c>
      <c r="BS723">
        <v>42278711</v>
      </c>
      <c r="BT723" s="73">
        <v>45363.923611111109</v>
      </c>
      <c r="BU723" t="s">
        <v>226</v>
      </c>
      <c r="BV723" t="s">
        <v>455</v>
      </c>
      <c r="BW723" t="s">
        <v>235</v>
      </c>
      <c r="CH723" t="s">
        <v>229</v>
      </c>
      <c r="CI723" t="s">
        <v>99</v>
      </c>
      <c r="CJ723" t="s">
        <v>226</v>
      </c>
      <c r="CK723" t="s">
        <v>455</v>
      </c>
      <c r="CL723" t="s">
        <v>235</v>
      </c>
      <c r="CM723" t="s">
        <v>236</v>
      </c>
      <c r="CN723" t="s">
        <v>73</v>
      </c>
      <c r="CO723">
        <v>1349.46</v>
      </c>
      <c r="CP723">
        <v>42278711</v>
      </c>
      <c r="CQ723" s="73">
        <v>45363.923611111109</v>
      </c>
      <c r="CR723" t="s">
        <v>229</v>
      </c>
      <c r="CS723" t="s">
        <v>99</v>
      </c>
      <c r="CU723" t="s">
        <v>225</v>
      </c>
    </row>
    <row r="724" spans="1:99">
      <c r="A724" t="s">
        <v>71</v>
      </c>
      <c r="B724" t="s">
        <v>77</v>
      </c>
      <c r="J724" t="s">
        <v>225</v>
      </c>
      <c r="K724" t="s">
        <v>225</v>
      </c>
      <c r="M724" s="73">
        <v>45363.923611111109</v>
      </c>
      <c r="N724">
        <v>42278704</v>
      </c>
      <c r="O724">
        <v>0.81</v>
      </c>
      <c r="P724" t="s">
        <v>73</v>
      </c>
      <c r="Q724">
        <v>0.81</v>
      </c>
      <c r="R724" t="s">
        <v>73</v>
      </c>
      <c r="U724" t="s">
        <v>226</v>
      </c>
      <c r="V724" t="s">
        <v>455</v>
      </c>
      <c r="W724" t="s">
        <v>237</v>
      </c>
      <c r="X724" t="s">
        <v>229</v>
      </c>
      <c r="Y724" t="s">
        <v>71</v>
      </c>
      <c r="AD724" t="s">
        <v>73</v>
      </c>
      <c r="AE724">
        <v>0.81</v>
      </c>
      <c r="AF724">
        <v>42278704</v>
      </c>
      <c r="AG724" s="73">
        <v>45363.923611111109</v>
      </c>
      <c r="AH724" t="s">
        <v>226</v>
      </c>
      <c r="AI724" t="s">
        <v>455</v>
      </c>
      <c r="AJ724" t="s">
        <v>237</v>
      </c>
      <c r="AK724" t="s">
        <v>229</v>
      </c>
      <c r="AL724" t="s">
        <v>71</v>
      </c>
      <c r="AP724" t="s">
        <v>230</v>
      </c>
      <c r="AQ724" t="s">
        <v>231</v>
      </c>
      <c r="AT724" t="s">
        <v>232</v>
      </c>
      <c r="AU724">
        <v>-99</v>
      </c>
      <c r="AV724" t="s">
        <v>73</v>
      </c>
      <c r="AW724">
        <v>0.81</v>
      </c>
      <c r="AX724">
        <v>42278704</v>
      </c>
      <c r="AY724" s="73">
        <v>45363.923611111109</v>
      </c>
      <c r="AZ724" t="s">
        <v>226</v>
      </c>
      <c r="BA724" t="s">
        <v>455</v>
      </c>
      <c r="BB724" t="s">
        <v>237</v>
      </c>
      <c r="BC724" t="s">
        <v>229</v>
      </c>
      <c r="BD724" t="s">
        <v>71</v>
      </c>
      <c r="BI724" t="s">
        <v>233</v>
      </c>
      <c r="BJ724" t="s">
        <v>0</v>
      </c>
      <c r="BK724">
        <v>42278700</v>
      </c>
      <c r="BN724" t="s">
        <v>73</v>
      </c>
      <c r="BO724">
        <v>42278702</v>
      </c>
      <c r="BR724">
        <v>0.81</v>
      </c>
      <c r="BS724">
        <v>42278704</v>
      </c>
      <c r="BT724" s="73">
        <v>45363.923611111109</v>
      </c>
      <c r="BU724" t="s">
        <v>226</v>
      </c>
      <c r="BV724" t="s">
        <v>455</v>
      </c>
      <c r="BW724" t="s">
        <v>237</v>
      </c>
      <c r="CH724" t="s">
        <v>229</v>
      </c>
      <c r="CI724" t="s">
        <v>71</v>
      </c>
      <c r="CJ724" t="s">
        <v>226</v>
      </c>
      <c r="CK724" t="s">
        <v>455</v>
      </c>
      <c r="CL724" t="s">
        <v>237</v>
      </c>
      <c r="CM724" t="s">
        <v>236</v>
      </c>
      <c r="CN724" t="s">
        <v>73</v>
      </c>
      <c r="CO724">
        <v>0.81</v>
      </c>
      <c r="CP724">
        <v>42278704</v>
      </c>
      <c r="CQ724" s="73">
        <v>45363.923611111109</v>
      </c>
      <c r="CR724" t="s">
        <v>229</v>
      </c>
      <c r="CS724" t="s">
        <v>71</v>
      </c>
      <c r="CU724" t="s">
        <v>225</v>
      </c>
    </row>
    <row r="725" spans="1:99">
      <c r="A725" t="s">
        <v>127</v>
      </c>
      <c r="B725" t="s">
        <v>90</v>
      </c>
      <c r="J725" t="s">
        <v>225</v>
      </c>
      <c r="K725" t="s">
        <v>225</v>
      </c>
      <c r="M725" s="73">
        <v>45363.923611111109</v>
      </c>
      <c r="N725">
        <v>42278697</v>
      </c>
      <c r="O725">
        <v>-630</v>
      </c>
      <c r="P725" t="s">
        <v>73</v>
      </c>
      <c r="Q725">
        <v>-630</v>
      </c>
      <c r="R725" t="s">
        <v>73</v>
      </c>
      <c r="U725" t="s">
        <v>226</v>
      </c>
      <c r="V725" t="s">
        <v>455</v>
      </c>
      <c r="W725" t="s">
        <v>228</v>
      </c>
      <c r="X725" t="s">
        <v>229</v>
      </c>
      <c r="Y725" t="s">
        <v>127</v>
      </c>
      <c r="AD725" t="s">
        <v>73</v>
      </c>
      <c r="AE725">
        <v>-630</v>
      </c>
      <c r="AF725">
        <v>42278697</v>
      </c>
      <c r="AG725" s="73">
        <v>45363.923611111109</v>
      </c>
      <c r="AH725" t="s">
        <v>226</v>
      </c>
      <c r="AI725" t="s">
        <v>455</v>
      </c>
      <c r="AJ725" t="s">
        <v>228</v>
      </c>
      <c r="AK725" t="s">
        <v>229</v>
      </c>
      <c r="AL725" t="s">
        <v>127</v>
      </c>
      <c r="AP725" t="s">
        <v>230</v>
      </c>
      <c r="AQ725" t="s">
        <v>231</v>
      </c>
      <c r="AT725" t="s">
        <v>232</v>
      </c>
      <c r="AU725">
        <v>-99</v>
      </c>
      <c r="AV725" t="s">
        <v>73</v>
      </c>
      <c r="AW725">
        <v>-630</v>
      </c>
      <c r="AX725">
        <v>42278697</v>
      </c>
      <c r="AY725" s="73">
        <v>45363.923611111109</v>
      </c>
      <c r="AZ725" t="s">
        <v>226</v>
      </c>
      <c r="BA725" t="s">
        <v>455</v>
      </c>
      <c r="BB725" t="s">
        <v>228</v>
      </c>
      <c r="BC725" t="s">
        <v>229</v>
      </c>
      <c r="BD725" t="s">
        <v>127</v>
      </c>
      <c r="BI725" t="s">
        <v>233</v>
      </c>
      <c r="BJ725" t="s">
        <v>0</v>
      </c>
      <c r="BK725">
        <v>42278693</v>
      </c>
      <c r="BN725" t="s">
        <v>73</v>
      </c>
      <c r="BR725">
        <v>-630</v>
      </c>
      <c r="BS725">
        <v>42278697</v>
      </c>
      <c r="BT725" s="73">
        <v>45363.923611111109</v>
      </c>
      <c r="BU725" t="s">
        <v>226</v>
      </c>
      <c r="BV725" t="s">
        <v>455</v>
      </c>
      <c r="BW725" t="s">
        <v>228</v>
      </c>
      <c r="CH725" t="s">
        <v>229</v>
      </c>
      <c r="CI725" t="s">
        <v>127</v>
      </c>
      <c r="CJ725" t="s">
        <v>226</v>
      </c>
      <c r="CK725" t="s">
        <v>455</v>
      </c>
      <c r="CL725" t="s">
        <v>228</v>
      </c>
      <c r="CM725" t="s">
        <v>234</v>
      </c>
      <c r="CN725" t="s">
        <v>73</v>
      </c>
      <c r="CO725">
        <v>-630</v>
      </c>
      <c r="CP725">
        <v>42278697</v>
      </c>
      <c r="CQ725" s="73">
        <v>45363.923611111109</v>
      </c>
      <c r="CR725" t="s">
        <v>229</v>
      </c>
      <c r="CS725" t="s">
        <v>127</v>
      </c>
      <c r="CU725" t="s">
        <v>225</v>
      </c>
    </row>
    <row r="726" spans="1:99">
      <c r="A726" t="s">
        <v>131</v>
      </c>
      <c r="B726" t="s">
        <v>90</v>
      </c>
      <c r="J726" t="s">
        <v>225</v>
      </c>
      <c r="K726" t="s">
        <v>225</v>
      </c>
      <c r="M726" s="73">
        <v>45363.923611111109</v>
      </c>
      <c r="N726">
        <v>42278690</v>
      </c>
      <c r="O726">
        <v>-124.7</v>
      </c>
      <c r="P726" t="s">
        <v>73</v>
      </c>
      <c r="Q726">
        <v>-124.7</v>
      </c>
      <c r="R726" t="s">
        <v>73</v>
      </c>
      <c r="U726" t="s">
        <v>226</v>
      </c>
      <c r="V726" t="s">
        <v>455</v>
      </c>
      <c r="W726" t="s">
        <v>228</v>
      </c>
      <c r="X726" t="s">
        <v>229</v>
      </c>
      <c r="Y726" t="s">
        <v>131</v>
      </c>
      <c r="AD726" t="s">
        <v>73</v>
      </c>
      <c r="AE726">
        <v>-124.7</v>
      </c>
      <c r="AF726">
        <v>42278690</v>
      </c>
      <c r="AG726" s="73">
        <v>45363.923611111109</v>
      </c>
      <c r="AH726" t="s">
        <v>226</v>
      </c>
      <c r="AI726" t="s">
        <v>455</v>
      </c>
      <c r="AJ726" t="s">
        <v>228</v>
      </c>
      <c r="AK726" t="s">
        <v>229</v>
      </c>
      <c r="AL726" t="s">
        <v>131</v>
      </c>
      <c r="AP726" t="s">
        <v>230</v>
      </c>
      <c r="AQ726" t="s">
        <v>231</v>
      </c>
      <c r="AT726" t="s">
        <v>232</v>
      </c>
      <c r="AU726">
        <v>-99</v>
      </c>
      <c r="AV726" t="s">
        <v>73</v>
      </c>
      <c r="AW726">
        <v>-124.7</v>
      </c>
      <c r="AX726">
        <v>42278690</v>
      </c>
      <c r="AY726" s="73">
        <v>45363.923611111109</v>
      </c>
      <c r="AZ726" t="s">
        <v>226</v>
      </c>
      <c r="BA726" t="s">
        <v>455</v>
      </c>
      <c r="BB726" t="s">
        <v>228</v>
      </c>
      <c r="BC726" t="s">
        <v>229</v>
      </c>
      <c r="BD726" t="s">
        <v>131</v>
      </c>
      <c r="BI726" t="s">
        <v>233</v>
      </c>
      <c r="BJ726" t="s">
        <v>0</v>
      </c>
      <c r="BK726">
        <v>42278686</v>
      </c>
      <c r="BN726" t="s">
        <v>73</v>
      </c>
      <c r="BR726">
        <v>-124.7</v>
      </c>
      <c r="BS726">
        <v>42278690</v>
      </c>
      <c r="BT726" s="73">
        <v>45363.923611111109</v>
      </c>
      <c r="BU726" t="s">
        <v>226</v>
      </c>
      <c r="BV726" t="s">
        <v>455</v>
      </c>
      <c r="BW726" t="s">
        <v>228</v>
      </c>
      <c r="CH726" t="s">
        <v>229</v>
      </c>
      <c r="CI726" t="s">
        <v>131</v>
      </c>
      <c r="CJ726" t="s">
        <v>226</v>
      </c>
      <c r="CK726" t="s">
        <v>455</v>
      </c>
      <c r="CL726" t="s">
        <v>228</v>
      </c>
      <c r="CM726" t="s">
        <v>234</v>
      </c>
      <c r="CN726" t="s">
        <v>73</v>
      </c>
      <c r="CO726">
        <v>-124.7</v>
      </c>
      <c r="CP726">
        <v>42278690</v>
      </c>
      <c r="CQ726" s="73">
        <v>45363.923611111109</v>
      </c>
      <c r="CR726" t="s">
        <v>229</v>
      </c>
      <c r="CS726" t="s">
        <v>131</v>
      </c>
      <c r="CU726" t="s">
        <v>225</v>
      </c>
    </row>
    <row r="727" spans="1:99">
      <c r="A727" t="s">
        <v>87</v>
      </c>
      <c r="B727" t="s">
        <v>90</v>
      </c>
      <c r="J727" t="s">
        <v>225</v>
      </c>
      <c r="K727" t="s">
        <v>225</v>
      </c>
      <c r="M727" s="73">
        <v>45363.923611111109</v>
      </c>
      <c r="N727">
        <v>42278683</v>
      </c>
      <c r="O727">
        <v>-55.9</v>
      </c>
      <c r="P727" t="s">
        <v>73</v>
      </c>
      <c r="Q727">
        <v>-55.9</v>
      </c>
      <c r="R727" t="s">
        <v>73</v>
      </c>
      <c r="U727" t="s">
        <v>226</v>
      </c>
      <c r="V727" t="s">
        <v>455</v>
      </c>
      <c r="W727" t="s">
        <v>228</v>
      </c>
      <c r="X727" t="s">
        <v>229</v>
      </c>
      <c r="Y727" t="s">
        <v>87</v>
      </c>
      <c r="AD727" t="s">
        <v>73</v>
      </c>
      <c r="AE727">
        <v>-55.9</v>
      </c>
      <c r="AF727">
        <v>42278683</v>
      </c>
      <c r="AG727" s="73">
        <v>45363.923611111109</v>
      </c>
      <c r="AH727" t="s">
        <v>226</v>
      </c>
      <c r="AI727" t="s">
        <v>455</v>
      </c>
      <c r="AJ727" t="s">
        <v>228</v>
      </c>
      <c r="AK727" t="s">
        <v>229</v>
      </c>
      <c r="AL727" t="s">
        <v>87</v>
      </c>
      <c r="AP727" t="s">
        <v>230</v>
      </c>
      <c r="AQ727" t="s">
        <v>231</v>
      </c>
      <c r="AT727" t="s">
        <v>232</v>
      </c>
      <c r="AU727">
        <v>-99</v>
      </c>
      <c r="AV727" t="s">
        <v>73</v>
      </c>
      <c r="AW727">
        <v>-55.9</v>
      </c>
      <c r="AX727">
        <v>42278683</v>
      </c>
      <c r="AY727" s="73">
        <v>45363.923611111109</v>
      </c>
      <c r="AZ727" t="s">
        <v>226</v>
      </c>
      <c r="BA727" t="s">
        <v>455</v>
      </c>
      <c r="BB727" t="s">
        <v>228</v>
      </c>
      <c r="BC727" t="s">
        <v>229</v>
      </c>
      <c r="BD727" t="s">
        <v>87</v>
      </c>
      <c r="BI727" t="s">
        <v>233</v>
      </c>
      <c r="BJ727" t="s">
        <v>0</v>
      </c>
      <c r="BK727">
        <v>42278679</v>
      </c>
      <c r="BN727" t="s">
        <v>73</v>
      </c>
      <c r="BR727">
        <v>-55.9</v>
      </c>
      <c r="BS727">
        <v>42278683</v>
      </c>
      <c r="BT727" s="73">
        <v>45363.923611111109</v>
      </c>
      <c r="BU727" t="s">
        <v>226</v>
      </c>
      <c r="BV727" t="s">
        <v>455</v>
      </c>
      <c r="BW727" t="s">
        <v>228</v>
      </c>
      <c r="CH727" t="s">
        <v>229</v>
      </c>
      <c r="CI727" t="s">
        <v>87</v>
      </c>
      <c r="CJ727" t="s">
        <v>226</v>
      </c>
      <c r="CK727" t="s">
        <v>455</v>
      </c>
      <c r="CL727" t="s">
        <v>228</v>
      </c>
      <c r="CM727" t="s">
        <v>234</v>
      </c>
      <c r="CN727" t="s">
        <v>73</v>
      </c>
      <c r="CO727">
        <v>-55.9</v>
      </c>
      <c r="CP727">
        <v>42278683</v>
      </c>
      <c r="CQ727" s="73">
        <v>45363.923611111109</v>
      </c>
      <c r="CR727" t="s">
        <v>229</v>
      </c>
      <c r="CS727" t="s">
        <v>87</v>
      </c>
      <c r="CU727" t="s">
        <v>225</v>
      </c>
    </row>
    <row r="728" spans="1:99">
      <c r="A728" t="s">
        <v>133</v>
      </c>
      <c r="B728" t="s">
        <v>90</v>
      </c>
      <c r="J728" t="s">
        <v>225</v>
      </c>
      <c r="K728" t="s">
        <v>225</v>
      </c>
      <c r="M728" s="73">
        <v>45363.923611111109</v>
      </c>
      <c r="N728">
        <v>42278676</v>
      </c>
      <c r="O728">
        <v>-586.9</v>
      </c>
      <c r="P728" t="s">
        <v>73</v>
      </c>
      <c r="Q728">
        <v>-586.9</v>
      </c>
      <c r="R728" t="s">
        <v>73</v>
      </c>
      <c r="U728" t="s">
        <v>226</v>
      </c>
      <c r="V728" t="s">
        <v>455</v>
      </c>
      <c r="W728" t="s">
        <v>228</v>
      </c>
      <c r="X728" t="s">
        <v>229</v>
      </c>
      <c r="Y728" t="s">
        <v>133</v>
      </c>
      <c r="AD728" t="s">
        <v>73</v>
      </c>
      <c r="AE728">
        <v>-586.9</v>
      </c>
      <c r="AF728">
        <v>42278676</v>
      </c>
      <c r="AG728" s="73">
        <v>45363.923611111109</v>
      </c>
      <c r="AH728" t="s">
        <v>226</v>
      </c>
      <c r="AI728" t="s">
        <v>455</v>
      </c>
      <c r="AJ728" t="s">
        <v>228</v>
      </c>
      <c r="AK728" t="s">
        <v>229</v>
      </c>
      <c r="AL728" t="s">
        <v>133</v>
      </c>
      <c r="AP728" t="s">
        <v>230</v>
      </c>
      <c r="AQ728" t="s">
        <v>231</v>
      </c>
      <c r="AT728" t="s">
        <v>232</v>
      </c>
      <c r="AU728">
        <v>-99</v>
      </c>
      <c r="AV728" t="s">
        <v>73</v>
      </c>
      <c r="AW728">
        <v>-586.9</v>
      </c>
      <c r="AX728">
        <v>42278676</v>
      </c>
      <c r="AY728" s="73">
        <v>45363.923611111109</v>
      </c>
      <c r="AZ728" t="s">
        <v>226</v>
      </c>
      <c r="BA728" t="s">
        <v>455</v>
      </c>
      <c r="BB728" t="s">
        <v>228</v>
      </c>
      <c r="BC728" t="s">
        <v>229</v>
      </c>
      <c r="BD728" t="s">
        <v>133</v>
      </c>
      <c r="BI728" t="s">
        <v>233</v>
      </c>
      <c r="BJ728" t="s">
        <v>0</v>
      </c>
      <c r="BK728">
        <v>42278668</v>
      </c>
      <c r="BN728" t="s">
        <v>73</v>
      </c>
      <c r="BR728">
        <v>-586.9</v>
      </c>
      <c r="BS728">
        <v>42278676</v>
      </c>
      <c r="BT728" s="73">
        <v>45363.923611111109</v>
      </c>
      <c r="BU728" t="s">
        <v>226</v>
      </c>
      <c r="BV728" t="s">
        <v>455</v>
      </c>
      <c r="BW728" t="s">
        <v>228</v>
      </c>
      <c r="CH728" t="s">
        <v>229</v>
      </c>
      <c r="CI728" t="s">
        <v>133</v>
      </c>
      <c r="CJ728" t="s">
        <v>226</v>
      </c>
      <c r="CK728" t="s">
        <v>455</v>
      </c>
      <c r="CL728" t="s">
        <v>228</v>
      </c>
      <c r="CM728" t="s">
        <v>234</v>
      </c>
      <c r="CN728" t="s">
        <v>73</v>
      </c>
      <c r="CO728">
        <v>-586.9</v>
      </c>
      <c r="CP728">
        <v>42278676</v>
      </c>
      <c r="CQ728" s="73">
        <v>45363.923611111109</v>
      </c>
      <c r="CR728" t="s">
        <v>229</v>
      </c>
      <c r="CS728" t="s">
        <v>133</v>
      </c>
      <c r="CU728" t="s">
        <v>225</v>
      </c>
    </row>
    <row r="729" spans="1:99">
      <c r="A729" t="s">
        <v>42</v>
      </c>
      <c r="B729" t="s">
        <v>92</v>
      </c>
      <c r="J729" t="s">
        <v>225</v>
      </c>
      <c r="K729" t="s">
        <v>225</v>
      </c>
      <c r="M729" s="73">
        <v>45363.911365740743</v>
      </c>
      <c r="N729">
        <v>42276327</v>
      </c>
      <c r="O729">
        <v>-6056</v>
      </c>
      <c r="P729" t="s">
        <v>45</v>
      </c>
      <c r="Q729">
        <v>-6056</v>
      </c>
      <c r="R729" t="s">
        <v>45</v>
      </c>
      <c r="U729" t="s">
        <v>226</v>
      </c>
      <c r="V729" t="s">
        <v>456</v>
      </c>
      <c r="W729" t="s">
        <v>228</v>
      </c>
      <c r="X729" t="s">
        <v>229</v>
      </c>
      <c r="Y729" t="s">
        <v>42</v>
      </c>
      <c r="AD729" t="s">
        <v>45</v>
      </c>
      <c r="AE729">
        <v>-6056</v>
      </c>
      <c r="AF729">
        <v>42276327</v>
      </c>
      <c r="AG729" s="73">
        <v>45363.911365740743</v>
      </c>
      <c r="AH729" t="s">
        <v>226</v>
      </c>
      <c r="AI729" t="s">
        <v>456</v>
      </c>
      <c r="AJ729" t="s">
        <v>228</v>
      </c>
      <c r="AK729" t="s">
        <v>229</v>
      </c>
      <c r="AL729" t="s">
        <v>42</v>
      </c>
      <c r="AP729" t="s">
        <v>230</v>
      </c>
      <c r="AQ729" t="s">
        <v>231</v>
      </c>
      <c r="AT729" t="s">
        <v>232</v>
      </c>
      <c r="AU729">
        <v>-99</v>
      </c>
      <c r="AV729" t="s">
        <v>45</v>
      </c>
      <c r="AW729">
        <v>-6056</v>
      </c>
      <c r="AX729">
        <v>42276327</v>
      </c>
      <c r="AY729" s="73">
        <v>45363.911365740743</v>
      </c>
      <c r="AZ729" t="s">
        <v>226</v>
      </c>
      <c r="BA729" t="s">
        <v>456</v>
      </c>
      <c r="BB729" t="s">
        <v>228</v>
      </c>
      <c r="BC729" t="s">
        <v>229</v>
      </c>
      <c r="BD729" t="s">
        <v>42</v>
      </c>
      <c r="BI729" t="s">
        <v>233</v>
      </c>
      <c r="BJ729" t="s">
        <v>0</v>
      </c>
      <c r="BK729">
        <v>42276311</v>
      </c>
      <c r="BN729" t="s">
        <v>45</v>
      </c>
      <c r="BR729">
        <v>-6056</v>
      </c>
      <c r="BS729">
        <v>42276327</v>
      </c>
      <c r="BT729" s="73">
        <v>45363.911365740743</v>
      </c>
      <c r="BU729" t="s">
        <v>226</v>
      </c>
      <c r="BV729" t="s">
        <v>456</v>
      </c>
      <c r="BW729" t="s">
        <v>228</v>
      </c>
      <c r="CH729" t="s">
        <v>229</v>
      </c>
      <c r="CI729" t="s">
        <v>42</v>
      </c>
      <c r="CJ729" t="s">
        <v>226</v>
      </c>
      <c r="CK729" t="s">
        <v>456</v>
      </c>
      <c r="CL729" t="s">
        <v>228</v>
      </c>
      <c r="CM729" t="s">
        <v>234</v>
      </c>
      <c r="CN729" t="s">
        <v>45</v>
      </c>
      <c r="CO729">
        <v>-6056</v>
      </c>
      <c r="CP729">
        <v>42276327</v>
      </c>
      <c r="CQ729" s="73">
        <v>45363.911365740743</v>
      </c>
      <c r="CR729" t="s">
        <v>229</v>
      </c>
      <c r="CS729" t="s">
        <v>42</v>
      </c>
      <c r="CU729" t="s">
        <v>225</v>
      </c>
    </row>
    <row r="730" spans="1:99">
      <c r="A730" t="s">
        <v>99</v>
      </c>
      <c r="B730" t="s">
        <v>98</v>
      </c>
      <c r="J730" t="s">
        <v>225</v>
      </c>
      <c r="K730" t="s">
        <v>225</v>
      </c>
      <c r="M730" s="73">
        <v>45363.911365740743</v>
      </c>
      <c r="N730">
        <v>42276326</v>
      </c>
      <c r="O730">
        <v>-302.5</v>
      </c>
      <c r="P730" t="s">
        <v>73</v>
      </c>
      <c r="Q730">
        <v>-302.5</v>
      </c>
      <c r="R730" t="s">
        <v>73</v>
      </c>
      <c r="U730" t="s">
        <v>226</v>
      </c>
      <c r="V730" t="s">
        <v>456</v>
      </c>
      <c r="W730" t="s">
        <v>228</v>
      </c>
      <c r="X730" t="s">
        <v>229</v>
      </c>
      <c r="Y730" t="s">
        <v>99</v>
      </c>
      <c r="AD730" t="s">
        <v>73</v>
      </c>
      <c r="AE730">
        <v>-302.5</v>
      </c>
      <c r="AF730">
        <v>42276326</v>
      </c>
      <c r="AG730" s="73">
        <v>45363.911365740743</v>
      </c>
      <c r="AH730" t="s">
        <v>226</v>
      </c>
      <c r="AI730" t="s">
        <v>456</v>
      </c>
      <c r="AJ730" t="s">
        <v>228</v>
      </c>
      <c r="AK730" t="s">
        <v>229</v>
      </c>
      <c r="AL730" t="s">
        <v>99</v>
      </c>
      <c r="AP730" t="s">
        <v>230</v>
      </c>
      <c r="AQ730" t="s">
        <v>231</v>
      </c>
      <c r="AT730" t="s">
        <v>232</v>
      </c>
      <c r="AU730">
        <v>-99</v>
      </c>
      <c r="AV730" t="s">
        <v>73</v>
      </c>
      <c r="AW730">
        <v>-302.5</v>
      </c>
      <c r="AX730">
        <v>42276326</v>
      </c>
      <c r="AY730" s="73">
        <v>45363.911365740743</v>
      </c>
      <c r="AZ730" t="s">
        <v>226</v>
      </c>
      <c r="BA730" t="s">
        <v>456</v>
      </c>
      <c r="BB730" t="s">
        <v>228</v>
      </c>
      <c r="BC730" t="s">
        <v>229</v>
      </c>
      <c r="BD730" t="s">
        <v>99</v>
      </c>
      <c r="BI730" t="s">
        <v>233</v>
      </c>
      <c r="BJ730" t="s">
        <v>0</v>
      </c>
      <c r="BK730">
        <v>42276311</v>
      </c>
      <c r="BN730" t="s">
        <v>73</v>
      </c>
      <c r="BR730">
        <v>-302.5</v>
      </c>
      <c r="BS730">
        <v>42276326</v>
      </c>
      <c r="BT730" s="73">
        <v>45363.911365740743</v>
      </c>
      <c r="BU730" t="s">
        <v>226</v>
      </c>
      <c r="BV730" t="s">
        <v>456</v>
      </c>
      <c r="BW730" t="s">
        <v>228</v>
      </c>
      <c r="CH730" t="s">
        <v>229</v>
      </c>
      <c r="CI730" t="s">
        <v>99</v>
      </c>
      <c r="CJ730" t="s">
        <v>226</v>
      </c>
      <c r="CK730" t="s">
        <v>456</v>
      </c>
      <c r="CL730" t="s">
        <v>228</v>
      </c>
      <c r="CM730" t="s">
        <v>234</v>
      </c>
      <c r="CN730" t="s">
        <v>73</v>
      </c>
      <c r="CO730">
        <v>-302.5</v>
      </c>
      <c r="CP730">
        <v>42276326</v>
      </c>
      <c r="CQ730" s="73">
        <v>45363.911365740743</v>
      </c>
      <c r="CR730" t="s">
        <v>229</v>
      </c>
      <c r="CS730" t="s">
        <v>99</v>
      </c>
      <c r="CU730" t="s">
        <v>225</v>
      </c>
    </row>
    <row r="731" spans="1:99">
      <c r="A731" t="s">
        <v>103</v>
      </c>
      <c r="B731" t="s">
        <v>98</v>
      </c>
      <c r="J731" t="s">
        <v>225</v>
      </c>
      <c r="K731" t="s">
        <v>225</v>
      </c>
      <c r="M731" s="73">
        <v>45363.911365740743</v>
      </c>
      <c r="N731">
        <v>42276325</v>
      </c>
      <c r="O731">
        <v>6050</v>
      </c>
      <c r="P731" t="s">
        <v>104</v>
      </c>
      <c r="Q731">
        <v>6050</v>
      </c>
      <c r="R731" t="s">
        <v>104</v>
      </c>
      <c r="S731">
        <v>302.5</v>
      </c>
      <c r="T731" t="s">
        <v>73</v>
      </c>
      <c r="U731" t="s">
        <v>226</v>
      </c>
      <c r="V731" t="s">
        <v>456</v>
      </c>
      <c r="W731" t="s">
        <v>235</v>
      </c>
      <c r="X731" t="s">
        <v>229</v>
      </c>
      <c r="Y731" t="s">
        <v>103</v>
      </c>
      <c r="AD731" t="s">
        <v>104</v>
      </c>
      <c r="AE731">
        <v>6050</v>
      </c>
      <c r="AF731">
        <v>42276325</v>
      </c>
      <c r="AG731" s="73">
        <v>45363.911365740743</v>
      </c>
      <c r="AH731" t="s">
        <v>226</v>
      </c>
      <c r="AI731" t="s">
        <v>456</v>
      </c>
      <c r="AJ731" t="s">
        <v>235</v>
      </c>
      <c r="AK731" t="s">
        <v>229</v>
      </c>
      <c r="AL731" t="s">
        <v>103</v>
      </c>
      <c r="AP731" t="s">
        <v>230</v>
      </c>
      <c r="AQ731" t="s">
        <v>231</v>
      </c>
      <c r="AT731" t="s">
        <v>232</v>
      </c>
      <c r="AU731">
        <v>-99</v>
      </c>
      <c r="AV731" t="s">
        <v>104</v>
      </c>
      <c r="AW731">
        <v>6050</v>
      </c>
      <c r="AX731">
        <v>42276325</v>
      </c>
      <c r="AY731" s="73">
        <v>45363.911365740743</v>
      </c>
      <c r="AZ731" t="s">
        <v>226</v>
      </c>
      <c r="BA731" t="s">
        <v>456</v>
      </c>
      <c r="BB731" t="s">
        <v>235</v>
      </c>
      <c r="BC731" t="s">
        <v>229</v>
      </c>
      <c r="BD731" t="s">
        <v>103</v>
      </c>
      <c r="BI731" t="s">
        <v>233</v>
      </c>
      <c r="BJ731" t="s">
        <v>0</v>
      </c>
      <c r="BK731">
        <v>42276311</v>
      </c>
      <c r="BN731" t="s">
        <v>104</v>
      </c>
      <c r="BO731">
        <v>42276317</v>
      </c>
      <c r="BR731">
        <v>6050</v>
      </c>
      <c r="BS731">
        <v>42276325</v>
      </c>
      <c r="BT731" s="73">
        <v>45363.911365740743</v>
      </c>
      <c r="BU731" t="s">
        <v>226</v>
      </c>
      <c r="BV731" t="s">
        <v>456</v>
      </c>
      <c r="BW731" t="s">
        <v>235</v>
      </c>
      <c r="CH731" t="s">
        <v>229</v>
      </c>
      <c r="CI731" t="s">
        <v>103</v>
      </c>
      <c r="CJ731" t="s">
        <v>226</v>
      </c>
      <c r="CK731" t="s">
        <v>456</v>
      </c>
      <c r="CL731" t="s">
        <v>235</v>
      </c>
      <c r="CM731" t="s">
        <v>236</v>
      </c>
      <c r="CN731" t="s">
        <v>104</v>
      </c>
      <c r="CO731">
        <v>6050</v>
      </c>
      <c r="CP731">
        <v>42276325</v>
      </c>
      <c r="CQ731" s="73">
        <v>45363.911365740743</v>
      </c>
      <c r="CR731" t="s">
        <v>229</v>
      </c>
      <c r="CS731" t="s">
        <v>103</v>
      </c>
      <c r="CU731" t="s">
        <v>225</v>
      </c>
    </row>
    <row r="732" spans="1:99">
      <c r="A732" t="s">
        <v>111</v>
      </c>
      <c r="B732" t="s">
        <v>77</v>
      </c>
      <c r="J732" t="s">
        <v>225</v>
      </c>
      <c r="K732" t="s">
        <v>225</v>
      </c>
      <c r="M732" s="73">
        <v>45363.911365740743</v>
      </c>
      <c r="N732">
        <v>42276324</v>
      </c>
      <c r="O732">
        <v>6</v>
      </c>
      <c r="P732" t="s">
        <v>45</v>
      </c>
      <c r="Q732">
        <v>6</v>
      </c>
      <c r="R732" t="s">
        <v>45</v>
      </c>
      <c r="U732" t="s">
        <v>226</v>
      </c>
      <c r="V732" t="s">
        <v>456</v>
      </c>
      <c r="W732" t="s">
        <v>237</v>
      </c>
      <c r="X732" t="s">
        <v>229</v>
      </c>
      <c r="Y732" t="s">
        <v>111</v>
      </c>
      <c r="AD732" t="s">
        <v>45</v>
      </c>
      <c r="AE732">
        <v>6</v>
      </c>
      <c r="AF732">
        <v>42276324</v>
      </c>
      <c r="AG732" s="73">
        <v>45363.911365740743</v>
      </c>
      <c r="AH732" t="s">
        <v>226</v>
      </c>
      <c r="AI732" t="s">
        <v>456</v>
      </c>
      <c r="AJ732" t="s">
        <v>237</v>
      </c>
      <c r="AK732" t="s">
        <v>229</v>
      </c>
      <c r="AL732" t="s">
        <v>111</v>
      </c>
      <c r="AP732" t="s">
        <v>230</v>
      </c>
      <c r="AQ732" t="s">
        <v>231</v>
      </c>
      <c r="AT732" t="s">
        <v>232</v>
      </c>
      <c r="AU732">
        <v>-99</v>
      </c>
      <c r="AV732" t="s">
        <v>45</v>
      </c>
      <c r="AW732">
        <v>6</v>
      </c>
      <c r="AX732">
        <v>42276324</v>
      </c>
      <c r="AY732" s="73">
        <v>45363.911365740743</v>
      </c>
      <c r="AZ732" t="s">
        <v>226</v>
      </c>
      <c r="BA732" t="s">
        <v>456</v>
      </c>
      <c r="BB732" t="s">
        <v>237</v>
      </c>
      <c r="BC732" t="s">
        <v>229</v>
      </c>
      <c r="BD732" t="s">
        <v>111</v>
      </c>
      <c r="BI732" t="s">
        <v>233</v>
      </c>
      <c r="BJ732" t="s">
        <v>0</v>
      </c>
      <c r="BK732">
        <v>42276311</v>
      </c>
      <c r="BN732" t="s">
        <v>45</v>
      </c>
      <c r="BO732">
        <v>42276319</v>
      </c>
      <c r="BR732">
        <v>6</v>
      </c>
      <c r="BS732">
        <v>42276324</v>
      </c>
      <c r="BT732" s="73">
        <v>45363.911365740743</v>
      </c>
      <c r="BU732" t="s">
        <v>226</v>
      </c>
      <c r="BV732" t="s">
        <v>456</v>
      </c>
      <c r="BW732" t="s">
        <v>237</v>
      </c>
      <c r="CH732" t="s">
        <v>229</v>
      </c>
      <c r="CI732" t="s">
        <v>111</v>
      </c>
      <c r="CJ732" t="s">
        <v>226</v>
      </c>
      <c r="CK732" t="s">
        <v>456</v>
      </c>
      <c r="CL732" t="s">
        <v>237</v>
      </c>
      <c r="CM732" t="s">
        <v>236</v>
      </c>
      <c r="CN732" t="s">
        <v>45</v>
      </c>
      <c r="CO732">
        <v>6</v>
      </c>
      <c r="CP732">
        <v>42276324</v>
      </c>
      <c r="CQ732" s="73">
        <v>45363.911365740743</v>
      </c>
      <c r="CR732" t="s">
        <v>229</v>
      </c>
      <c r="CS732" t="s">
        <v>111</v>
      </c>
      <c r="CU732" t="s">
        <v>225</v>
      </c>
    </row>
    <row r="733" spans="1:99">
      <c r="A733" t="s">
        <v>42</v>
      </c>
      <c r="B733" t="s">
        <v>92</v>
      </c>
      <c r="J733" t="s">
        <v>225</v>
      </c>
      <c r="K733" t="s">
        <v>225</v>
      </c>
      <c r="M733" s="73">
        <v>45363.621527777781</v>
      </c>
      <c r="N733">
        <v>42276342</v>
      </c>
      <c r="O733">
        <v>-6400</v>
      </c>
      <c r="P733" t="s">
        <v>45</v>
      </c>
      <c r="Q733">
        <v>-6400</v>
      </c>
      <c r="R733" t="s">
        <v>45</v>
      </c>
      <c r="U733" t="s">
        <v>226</v>
      </c>
      <c r="V733" t="s">
        <v>457</v>
      </c>
      <c r="W733" t="s">
        <v>228</v>
      </c>
      <c r="X733" t="s">
        <v>229</v>
      </c>
      <c r="Y733" t="s">
        <v>42</v>
      </c>
      <c r="AD733" t="s">
        <v>45</v>
      </c>
      <c r="AE733">
        <v>-6400</v>
      </c>
      <c r="AF733">
        <v>42276342</v>
      </c>
      <c r="AG733" s="73">
        <v>45363.621527777781</v>
      </c>
      <c r="AH733" t="s">
        <v>226</v>
      </c>
      <c r="AI733" t="s">
        <v>457</v>
      </c>
      <c r="AJ733" t="s">
        <v>228</v>
      </c>
      <c r="AK733" t="s">
        <v>229</v>
      </c>
      <c r="AL733" t="s">
        <v>42</v>
      </c>
      <c r="AP733" t="s">
        <v>230</v>
      </c>
      <c r="AQ733" t="s">
        <v>231</v>
      </c>
      <c r="AT733" t="s">
        <v>232</v>
      </c>
      <c r="AU733">
        <v>-99</v>
      </c>
      <c r="AV733" t="s">
        <v>45</v>
      </c>
      <c r="AW733">
        <v>-6400</v>
      </c>
      <c r="AX733">
        <v>42276342</v>
      </c>
      <c r="AY733" s="73">
        <v>45363.621527777781</v>
      </c>
      <c r="AZ733" t="s">
        <v>226</v>
      </c>
      <c r="BA733" t="s">
        <v>457</v>
      </c>
      <c r="BB733" t="s">
        <v>228</v>
      </c>
      <c r="BC733" t="s">
        <v>229</v>
      </c>
      <c r="BD733" t="s">
        <v>42</v>
      </c>
      <c r="BI733" t="s">
        <v>233</v>
      </c>
      <c r="BJ733" t="s">
        <v>0</v>
      </c>
      <c r="BK733">
        <v>42276330</v>
      </c>
      <c r="BN733" t="s">
        <v>45</v>
      </c>
      <c r="BR733">
        <v>-6400</v>
      </c>
      <c r="BS733">
        <v>42276342</v>
      </c>
      <c r="BT733" s="73">
        <v>45363.621527777781</v>
      </c>
      <c r="BU733" t="s">
        <v>226</v>
      </c>
      <c r="BV733" t="s">
        <v>457</v>
      </c>
      <c r="BW733" t="s">
        <v>228</v>
      </c>
      <c r="CH733" t="s">
        <v>229</v>
      </c>
      <c r="CI733" t="s">
        <v>42</v>
      </c>
      <c r="CJ733" t="s">
        <v>226</v>
      </c>
      <c r="CK733" t="s">
        <v>457</v>
      </c>
      <c r="CL733" t="s">
        <v>228</v>
      </c>
      <c r="CM733" t="s">
        <v>234</v>
      </c>
      <c r="CN733" t="s">
        <v>45</v>
      </c>
      <c r="CO733">
        <v>-6400</v>
      </c>
      <c r="CP733">
        <v>42276342</v>
      </c>
      <c r="CQ733" s="73">
        <v>45363.621527777781</v>
      </c>
      <c r="CR733" t="s">
        <v>229</v>
      </c>
      <c r="CS733" t="s">
        <v>42</v>
      </c>
      <c r="CU733" t="s">
        <v>225</v>
      </c>
    </row>
    <row r="734" spans="1:99">
      <c r="A734" t="s">
        <v>99</v>
      </c>
      <c r="B734" t="s">
        <v>98</v>
      </c>
      <c r="J734" t="s">
        <v>225</v>
      </c>
      <c r="K734" t="s">
        <v>225</v>
      </c>
      <c r="M734" s="73">
        <v>45363.621527777781</v>
      </c>
      <c r="N734">
        <v>42276341</v>
      </c>
      <c r="O734">
        <v>-320</v>
      </c>
      <c r="P734" t="s">
        <v>73</v>
      </c>
      <c r="Q734">
        <v>-320</v>
      </c>
      <c r="R734" t="s">
        <v>73</v>
      </c>
      <c r="U734" t="s">
        <v>226</v>
      </c>
      <c r="V734" t="s">
        <v>457</v>
      </c>
      <c r="W734" t="s">
        <v>228</v>
      </c>
      <c r="X734" t="s">
        <v>229</v>
      </c>
      <c r="Y734" t="s">
        <v>99</v>
      </c>
      <c r="AD734" t="s">
        <v>73</v>
      </c>
      <c r="AE734">
        <v>-320</v>
      </c>
      <c r="AF734">
        <v>42276341</v>
      </c>
      <c r="AG734" s="73">
        <v>45363.621527777781</v>
      </c>
      <c r="AH734" t="s">
        <v>226</v>
      </c>
      <c r="AI734" t="s">
        <v>457</v>
      </c>
      <c r="AJ734" t="s">
        <v>228</v>
      </c>
      <c r="AK734" t="s">
        <v>229</v>
      </c>
      <c r="AL734" t="s">
        <v>99</v>
      </c>
      <c r="AP734" t="s">
        <v>230</v>
      </c>
      <c r="AQ734" t="s">
        <v>231</v>
      </c>
      <c r="AT734" t="s">
        <v>232</v>
      </c>
      <c r="AU734">
        <v>-99</v>
      </c>
      <c r="AV734" t="s">
        <v>73</v>
      </c>
      <c r="AW734">
        <v>-320</v>
      </c>
      <c r="AX734">
        <v>42276341</v>
      </c>
      <c r="AY734" s="73">
        <v>45363.621527777781</v>
      </c>
      <c r="AZ734" t="s">
        <v>226</v>
      </c>
      <c r="BA734" t="s">
        <v>457</v>
      </c>
      <c r="BB734" t="s">
        <v>228</v>
      </c>
      <c r="BC734" t="s">
        <v>229</v>
      </c>
      <c r="BD734" t="s">
        <v>99</v>
      </c>
      <c r="BI734" t="s">
        <v>233</v>
      </c>
      <c r="BJ734" t="s">
        <v>0</v>
      </c>
      <c r="BK734">
        <v>42276330</v>
      </c>
      <c r="BN734" t="s">
        <v>73</v>
      </c>
      <c r="BR734">
        <v>-320</v>
      </c>
      <c r="BS734">
        <v>42276341</v>
      </c>
      <c r="BT734" s="73">
        <v>45363.621527777781</v>
      </c>
      <c r="BU734" t="s">
        <v>226</v>
      </c>
      <c r="BV734" t="s">
        <v>457</v>
      </c>
      <c r="BW734" t="s">
        <v>228</v>
      </c>
      <c r="CH734" t="s">
        <v>229</v>
      </c>
      <c r="CI734" t="s">
        <v>99</v>
      </c>
      <c r="CJ734" t="s">
        <v>226</v>
      </c>
      <c r="CK734" t="s">
        <v>457</v>
      </c>
      <c r="CL734" t="s">
        <v>228</v>
      </c>
      <c r="CM734" t="s">
        <v>234</v>
      </c>
      <c r="CN734" t="s">
        <v>73</v>
      </c>
      <c r="CO734">
        <v>-320</v>
      </c>
      <c r="CP734">
        <v>42276341</v>
      </c>
      <c r="CQ734" s="73">
        <v>45363.621527777781</v>
      </c>
      <c r="CR734" t="s">
        <v>229</v>
      </c>
      <c r="CS734" t="s">
        <v>99</v>
      </c>
      <c r="CU734" t="s">
        <v>225</v>
      </c>
    </row>
    <row r="735" spans="1:99">
      <c r="A735" t="s">
        <v>103</v>
      </c>
      <c r="B735" t="s">
        <v>98</v>
      </c>
      <c r="J735" t="s">
        <v>225</v>
      </c>
      <c r="K735" t="s">
        <v>225</v>
      </c>
      <c r="M735" s="73">
        <v>45363.621527777781</v>
      </c>
      <c r="N735">
        <v>42276340</v>
      </c>
      <c r="O735">
        <v>6400</v>
      </c>
      <c r="P735" t="s">
        <v>104</v>
      </c>
      <c r="Q735">
        <v>6400</v>
      </c>
      <c r="R735" t="s">
        <v>104</v>
      </c>
      <c r="S735">
        <v>320</v>
      </c>
      <c r="T735" t="s">
        <v>73</v>
      </c>
      <c r="U735" t="s">
        <v>226</v>
      </c>
      <c r="V735" t="s">
        <v>457</v>
      </c>
      <c r="W735" t="s">
        <v>235</v>
      </c>
      <c r="X735" t="s">
        <v>229</v>
      </c>
      <c r="Y735" t="s">
        <v>103</v>
      </c>
      <c r="AD735" t="s">
        <v>104</v>
      </c>
      <c r="AE735">
        <v>6400</v>
      </c>
      <c r="AF735">
        <v>42276340</v>
      </c>
      <c r="AG735" s="73">
        <v>45363.621527777781</v>
      </c>
      <c r="AH735" t="s">
        <v>226</v>
      </c>
      <c r="AI735" t="s">
        <v>457</v>
      </c>
      <c r="AJ735" t="s">
        <v>235</v>
      </c>
      <c r="AK735" t="s">
        <v>229</v>
      </c>
      <c r="AL735" t="s">
        <v>103</v>
      </c>
      <c r="AP735" t="s">
        <v>230</v>
      </c>
      <c r="AQ735" t="s">
        <v>231</v>
      </c>
      <c r="AT735" t="s">
        <v>232</v>
      </c>
      <c r="AU735">
        <v>-99</v>
      </c>
      <c r="AV735" t="s">
        <v>104</v>
      </c>
      <c r="AW735">
        <v>6400</v>
      </c>
      <c r="AX735">
        <v>42276340</v>
      </c>
      <c r="AY735" s="73">
        <v>45363.621527777781</v>
      </c>
      <c r="AZ735" t="s">
        <v>226</v>
      </c>
      <c r="BA735" t="s">
        <v>457</v>
      </c>
      <c r="BB735" t="s">
        <v>235</v>
      </c>
      <c r="BC735" t="s">
        <v>229</v>
      </c>
      <c r="BD735" t="s">
        <v>103</v>
      </c>
      <c r="BI735" t="s">
        <v>233</v>
      </c>
      <c r="BJ735" t="s">
        <v>0</v>
      </c>
      <c r="BK735">
        <v>42276330</v>
      </c>
      <c r="BN735" t="s">
        <v>104</v>
      </c>
      <c r="BO735">
        <v>42276336</v>
      </c>
      <c r="BR735">
        <v>6400</v>
      </c>
      <c r="BS735">
        <v>42276340</v>
      </c>
      <c r="BT735" s="73">
        <v>45363.621527777781</v>
      </c>
      <c r="BU735" t="s">
        <v>226</v>
      </c>
      <c r="BV735" t="s">
        <v>457</v>
      </c>
      <c r="BW735" t="s">
        <v>235</v>
      </c>
      <c r="CH735" t="s">
        <v>229</v>
      </c>
      <c r="CI735" t="s">
        <v>103</v>
      </c>
      <c r="CJ735" t="s">
        <v>226</v>
      </c>
      <c r="CK735" t="s">
        <v>457</v>
      </c>
      <c r="CL735" t="s">
        <v>235</v>
      </c>
      <c r="CM735" t="s">
        <v>236</v>
      </c>
      <c r="CN735" t="s">
        <v>104</v>
      </c>
      <c r="CO735">
        <v>6400</v>
      </c>
      <c r="CP735">
        <v>42276340</v>
      </c>
      <c r="CQ735" s="73">
        <v>45363.621527777781</v>
      </c>
      <c r="CR735" t="s">
        <v>229</v>
      </c>
      <c r="CS735" t="s">
        <v>103</v>
      </c>
      <c r="CU735" t="s">
        <v>225</v>
      </c>
    </row>
    <row r="736" spans="1:99">
      <c r="A736" t="s">
        <v>52</v>
      </c>
      <c r="B736" t="s">
        <v>92</v>
      </c>
      <c r="J736" t="s">
        <v>225</v>
      </c>
      <c r="K736" t="s">
        <v>225</v>
      </c>
      <c r="M736" s="73">
        <v>45363.606249999997</v>
      </c>
      <c r="N736">
        <v>42275996</v>
      </c>
      <c r="O736">
        <v>-1220</v>
      </c>
      <c r="P736" t="s">
        <v>45</v>
      </c>
      <c r="Q736">
        <v>-1220</v>
      </c>
      <c r="R736" t="s">
        <v>45</v>
      </c>
      <c r="U736" t="s">
        <v>226</v>
      </c>
      <c r="V736" t="s">
        <v>458</v>
      </c>
      <c r="W736" t="s">
        <v>228</v>
      </c>
      <c r="X736" t="s">
        <v>229</v>
      </c>
      <c r="Y736" t="s">
        <v>52</v>
      </c>
      <c r="AD736" t="s">
        <v>45</v>
      </c>
      <c r="AE736">
        <v>-1220</v>
      </c>
      <c r="AF736">
        <v>42275996</v>
      </c>
      <c r="AG736" s="73">
        <v>45363.606249999997</v>
      </c>
      <c r="AH736" t="s">
        <v>226</v>
      </c>
      <c r="AI736" t="s">
        <v>458</v>
      </c>
      <c r="AJ736" t="s">
        <v>228</v>
      </c>
      <c r="AK736" t="s">
        <v>229</v>
      </c>
      <c r="AL736" t="s">
        <v>52</v>
      </c>
      <c r="AP736" t="s">
        <v>230</v>
      </c>
      <c r="AQ736" t="s">
        <v>231</v>
      </c>
      <c r="AT736" t="s">
        <v>232</v>
      </c>
      <c r="AU736">
        <v>-99</v>
      </c>
      <c r="AV736" t="s">
        <v>45</v>
      </c>
      <c r="AW736">
        <v>-1220</v>
      </c>
      <c r="AX736">
        <v>42275996</v>
      </c>
      <c r="AY736" s="73">
        <v>45363.606249999997</v>
      </c>
      <c r="AZ736" t="s">
        <v>226</v>
      </c>
      <c r="BA736" t="s">
        <v>458</v>
      </c>
      <c r="BB736" t="s">
        <v>228</v>
      </c>
      <c r="BC736" t="s">
        <v>229</v>
      </c>
      <c r="BD736" t="s">
        <v>52</v>
      </c>
      <c r="BI736" t="s">
        <v>233</v>
      </c>
      <c r="BJ736" t="s">
        <v>0</v>
      </c>
      <c r="BK736">
        <v>42275984</v>
      </c>
      <c r="BN736" t="s">
        <v>45</v>
      </c>
      <c r="BR736">
        <v>-1220</v>
      </c>
      <c r="BS736">
        <v>42275996</v>
      </c>
      <c r="BT736" s="73">
        <v>45363.606249999997</v>
      </c>
      <c r="BU736" t="s">
        <v>226</v>
      </c>
      <c r="BV736" t="s">
        <v>458</v>
      </c>
      <c r="BW736" t="s">
        <v>228</v>
      </c>
      <c r="CH736" t="s">
        <v>229</v>
      </c>
      <c r="CI736" t="s">
        <v>52</v>
      </c>
      <c r="CJ736" t="s">
        <v>226</v>
      </c>
      <c r="CK736" t="s">
        <v>458</v>
      </c>
      <c r="CL736" t="s">
        <v>228</v>
      </c>
      <c r="CM736" t="s">
        <v>234</v>
      </c>
      <c r="CN736" t="s">
        <v>45</v>
      </c>
      <c r="CO736">
        <v>-1220</v>
      </c>
      <c r="CP736">
        <v>42275996</v>
      </c>
      <c r="CQ736" s="73">
        <v>45363.606249999997</v>
      </c>
      <c r="CR736" t="s">
        <v>229</v>
      </c>
      <c r="CS736" t="s">
        <v>52</v>
      </c>
      <c r="CU736" t="s">
        <v>225</v>
      </c>
    </row>
    <row r="737" spans="1:99">
      <c r="A737" t="s">
        <v>101</v>
      </c>
      <c r="B737" t="s">
        <v>98</v>
      </c>
      <c r="J737" t="s">
        <v>225</v>
      </c>
      <c r="K737" t="s">
        <v>225</v>
      </c>
      <c r="M737" s="73">
        <v>45363.606249999997</v>
      </c>
      <c r="N737">
        <v>42275995</v>
      </c>
      <c r="O737">
        <v>-61</v>
      </c>
      <c r="P737" t="s">
        <v>73</v>
      </c>
      <c r="Q737">
        <v>-61</v>
      </c>
      <c r="R737" t="s">
        <v>73</v>
      </c>
      <c r="U737" t="s">
        <v>226</v>
      </c>
      <c r="V737" t="s">
        <v>458</v>
      </c>
      <c r="W737" t="s">
        <v>228</v>
      </c>
      <c r="X737" t="s">
        <v>229</v>
      </c>
      <c r="Y737" t="s">
        <v>101</v>
      </c>
      <c r="AD737" t="s">
        <v>73</v>
      </c>
      <c r="AE737">
        <v>-61</v>
      </c>
      <c r="AF737">
        <v>42275995</v>
      </c>
      <c r="AG737" s="73">
        <v>45363.606249999997</v>
      </c>
      <c r="AH737" t="s">
        <v>226</v>
      </c>
      <c r="AI737" t="s">
        <v>458</v>
      </c>
      <c r="AJ737" t="s">
        <v>228</v>
      </c>
      <c r="AK737" t="s">
        <v>229</v>
      </c>
      <c r="AL737" t="s">
        <v>101</v>
      </c>
      <c r="AP737" t="s">
        <v>230</v>
      </c>
      <c r="AQ737" t="s">
        <v>231</v>
      </c>
      <c r="AT737" t="s">
        <v>232</v>
      </c>
      <c r="AU737">
        <v>-99</v>
      </c>
      <c r="AV737" t="s">
        <v>73</v>
      </c>
      <c r="AW737">
        <v>-61</v>
      </c>
      <c r="AX737">
        <v>42275995</v>
      </c>
      <c r="AY737" s="73">
        <v>45363.606249999997</v>
      </c>
      <c r="AZ737" t="s">
        <v>226</v>
      </c>
      <c r="BA737" t="s">
        <v>458</v>
      </c>
      <c r="BB737" t="s">
        <v>228</v>
      </c>
      <c r="BC737" t="s">
        <v>229</v>
      </c>
      <c r="BD737" t="s">
        <v>101</v>
      </c>
      <c r="BI737" t="s">
        <v>233</v>
      </c>
      <c r="BJ737" t="s">
        <v>0</v>
      </c>
      <c r="BK737">
        <v>42275984</v>
      </c>
      <c r="BN737" t="s">
        <v>73</v>
      </c>
      <c r="BR737">
        <v>-61</v>
      </c>
      <c r="BS737">
        <v>42275995</v>
      </c>
      <c r="BT737" s="73">
        <v>45363.606249999997</v>
      </c>
      <c r="BU737" t="s">
        <v>226</v>
      </c>
      <c r="BV737" t="s">
        <v>458</v>
      </c>
      <c r="BW737" t="s">
        <v>228</v>
      </c>
      <c r="CH737" t="s">
        <v>229</v>
      </c>
      <c r="CI737" t="s">
        <v>101</v>
      </c>
      <c r="CJ737" t="s">
        <v>226</v>
      </c>
      <c r="CK737" t="s">
        <v>458</v>
      </c>
      <c r="CL737" t="s">
        <v>228</v>
      </c>
      <c r="CM737" t="s">
        <v>234</v>
      </c>
      <c r="CN737" t="s">
        <v>73</v>
      </c>
      <c r="CO737">
        <v>-61</v>
      </c>
      <c r="CP737">
        <v>42275995</v>
      </c>
      <c r="CQ737" s="73">
        <v>45363.606249999997</v>
      </c>
      <c r="CR737" t="s">
        <v>229</v>
      </c>
      <c r="CS737" t="s">
        <v>101</v>
      </c>
      <c r="CU737" t="s">
        <v>225</v>
      </c>
    </row>
    <row r="738" spans="1:99">
      <c r="A738" t="s">
        <v>107</v>
      </c>
      <c r="B738" t="s">
        <v>98</v>
      </c>
      <c r="J738" t="s">
        <v>225</v>
      </c>
      <c r="K738" t="s">
        <v>225</v>
      </c>
      <c r="M738" s="73">
        <v>45363.606249999997</v>
      </c>
      <c r="N738">
        <v>42275994</v>
      </c>
      <c r="O738">
        <v>1220</v>
      </c>
      <c r="P738" t="s">
        <v>104</v>
      </c>
      <c r="Q738">
        <v>1220</v>
      </c>
      <c r="R738" t="s">
        <v>104</v>
      </c>
      <c r="S738">
        <v>61</v>
      </c>
      <c r="T738" t="s">
        <v>73</v>
      </c>
      <c r="U738" t="s">
        <v>226</v>
      </c>
      <c r="V738" t="s">
        <v>458</v>
      </c>
      <c r="W738" t="s">
        <v>235</v>
      </c>
      <c r="X738" t="s">
        <v>229</v>
      </c>
      <c r="Y738" t="s">
        <v>107</v>
      </c>
      <c r="AD738" t="s">
        <v>104</v>
      </c>
      <c r="AE738">
        <v>1220</v>
      </c>
      <c r="AF738">
        <v>42275994</v>
      </c>
      <c r="AG738" s="73">
        <v>45363.606249999997</v>
      </c>
      <c r="AH738" t="s">
        <v>226</v>
      </c>
      <c r="AI738" t="s">
        <v>458</v>
      </c>
      <c r="AJ738" t="s">
        <v>235</v>
      </c>
      <c r="AK738" t="s">
        <v>229</v>
      </c>
      <c r="AL738" t="s">
        <v>107</v>
      </c>
      <c r="AP738" t="s">
        <v>230</v>
      </c>
      <c r="AQ738" t="s">
        <v>231</v>
      </c>
      <c r="AT738" t="s">
        <v>232</v>
      </c>
      <c r="AU738">
        <v>-99</v>
      </c>
      <c r="AV738" t="s">
        <v>104</v>
      </c>
      <c r="AW738">
        <v>1220</v>
      </c>
      <c r="AX738">
        <v>42275994</v>
      </c>
      <c r="AY738" s="73">
        <v>45363.606249999997</v>
      </c>
      <c r="AZ738" t="s">
        <v>226</v>
      </c>
      <c r="BA738" t="s">
        <v>458</v>
      </c>
      <c r="BB738" t="s">
        <v>235</v>
      </c>
      <c r="BC738" t="s">
        <v>229</v>
      </c>
      <c r="BD738" t="s">
        <v>107</v>
      </c>
      <c r="BI738" t="s">
        <v>233</v>
      </c>
      <c r="BJ738" t="s">
        <v>0</v>
      </c>
      <c r="BK738">
        <v>42275984</v>
      </c>
      <c r="BN738" t="s">
        <v>104</v>
      </c>
      <c r="BO738">
        <v>42275990</v>
      </c>
      <c r="BR738">
        <v>1220</v>
      </c>
      <c r="BS738">
        <v>42275994</v>
      </c>
      <c r="BT738" s="73">
        <v>45363.606249999997</v>
      </c>
      <c r="BU738" t="s">
        <v>226</v>
      </c>
      <c r="BV738" t="s">
        <v>458</v>
      </c>
      <c r="BW738" t="s">
        <v>235</v>
      </c>
      <c r="CH738" t="s">
        <v>229</v>
      </c>
      <c r="CI738" t="s">
        <v>107</v>
      </c>
      <c r="CJ738" t="s">
        <v>226</v>
      </c>
      <c r="CK738" t="s">
        <v>458</v>
      </c>
      <c r="CL738" t="s">
        <v>235</v>
      </c>
      <c r="CM738" t="s">
        <v>236</v>
      </c>
      <c r="CN738" t="s">
        <v>104</v>
      </c>
      <c r="CO738">
        <v>1220</v>
      </c>
      <c r="CP738">
        <v>42275994</v>
      </c>
      <c r="CQ738" s="73">
        <v>45363.606249999997</v>
      </c>
      <c r="CR738" t="s">
        <v>229</v>
      </c>
      <c r="CS738" t="s">
        <v>107</v>
      </c>
      <c r="CU738" t="s">
        <v>225</v>
      </c>
    </row>
    <row r="739" spans="1:99">
      <c r="A739" t="s">
        <v>113</v>
      </c>
      <c r="B739" t="s">
        <v>90</v>
      </c>
      <c r="J739" t="s">
        <v>225</v>
      </c>
      <c r="K739" t="s">
        <v>225</v>
      </c>
      <c r="M739" s="73">
        <v>45363.590289351851</v>
      </c>
      <c r="N739">
        <v>42278740</v>
      </c>
      <c r="O739">
        <v>-280</v>
      </c>
      <c r="P739" t="s">
        <v>115</v>
      </c>
      <c r="Q739">
        <v>-280</v>
      </c>
      <c r="R739" t="s">
        <v>115</v>
      </c>
      <c r="U739" t="s">
        <v>226</v>
      </c>
      <c r="V739" t="s">
        <v>455</v>
      </c>
      <c r="W739" t="s">
        <v>228</v>
      </c>
      <c r="X739" t="s">
        <v>229</v>
      </c>
      <c r="Y739" t="s">
        <v>113</v>
      </c>
      <c r="AD739" t="s">
        <v>115</v>
      </c>
      <c r="AE739">
        <v>-280</v>
      </c>
      <c r="AF739">
        <v>42278740</v>
      </c>
      <c r="AG739" s="73">
        <v>45363.590289351851</v>
      </c>
      <c r="AH739" t="s">
        <v>226</v>
      </c>
      <c r="AI739" t="s">
        <v>455</v>
      </c>
      <c r="AJ739" t="s">
        <v>228</v>
      </c>
      <c r="AK739" t="s">
        <v>229</v>
      </c>
      <c r="AL739" t="s">
        <v>113</v>
      </c>
      <c r="AP739" t="s">
        <v>230</v>
      </c>
      <c r="AQ739" t="s">
        <v>231</v>
      </c>
      <c r="AT739" t="s">
        <v>232</v>
      </c>
      <c r="AU739">
        <v>-99</v>
      </c>
      <c r="AV739" t="s">
        <v>115</v>
      </c>
      <c r="AW739">
        <v>-280</v>
      </c>
      <c r="AX739">
        <v>42278740</v>
      </c>
      <c r="AY739" s="73">
        <v>45363.590289351851</v>
      </c>
      <c r="AZ739" t="s">
        <v>226</v>
      </c>
      <c r="BA739" t="s">
        <v>455</v>
      </c>
      <c r="BB739" t="s">
        <v>228</v>
      </c>
      <c r="BC739" t="s">
        <v>229</v>
      </c>
      <c r="BD739" t="s">
        <v>113</v>
      </c>
      <c r="BI739" t="s">
        <v>233</v>
      </c>
      <c r="BJ739" t="s">
        <v>0</v>
      </c>
      <c r="BK739">
        <v>42278725</v>
      </c>
      <c r="BN739" t="s">
        <v>115</v>
      </c>
      <c r="BR739">
        <v>-280</v>
      </c>
      <c r="BS739">
        <v>42278740</v>
      </c>
      <c r="BT739" s="73">
        <v>45363.590289351851</v>
      </c>
      <c r="BU739" t="s">
        <v>226</v>
      </c>
      <c r="BV739" t="s">
        <v>455</v>
      </c>
      <c r="BW739" t="s">
        <v>228</v>
      </c>
      <c r="CH739" t="s">
        <v>229</v>
      </c>
      <c r="CI739" t="s">
        <v>113</v>
      </c>
      <c r="CJ739" t="s">
        <v>226</v>
      </c>
      <c r="CK739" t="s">
        <v>455</v>
      </c>
      <c r="CL739" t="s">
        <v>228</v>
      </c>
      <c r="CM739" t="s">
        <v>234</v>
      </c>
      <c r="CN739" t="s">
        <v>115</v>
      </c>
      <c r="CO739">
        <v>-280</v>
      </c>
      <c r="CP739">
        <v>42278740</v>
      </c>
      <c r="CQ739" s="73">
        <v>45363.590289351851</v>
      </c>
      <c r="CR739" t="s">
        <v>229</v>
      </c>
      <c r="CS739" t="s">
        <v>113</v>
      </c>
      <c r="CU739" t="s">
        <v>225</v>
      </c>
    </row>
    <row r="740" spans="1:99">
      <c r="A740" t="s">
        <v>129</v>
      </c>
      <c r="B740" t="s">
        <v>90</v>
      </c>
      <c r="J740" t="s">
        <v>225</v>
      </c>
      <c r="K740" t="s">
        <v>225</v>
      </c>
      <c r="M740" s="73">
        <v>45363.590289351851</v>
      </c>
      <c r="N740">
        <v>42278739</v>
      </c>
      <c r="O740">
        <v>-5.6</v>
      </c>
      <c r="P740" t="s">
        <v>73</v>
      </c>
      <c r="Q740">
        <v>-5.6</v>
      </c>
      <c r="R740" t="s">
        <v>73</v>
      </c>
      <c r="U740" t="s">
        <v>226</v>
      </c>
      <c r="V740" t="s">
        <v>455</v>
      </c>
      <c r="W740" t="s">
        <v>228</v>
      </c>
      <c r="X740" t="s">
        <v>229</v>
      </c>
      <c r="Y740" t="s">
        <v>129</v>
      </c>
      <c r="AD740" t="s">
        <v>73</v>
      </c>
      <c r="AE740">
        <v>-5.6</v>
      </c>
      <c r="AF740">
        <v>42278739</v>
      </c>
      <c r="AG740" s="73">
        <v>45363.590289351851</v>
      </c>
      <c r="AH740" t="s">
        <v>226</v>
      </c>
      <c r="AI740" t="s">
        <v>455</v>
      </c>
      <c r="AJ740" t="s">
        <v>228</v>
      </c>
      <c r="AK740" t="s">
        <v>229</v>
      </c>
      <c r="AL740" t="s">
        <v>129</v>
      </c>
      <c r="AP740" t="s">
        <v>230</v>
      </c>
      <c r="AQ740" t="s">
        <v>231</v>
      </c>
      <c r="AT740" t="s">
        <v>232</v>
      </c>
      <c r="AU740">
        <v>-99</v>
      </c>
      <c r="AV740" t="s">
        <v>73</v>
      </c>
      <c r="AW740">
        <v>-5.6</v>
      </c>
      <c r="AX740">
        <v>42278739</v>
      </c>
      <c r="AY740" s="73">
        <v>45363.590289351851</v>
      </c>
      <c r="AZ740" t="s">
        <v>226</v>
      </c>
      <c r="BA740" t="s">
        <v>455</v>
      </c>
      <c r="BB740" t="s">
        <v>228</v>
      </c>
      <c r="BC740" t="s">
        <v>229</v>
      </c>
      <c r="BD740" t="s">
        <v>129</v>
      </c>
      <c r="BI740" t="s">
        <v>233</v>
      </c>
      <c r="BJ740" t="s">
        <v>0</v>
      </c>
      <c r="BK740">
        <v>42278725</v>
      </c>
      <c r="BN740" t="s">
        <v>73</v>
      </c>
      <c r="BR740">
        <v>-5.6</v>
      </c>
      <c r="BS740">
        <v>42278739</v>
      </c>
      <c r="BT740" s="73">
        <v>45363.590289351851</v>
      </c>
      <c r="BU740" t="s">
        <v>226</v>
      </c>
      <c r="BV740" t="s">
        <v>455</v>
      </c>
      <c r="BW740" t="s">
        <v>228</v>
      </c>
      <c r="CH740" t="s">
        <v>229</v>
      </c>
      <c r="CI740" t="s">
        <v>129</v>
      </c>
      <c r="CJ740" t="s">
        <v>226</v>
      </c>
      <c r="CK740" t="s">
        <v>455</v>
      </c>
      <c r="CL740" t="s">
        <v>228</v>
      </c>
      <c r="CM740" t="s">
        <v>234</v>
      </c>
      <c r="CN740" t="s">
        <v>73</v>
      </c>
      <c r="CO740">
        <v>-5.6</v>
      </c>
      <c r="CP740">
        <v>42278739</v>
      </c>
      <c r="CQ740" s="73">
        <v>45363.590289351851</v>
      </c>
      <c r="CR740" t="s">
        <v>229</v>
      </c>
      <c r="CS740" t="s">
        <v>129</v>
      </c>
      <c r="CU740" t="s">
        <v>225</v>
      </c>
    </row>
    <row r="741" spans="1:99">
      <c r="A741" t="s">
        <v>99</v>
      </c>
      <c r="B741" t="s">
        <v>98</v>
      </c>
      <c r="J741" t="s">
        <v>225</v>
      </c>
      <c r="K741" t="s">
        <v>225</v>
      </c>
      <c r="M741" s="73">
        <v>45363.590277777781</v>
      </c>
      <c r="N741">
        <v>42269520</v>
      </c>
      <c r="O741">
        <v>1418.85</v>
      </c>
      <c r="P741" t="s">
        <v>73</v>
      </c>
      <c r="Q741">
        <v>1418.85</v>
      </c>
      <c r="R741" t="s">
        <v>73</v>
      </c>
      <c r="U741" t="s">
        <v>226</v>
      </c>
      <c r="V741" t="s">
        <v>459</v>
      </c>
      <c r="W741" t="s">
        <v>235</v>
      </c>
      <c r="X741" t="s">
        <v>229</v>
      </c>
      <c r="Y741" t="s">
        <v>99</v>
      </c>
      <c r="AD741" t="s">
        <v>73</v>
      </c>
      <c r="AE741">
        <v>1418.85</v>
      </c>
      <c r="AF741">
        <v>42269520</v>
      </c>
      <c r="AG741" s="73">
        <v>45363.590277777781</v>
      </c>
      <c r="AH741" t="s">
        <v>226</v>
      </c>
      <c r="AI741" t="s">
        <v>459</v>
      </c>
      <c r="AJ741" t="s">
        <v>235</v>
      </c>
      <c r="AK741" t="s">
        <v>229</v>
      </c>
      <c r="AL741" t="s">
        <v>99</v>
      </c>
      <c r="AP741" t="s">
        <v>230</v>
      </c>
      <c r="AQ741" t="s">
        <v>231</v>
      </c>
      <c r="AT741" t="s">
        <v>232</v>
      </c>
      <c r="AU741">
        <v>-99</v>
      </c>
      <c r="AV741" t="s">
        <v>73</v>
      </c>
      <c r="AW741">
        <v>1418.85</v>
      </c>
      <c r="AX741">
        <v>42269520</v>
      </c>
      <c r="AY741" s="73">
        <v>45363.590277777781</v>
      </c>
      <c r="AZ741" t="s">
        <v>226</v>
      </c>
      <c r="BA741" t="s">
        <v>459</v>
      </c>
      <c r="BB741" t="s">
        <v>235</v>
      </c>
      <c r="BC741" t="s">
        <v>229</v>
      </c>
      <c r="BD741" t="s">
        <v>99</v>
      </c>
      <c r="BI741" t="s">
        <v>233</v>
      </c>
      <c r="BJ741" t="s">
        <v>0</v>
      </c>
      <c r="BK741">
        <v>42269516</v>
      </c>
      <c r="BN741" t="s">
        <v>73</v>
      </c>
      <c r="BO741">
        <v>42269518</v>
      </c>
      <c r="BR741">
        <v>1418.85</v>
      </c>
      <c r="BS741">
        <v>42269520</v>
      </c>
      <c r="BT741" s="73">
        <v>45363.590277777781</v>
      </c>
      <c r="BU741" t="s">
        <v>226</v>
      </c>
      <c r="BV741" t="s">
        <v>459</v>
      </c>
      <c r="BW741" t="s">
        <v>235</v>
      </c>
      <c r="CH741" t="s">
        <v>229</v>
      </c>
      <c r="CI741" t="s">
        <v>99</v>
      </c>
      <c r="CJ741" t="s">
        <v>226</v>
      </c>
      <c r="CK741" t="s">
        <v>459</v>
      </c>
      <c r="CL741" t="s">
        <v>235</v>
      </c>
      <c r="CM741" t="s">
        <v>236</v>
      </c>
      <c r="CN741" t="s">
        <v>73</v>
      </c>
      <c r="CO741">
        <v>1418.85</v>
      </c>
      <c r="CP741">
        <v>42269520</v>
      </c>
      <c r="CQ741" s="73">
        <v>45363.590277777781</v>
      </c>
      <c r="CR741" t="s">
        <v>229</v>
      </c>
      <c r="CS741" t="s">
        <v>99</v>
      </c>
      <c r="CU741" t="s">
        <v>225</v>
      </c>
    </row>
    <row r="742" spans="1:99">
      <c r="A742" t="s">
        <v>71</v>
      </c>
      <c r="B742" t="s">
        <v>77</v>
      </c>
      <c r="J742" t="s">
        <v>225</v>
      </c>
      <c r="K742" t="s">
        <v>225</v>
      </c>
      <c r="M742" s="73">
        <v>45363.590277777781</v>
      </c>
      <c r="N742">
        <v>42269513</v>
      </c>
      <c r="O742">
        <v>0.85</v>
      </c>
      <c r="P742" t="s">
        <v>73</v>
      </c>
      <c r="Q742">
        <v>0.85</v>
      </c>
      <c r="R742" t="s">
        <v>73</v>
      </c>
      <c r="U742" t="s">
        <v>226</v>
      </c>
      <c r="V742" t="s">
        <v>459</v>
      </c>
      <c r="W742" t="s">
        <v>237</v>
      </c>
      <c r="X742" t="s">
        <v>229</v>
      </c>
      <c r="Y742" t="s">
        <v>71</v>
      </c>
      <c r="AD742" t="s">
        <v>73</v>
      </c>
      <c r="AE742">
        <v>0.85</v>
      </c>
      <c r="AF742">
        <v>42269513</v>
      </c>
      <c r="AG742" s="73">
        <v>45363.590277777781</v>
      </c>
      <c r="AH742" t="s">
        <v>226</v>
      </c>
      <c r="AI742" t="s">
        <v>459</v>
      </c>
      <c r="AJ742" t="s">
        <v>237</v>
      </c>
      <c r="AK742" t="s">
        <v>229</v>
      </c>
      <c r="AL742" t="s">
        <v>71</v>
      </c>
      <c r="AP742" t="s">
        <v>230</v>
      </c>
      <c r="AQ742" t="s">
        <v>231</v>
      </c>
      <c r="AT742" t="s">
        <v>232</v>
      </c>
      <c r="AU742">
        <v>-99</v>
      </c>
      <c r="AV742" t="s">
        <v>73</v>
      </c>
      <c r="AW742">
        <v>0.85</v>
      </c>
      <c r="AX742">
        <v>42269513</v>
      </c>
      <c r="AY742" s="73">
        <v>45363.590277777781</v>
      </c>
      <c r="AZ742" t="s">
        <v>226</v>
      </c>
      <c r="BA742" t="s">
        <v>459</v>
      </c>
      <c r="BB742" t="s">
        <v>237</v>
      </c>
      <c r="BC742" t="s">
        <v>229</v>
      </c>
      <c r="BD742" t="s">
        <v>71</v>
      </c>
      <c r="BI742" t="s">
        <v>233</v>
      </c>
      <c r="BJ742" t="s">
        <v>0</v>
      </c>
      <c r="BK742">
        <v>42269509</v>
      </c>
      <c r="BN742" t="s">
        <v>73</v>
      </c>
      <c r="BO742">
        <v>42269511</v>
      </c>
      <c r="BR742">
        <v>0.85</v>
      </c>
      <c r="BS742">
        <v>42269513</v>
      </c>
      <c r="BT742" s="73">
        <v>45363.590277777781</v>
      </c>
      <c r="BU742" t="s">
        <v>226</v>
      </c>
      <c r="BV742" t="s">
        <v>459</v>
      </c>
      <c r="BW742" t="s">
        <v>237</v>
      </c>
      <c r="CH742" t="s">
        <v>229</v>
      </c>
      <c r="CI742" t="s">
        <v>71</v>
      </c>
      <c r="CJ742" t="s">
        <v>226</v>
      </c>
      <c r="CK742" t="s">
        <v>459</v>
      </c>
      <c r="CL742" t="s">
        <v>237</v>
      </c>
      <c r="CM742" t="s">
        <v>236</v>
      </c>
      <c r="CN742" t="s">
        <v>73</v>
      </c>
      <c r="CO742">
        <v>0.85</v>
      </c>
      <c r="CP742">
        <v>42269513</v>
      </c>
      <c r="CQ742" s="73">
        <v>45363.590277777781</v>
      </c>
      <c r="CR742" t="s">
        <v>229</v>
      </c>
      <c r="CS742" t="s">
        <v>71</v>
      </c>
      <c r="CU742" t="s">
        <v>225</v>
      </c>
    </row>
    <row r="743" spans="1:99">
      <c r="A743" t="s">
        <v>133</v>
      </c>
      <c r="B743" t="s">
        <v>90</v>
      </c>
      <c r="J743" t="s">
        <v>225</v>
      </c>
      <c r="K743" t="s">
        <v>225</v>
      </c>
      <c r="M743" s="73">
        <v>45363.590277777781</v>
      </c>
      <c r="N743">
        <v>42269506</v>
      </c>
      <c r="O743">
        <v>-615.4</v>
      </c>
      <c r="P743" t="s">
        <v>73</v>
      </c>
      <c r="Q743">
        <v>-615.4</v>
      </c>
      <c r="R743" t="s">
        <v>73</v>
      </c>
      <c r="U743" t="s">
        <v>226</v>
      </c>
      <c r="V743" t="s">
        <v>459</v>
      </c>
      <c r="W743" t="s">
        <v>228</v>
      </c>
      <c r="X743" t="s">
        <v>229</v>
      </c>
      <c r="Y743" t="s">
        <v>133</v>
      </c>
      <c r="AD743" t="s">
        <v>73</v>
      </c>
      <c r="AE743">
        <v>-615.4</v>
      </c>
      <c r="AF743">
        <v>42269506</v>
      </c>
      <c r="AG743" s="73">
        <v>45363.590277777781</v>
      </c>
      <c r="AH743" t="s">
        <v>226</v>
      </c>
      <c r="AI743" t="s">
        <v>459</v>
      </c>
      <c r="AJ743" t="s">
        <v>228</v>
      </c>
      <c r="AK743" t="s">
        <v>229</v>
      </c>
      <c r="AL743" t="s">
        <v>133</v>
      </c>
      <c r="AP743" t="s">
        <v>230</v>
      </c>
      <c r="AQ743" t="s">
        <v>231</v>
      </c>
      <c r="AT743" t="s">
        <v>232</v>
      </c>
      <c r="AU743">
        <v>-99</v>
      </c>
      <c r="AV743" t="s">
        <v>73</v>
      </c>
      <c r="AW743">
        <v>-615.4</v>
      </c>
      <c r="AX743">
        <v>42269506</v>
      </c>
      <c r="AY743" s="73">
        <v>45363.590277777781</v>
      </c>
      <c r="AZ743" t="s">
        <v>226</v>
      </c>
      <c r="BA743" t="s">
        <v>459</v>
      </c>
      <c r="BB743" t="s">
        <v>228</v>
      </c>
      <c r="BC743" t="s">
        <v>229</v>
      </c>
      <c r="BD743" t="s">
        <v>133</v>
      </c>
      <c r="BI743" t="s">
        <v>233</v>
      </c>
      <c r="BJ743" t="s">
        <v>0</v>
      </c>
      <c r="BK743">
        <v>42269502</v>
      </c>
      <c r="BN743" t="s">
        <v>73</v>
      </c>
      <c r="BR743">
        <v>-615.4</v>
      </c>
      <c r="BS743">
        <v>42269506</v>
      </c>
      <c r="BT743" s="73">
        <v>45363.590277777781</v>
      </c>
      <c r="BU743" t="s">
        <v>226</v>
      </c>
      <c r="BV743" t="s">
        <v>459</v>
      </c>
      <c r="BW743" t="s">
        <v>228</v>
      </c>
      <c r="CH743" t="s">
        <v>229</v>
      </c>
      <c r="CI743" t="s">
        <v>133</v>
      </c>
      <c r="CJ743" t="s">
        <v>226</v>
      </c>
      <c r="CK743" t="s">
        <v>459</v>
      </c>
      <c r="CL743" t="s">
        <v>228</v>
      </c>
      <c r="CM743" t="s">
        <v>234</v>
      </c>
      <c r="CN743" t="s">
        <v>73</v>
      </c>
      <c r="CO743">
        <v>-615.4</v>
      </c>
      <c r="CP743">
        <v>42269506</v>
      </c>
      <c r="CQ743" s="73">
        <v>45363.590277777781</v>
      </c>
      <c r="CR743" t="s">
        <v>229</v>
      </c>
      <c r="CS743" t="s">
        <v>133</v>
      </c>
      <c r="CU743" t="s">
        <v>225</v>
      </c>
    </row>
    <row r="744" spans="1:99">
      <c r="A744" t="s">
        <v>87</v>
      </c>
      <c r="B744" t="s">
        <v>90</v>
      </c>
      <c r="J744" t="s">
        <v>225</v>
      </c>
      <c r="K744" t="s">
        <v>225</v>
      </c>
      <c r="M744" s="73">
        <v>45363.590277777781</v>
      </c>
      <c r="N744">
        <v>42269499</v>
      </c>
      <c r="O744">
        <v>-58.5</v>
      </c>
      <c r="P744" t="s">
        <v>73</v>
      </c>
      <c r="Q744">
        <v>-58.5</v>
      </c>
      <c r="R744" t="s">
        <v>73</v>
      </c>
      <c r="U744" t="s">
        <v>226</v>
      </c>
      <c r="V744" t="s">
        <v>459</v>
      </c>
      <c r="W744" t="s">
        <v>228</v>
      </c>
      <c r="X744" t="s">
        <v>229</v>
      </c>
      <c r="Y744" t="s">
        <v>87</v>
      </c>
      <c r="AD744" t="s">
        <v>73</v>
      </c>
      <c r="AE744">
        <v>-58.5</v>
      </c>
      <c r="AF744">
        <v>42269499</v>
      </c>
      <c r="AG744" s="73">
        <v>45363.590277777781</v>
      </c>
      <c r="AH744" t="s">
        <v>226</v>
      </c>
      <c r="AI744" t="s">
        <v>459</v>
      </c>
      <c r="AJ744" t="s">
        <v>228</v>
      </c>
      <c r="AK744" t="s">
        <v>229</v>
      </c>
      <c r="AL744" t="s">
        <v>87</v>
      </c>
      <c r="AP744" t="s">
        <v>230</v>
      </c>
      <c r="AQ744" t="s">
        <v>231</v>
      </c>
      <c r="AT744" t="s">
        <v>232</v>
      </c>
      <c r="AU744">
        <v>-99</v>
      </c>
      <c r="AV744" t="s">
        <v>73</v>
      </c>
      <c r="AW744">
        <v>-58.5</v>
      </c>
      <c r="AX744">
        <v>42269499</v>
      </c>
      <c r="AY744" s="73">
        <v>45363.590277777781</v>
      </c>
      <c r="AZ744" t="s">
        <v>226</v>
      </c>
      <c r="BA744" t="s">
        <v>459</v>
      </c>
      <c r="BB744" t="s">
        <v>228</v>
      </c>
      <c r="BC744" t="s">
        <v>229</v>
      </c>
      <c r="BD744" t="s">
        <v>87</v>
      </c>
      <c r="BI744" t="s">
        <v>233</v>
      </c>
      <c r="BJ744" t="s">
        <v>0</v>
      </c>
      <c r="BK744">
        <v>42269495</v>
      </c>
      <c r="BN744" t="s">
        <v>73</v>
      </c>
      <c r="BR744">
        <v>-58.5</v>
      </c>
      <c r="BS744">
        <v>42269499</v>
      </c>
      <c r="BT744" s="73">
        <v>45363.590277777781</v>
      </c>
      <c r="BU744" t="s">
        <v>226</v>
      </c>
      <c r="BV744" t="s">
        <v>459</v>
      </c>
      <c r="BW744" t="s">
        <v>228</v>
      </c>
      <c r="CH744" t="s">
        <v>229</v>
      </c>
      <c r="CI744" t="s">
        <v>87</v>
      </c>
      <c r="CJ744" t="s">
        <v>226</v>
      </c>
      <c r="CK744" t="s">
        <v>459</v>
      </c>
      <c r="CL744" t="s">
        <v>228</v>
      </c>
      <c r="CM744" t="s">
        <v>234</v>
      </c>
      <c r="CN744" t="s">
        <v>73</v>
      </c>
      <c r="CO744">
        <v>-58.5</v>
      </c>
      <c r="CP744">
        <v>42269499</v>
      </c>
      <c r="CQ744" s="73">
        <v>45363.590277777781</v>
      </c>
      <c r="CR744" t="s">
        <v>229</v>
      </c>
      <c r="CS744" t="s">
        <v>87</v>
      </c>
      <c r="CU744" t="s">
        <v>225</v>
      </c>
    </row>
    <row r="745" spans="1:99">
      <c r="A745" t="s">
        <v>127</v>
      </c>
      <c r="B745" t="s">
        <v>90</v>
      </c>
      <c r="J745" t="s">
        <v>225</v>
      </c>
      <c r="K745" t="s">
        <v>225</v>
      </c>
      <c r="M745" s="73">
        <v>45363.590277777781</v>
      </c>
      <c r="N745">
        <v>42269492</v>
      </c>
      <c r="O745">
        <v>-660.8</v>
      </c>
      <c r="P745" t="s">
        <v>73</v>
      </c>
      <c r="Q745">
        <v>-660.8</v>
      </c>
      <c r="R745" t="s">
        <v>73</v>
      </c>
      <c r="U745" t="s">
        <v>226</v>
      </c>
      <c r="V745" t="s">
        <v>459</v>
      </c>
      <c r="W745" t="s">
        <v>228</v>
      </c>
      <c r="X745" t="s">
        <v>229</v>
      </c>
      <c r="Y745" t="s">
        <v>127</v>
      </c>
      <c r="AD745" t="s">
        <v>73</v>
      </c>
      <c r="AE745">
        <v>-660.8</v>
      </c>
      <c r="AF745">
        <v>42269492</v>
      </c>
      <c r="AG745" s="73">
        <v>45363.590277777781</v>
      </c>
      <c r="AH745" t="s">
        <v>226</v>
      </c>
      <c r="AI745" t="s">
        <v>459</v>
      </c>
      <c r="AJ745" t="s">
        <v>228</v>
      </c>
      <c r="AK745" t="s">
        <v>229</v>
      </c>
      <c r="AL745" t="s">
        <v>127</v>
      </c>
      <c r="AP745" t="s">
        <v>230</v>
      </c>
      <c r="AQ745" t="s">
        <v>231</v>
      </c>
      <c r="AT745" t="s">
        <v>232</v>
      </c>
      <c r="AU745">
        <v>-99</v>
      </c>
      <c r="AV745" t="s">
        <v>73</v>
      </c>
      <c r="AW745">
        <v>-660.8</v>
      </c>
      <c r="AX745">
        <v>42269492</v>
      </c>
      <c r="AY745" s="73">
        <v>45363.590277777781</v>
      </c>
      <c r="AZ745" t="s">
        <v>226</v>
      </c>
      <c r="BA745" t="s">
        <v>459</v>
      </c>
      <c r="BB745" t="s">
        <v>228</v>
      </c>
      <c r="BC745" t="s">
        <v>229</v>
      </c>
      <c r="BD745" t="s">
        <v>127</v>
      </c>
      <c r="BI745" t="s">
        <v>233</v>
      </c>
      <c r="BJ745" t="s">
        <v>0</v>
      </c>
      <c r="BK745">
        <v>42269488</v>
      </c>
      <c r="BN745" t="s">
        <v>73</v>
      </c>
      <c r="BR745">
        <v>-660.8</v>
      </c>
      <c r="BS745">
        <v>42269492</v>
      </c>
      <c r="BT745" s="73">
        <v>45363.590277777781</v>
      </c>
      <c r="BU745" t="s">
        <v>226</v>
      </c>
      <c r="BV745" t="s">
        <v>459</v>
      </c>
      <c r="BW745" t="s">
        <v>228</v>
      </c>
      <c r="CH745" t="s">
        <v>229</v>
      </c>
      <c r="CI745" t="s">
        <v>127</v>
      </c>
      <c r="CJ745" t="s">
        <v>226</v>
      </c>
      <c r="CK745" t="s">
        <v>459</v>
      </c>
      <c r="CL745" t="s">
        <v>228</v>
      </c>
      <c r="CM745" t="s">
        <v>234</v>
      </c>
      <c r="CN745" t="s">
        <v>73</v>
      </c>
      <c r="CO745">
        <v>-660.8</v>
      </c>
      <c r="CP745">
        <v>42269492</v>
      </c>
      <c r="CQ745" s="73">
        <v>45363.590277777781</v>
      </c>
      <c r="CR745" t="s">
        <v>229</v>
      </c>
      <c r="CS745" t="s">
        <v>127</v>
      </c>
      <c r="CU745" t="s">
        <v>225</v>
      </c>
    </row>
    <row r="746" spans="1:99">
      <c r="A746" t="s">
        <v>131</v>
      </c>
      <c r="B746" t="s">
        <v>90</v>
      </c>
      <c r="J746" t="s">
        <v>225</v>
      </c>
      <c r="K746" t="s">
        <v>225</v>
      </c>
      <c r="M746" s="73">
        <v>45363.590277777781</v>
      </c>
      <c r="N746">
        <v>42269485</v>
      </c>
      <c r="O746">
        <v>-130.80000000000001</v>
      </c>
      <c r="P746" t="s">
        <v>73</v>
      </c>
      <c r="Q746">
        <v>-130.80000000000001</v>
      </c>
      <c r="R746" t="s">
        <v>73</v>
      </c>
      <c r="U746" t="s">
        <v>226</v>
      </c>
      <c r="V746" t="s">
        <v>459</v>
      </c>
      <c r="W746" t="s">
        <v>228</v>
      </c>
      <c r="X746" t="s">
        <v>229</v>
      </c>
      <c r="Y746" t="s">
        <v>131</v>
      </c>
      <c r="AD746" t="s">
        <v>73</v>
      </c>
      <c r="AE746">
        <v>-130.80000000000001</v>
      </c>
      <c r="AF746">
        <v>42269485</v>
      </c>
      <c r="AG746" s="73">
        <v>45363.590277777781</v>
      </c>
      <c r="AH746" t="s">
        <v>226</v>
      </c>
      <c r="AI746" t="s">
        <v>459</v>
      </c>
      <c r="AJ746" t="s">
        <v>228</v>
      </c>
      <c r="AK746" t="s">
        <v>229</v>
      </c>
      <c r="AL746" t="s">
        <v>131</v>
      </c>
      <c r="AP746" t="s">
        <v>230</v>
      </c>
      <c r="AQ746" t="s">
        <v>231</v>
      </c>
      <c r="AT746" t="s">
        <v>232</v>
      </c>
      <c r="AU746">
        <v>-99</v>
      </c>
      <c r="AV746" t="s">
        <v>73</v>
      </c>
      <c r="AW746">
        <v>-130.80000000000001</v>
      </c>
      <c r="AX746">
        <v>42269485</v>
      </c>
      <c r="AY746" s="73">
        <v>45363.590277777781</v>
      </c>
      <c r="AZ746" t="s">
        <v>226</v>
      </c>
      <c r="BA746" t="s">
        <v>459</v>
      </c>
      <c r="BB746" t="s">
        <v>228</v>
      </c>
      <c r="BC746" t="s">
        <v>229</v>
      </c>
      <c r="BD746" t="s">
        <v>131</v>
      </c>
      <c r="BI746" t="s">
        <v>233</v>
      </c>
      <c r="BJ746" t="s">
        <v>0</v>
      </c>
      <c r="BK746">
        <v>42269481</v>
      </c>
      <c r="BN746" t="s">
        <v>73</v>
      </c>
      <c r="BR746">
        <v>-130.80000000000001</v>
      </c>
      <c r="BS746">
        <v>42269485</v>
      </c>
      <c r="BT746" s="73">
        <v>45363.590277777781</v>
      </c>
      <c r="BU746" t="s">
        <v>226</v>
      </c>
      <c r="BV746" t="s">
        <v>459</v>
      </c>
      <c r="BW746" t="s">
        <v>228</v>
      </c>
      <c r="CH746" t="s">
        <v>229</v>
      </c>
      <c r="CI746" t="s">
        <v>131</v>
      </c>
      <c r="CJ746" t="s">
        <v>226</v>
      </c>
      <c r="CK746" t="s">
        <v>459</v>
      </c>
      <c r="CL746" t="s">
        <v>228</v>
      </c>
      <c r="CM746" t="s">
        <v>234</v>
      </c>
      <c r="CN746" t="s">
        <v>73</v>
      </c>
      <c r="CO746">
        <v>-130.80000000000001</v>
      </c>
      <c r="CP746">
        <v>42269485</v>
      </c>
      <c r="CQ746" s="73">
        <v>45363.590277777781</v>
      </c>
      <c r="CR746" t="s">
        <v>229</v>
      </c>
      <c r="CS746" t="s">
        <v>131</v>
      </c>
      <c r="CU746" t="s">
        <v>225</v>
      </c>
    </row>
    <row r="747" spans="1:99">
      <c r="A747" t="s">
        <v>52</v>
      </c>
      <c r="B747" t="s">
        <v>92</v>
      </c>
      <c r="J747" t="s">
        <v>225</v>
      </c>
      <c r="K747" t="s">
        <v>225</v>
      </c>
      <c r="M747" s="73">
        <v>45363.568807870368</v>
      </c>
      <c r="N747">
        <v>42265709</v>
      </c>
      <c r="O747">
        <v>-200</v>
      </c>
      <c r="P747" t="s">
        <v>45</v>
      </c>
      <c r="Q747">
        <v>-200</v>
      </c>
      <c r="R747" t="s">
        <v>45</v>
      </c>
      <c r="U747" t="s">
        <v>226</v>
      </c>
      <c r="V747" t="s">
        <v>460</v>
      </c>
      <c r="W747" t="s">
        <v>228</v>
      </c>
      <c r="X747" t="s">
        <v>229</v>
      </c>
      <c r="Y747" t="s">
        <v>52</v>
      </c>
      <c r="AD747" t="s">
        <v>45</v>
      </c>
      <c r="AE747">
        <v>-200</v>
      </c>
      <c r="AF747">
        <v>42265709</v>
      </c>
      <c r="AG747" s="73">
        <v>45363.568807870368</v>
      </c>
      <c r="AH747" t="s">
        <v>226</v>
      </c>
      <c r="AI747" t="s">
        <v>460</v>
      </c>
      <c r="AJ747" t="s">
        <v>228</v>
      </c>
      <c r="AK747" t="s">
        <v>229</v>
      </c>
      <c r="AL747" t="s">
        <v>52</v>
      </c>
      <c r="AP747" t="s">
        <v>230</v>
      </c>
      <c r="AQ747" t="s">
        <v>231</v>
      </c>
      <c r="AT747" t="s">
        <v>232</v>
      </c>
      <c r="AU747">
        <v>-99</v>
      </c>
      <c r="AV747" t="s">
        <v>45</v>
      </c>
      <c r="AW747">
        <v>-200</v>
      </c>
      <c r="AX747">
        <v>42265709</v>
      </c>
      <c r="AY747" s="73">
        <v>45363.568807870368</v>
      </c>
      <c r="AZ747" t="s">
        <v>226</v>
      </c>
      <c r="BA747" t="s">
        <v>460</v>
      </c>
      <c r="BB747" t="s">
        <v>228</v>
      </c>
      <c r="BC747" t="s">
        <v>229</v>
      </c>
      <c r="BD747" t="s">
        <v>52</v>
      </c>
      <c r="BI747" t="s">
        <v>233</v>
      </c>
      <c r="BJ747" t="s">
        <v>0</v>
      </c>
      <c r="BK747">
        <v>42265697</v>
      </c>
      <c r="BN747" t="s">
        <v>45</v>
      </c>
      <c r="BR747">
        <v>-200</v>
      </c>
      <c r="BS747">
        <v>42265709</v>
      </c>
      <c r="BT747" s="73">
        <v>45363.568807870368</v>
      </c>
      <c r="BU747" t="s">
        <v>226</v>
      </c>
      <c r="BV747" t="s">
        <v>460</v>
      </c>
      <c r="BW747" t="s">
        <v>228</v>
      </c>
      <c r="CH747" t="s">
        <v>229</v>
      </c>
      <c r="CI747" t="s">
        <v>52</v>
      </c>
      <c r="CJ747" t="s">
        <v>226</v>
      </c>
      <c r="CK747" t="s">
        <v>460</v>
      </c>
      <c r="CL747" t="s">
        <v>228</v>
      </c>
      <c r="CM747" t="s">
        <v>234</v>
      </c>
      <c r="CN747" t="s">
        <v>45</v>
      </c>
      <c r="CO747">
        <v>-200</v>
      </c>
      <c r="CP747">
        <v>42265709</v>
      </c>
      <c r="CQ747" s="73">
        <v>45363.568807870368</v>
      </c>
      <c r="CR747" t="s">
        <v>229</v>
      </c>
      <c r="CS747" t="s">
        <v>52</v>
      </c>
      <c r="CU747" t="s">
        <v>225</v>
      </c>
    </row>
    <row r="748" spans="1:99">
      <c r="A748" t="s">
        <v>101</v>
      </c>
      <c r="B748" t="s">
        <v>98</v>
      </c>
      <c r="J748" t="s">
        <v>225</v>
      </c>
      <c r="K748" t="s">
        <v>225</v>
      </c>
      <c r="M748" s="73">
        <v>45363.568807870368</v>
      </c>
      <c r="N748">
        <v>42265708</v>
      </c>
      <c r="O748">
        <v>-10</v>
      </c>
      <c r="P748" t="s">
        <v>73</v>
      </c>
      <c r="Q748">
        <v>-10</v>
      </c>
      <c r="R748" t="s">
        <v>73</v>
      </c>
      <c r="U748" t="s">
        <v>226</v>
      </c>
      <c r="V748" t="s">
        <v>460</v>
      </c>
      <c r="W748" t="s">
        <v>228</v>
      </c>
      <c r="X748" t="s">
        <v>229</v>
      </c>
      <c r="Y748" t="s">
        <v>101</v>
      </c>
      <c r="AD748" t="s">
        <v>73</v>
      </c>
      <c r="AE748">
        <v>-10</v>
      </c>
      <c r="AF748">
        <v>42265708</v>
      </c>
      <c r="AG748" s="73">
        <v>45363.568807870368</v>
      </c>
      <c r="AH748" t="s">
        <v>226</v>
      </c>
      <c r="AI748" t="s">
        <v>460</v>
      </c>
      <c r="AJ748" t="s">
        <v>228</v>
      </c>
      <c r="AK748" t="s">
        <v>229</v>
      </c>
      <c r="AL748" t="s">
        <v>101</v>
      </c>
      <c r="AP748" t="s">
        <v>230</v>
      </c>
      <c r="AQ748" t="s">
        <v>231</v>
      </c>
      <c r="AT748" t="s">
        <v>232</v>
      </c>
      <c r="AU748">
        <v>-99</v>
      </c>
      <c r="AV748" t="s">
        <v>73</v>
      </c>
      <c r="AW748">
        <v>-10</v>
      </c>
      <c r="AX748">
        <v>42265708</v>
      </c>
      <c r="AY748" s="73">
        <v>45363.568807870368</v>
      </c>
      <c r="AZ748" t="s">
        <v>226</v>
      </c>
      <c r="BA748" t="s">
        <v>460</v>
      </c>
      <c r="BB748" t="s">
        <v>228</v>
      </c>
      <c r="BC748" t="s">
        <v>229</v>
      </c>
      <c r="BD748" t="s">
        <v>101</v>
      </c>
      <c r="BI748" t="s">
        <v>233</v>
      </c>
      <c r="BJ748" t="s">
        <v>0</v>
      </c>
      <c r="BK748">
        <v>42265697</v>
      </c>
      <c r="BN748" t="s">
        <v>73</v>
      </c>
      <c r="BR748">
        <v>-10</v>
      </c>
      <c r="BS748">
        <v>42265708</v>
      </c>
      <c r="BT748" s="73">
        <v>45363.568807870368</v>
      </c>
      <c r="BU748" t="s">
        <v>226</v>
      </c>
      <c r="BV748" t="s">
        <v>460</v>
      </c>
      <c r="BW748" t="s">
        <v>228</v>
      </c>
      <c r="CH748" t="s">
        <v>229</v>
      </c>
      <c r="CI748" t="s">
        <v>101</v>
      </c>
      <c r="CJ748" t="s">
        <v>226</v>
      </c>
      <c r="CK748" t="s">
        <v>460</v>
      </c>
      <c r="CL748" t="s">
        <v>228</v>
      </c>
      <c r="CM748" t="s">
        <v>234</v>
      </c>
      <c r="CN748" t="s">
        <v>73</v>
      </c>
      <c r="CO748">
        <v>-10</v>
      </c>
      <c r="CP748">
        <v>42265708</v>
      </c>
      <c r="CQ748" s="73">
        <v>45363.568807870368</v>
      </c>
      <c r="CR748" t="s">
        <v>229</v>
      </c>
      <c r="CS748" t="s">
        <v>101</v>
      </c>
      <c r="CU748" t="s">
        <v>225</v>
      </c>
    </row>
    <row r="749" spans="1:99">
      <c r="A749" t="s">
        <v>107</v>
      </c>
      <c r="B749" t="s">
        <v>98</v>
      </c>
      <c r="J749" t="s">
        <v>225</v>
      </c>
      <c r="K749" t="s">
        <v>225</v>
      </c>
      <c r="M749" s="73">
        <v>45363.568807870368</v>
      </c>
      <c r="N749">
        <v>42265707</v>
      </c>
      <c r="O749">
        <v>200</v>
      </c>
      <c r="P749" t="s">
        <v>104</v>
      </c>
      <c r="Q749">
        <v>200</v>
      </c>
      <c r="R749" t="s">
        <v>104</v>
      </c>
      <c r="S749">
        <v>10</v>
      </c>
      <c r="T749" t="s">
        <v>73</v>
      </c>
      <c r="U749" t="s">
        <v>226</v>
      </c>
      <c r="V749" t="s">
        <v>460</v>
      </c>
      <c r="W749" t="s">
        <v>235</v>
      </c>
      <c r="X749" t="s">
        <v>229</v>
      </c>
      <c r="Y749" t="s">
        <v>107</v>
      </c>
      <c r="AD749" t="s">
        <v>104</v>
      </c>
      <c r="AE749">
        <v>200</v>
      </c>
      <c r="AF749">
        <v>42265707</v>
      </c>
      <c r="AG749" s="73">
        <v>45363.568807870368</v>
      </c>
      <c r="AH749" t="s">
        <v>226</v>
      </c>
      <c r="AI749" t="s">
        <v>460</v>
      </c>
      <c r="AJ749" t="s">
        <v>235</v>
      </c>
      <c r="AK749" t="s">
        <v>229</v>
      </c>
      <c r="AL749" t="s">
        <v>107</v>
      </c>
      <c r="AP749" t="s">
        <v>230</v>
      </c>
      <c r="AQ749" t="s">
        <v>231</v>
      </c>
      <c r="AT749" t="s">
        <v>232</v>
      </c>
      <c r="AU749">
        <v>-99</v>
      </c>
      <c r="AV749" t="s">
        <v>104</v>
      </c>
      <c r="AW749">
        <v>200</v>
      </c>
      <c r="AX749">
        <v>42265707</v>
      </c>
      <c r="AY749" s="73">
        <v>45363.568807870368</v>
      </c>
      <c r="AZ749" t="s">
        <v>226</v>
      </c>
      <c r="BA749" t="s">
        <v>460</v>
      </c>
      <c r="BB749" t="s">
        <v>235</v>
      </c>
      <c r="BC749" t="s">
        <v>229</v>
      </c>
      <c r="BD749" t="s">
        <v>107</v>
      </c>
      <c r="BI749" t="s">
        <v>233</v>
      </c>
      <c r="BJ749" t="s">
        <v>0</v>
      </c>
      <c r="BK749">
        <v>42265697</v>
      </c>
      <c r="BN749" t="s">
        <v>104</v>
      </c>
      <c r="BO749">
        <v>42265703</v>
      </c>
      <c r="BR749">
        <v>200</v>
      </c>
      <c r="BS749">
        <v>42265707</v>
      </c>
      <c r="BT749" s="73">
        <v>45363.568807870368</v>
      </c>
      <c r="BU749" t="s">
        <v>226</v>
      </c>
      <c r="BV749" t="s">
        <v>460</v>
      </c>
      <c r="BW749" t="s">
        <v>235</v>
      </c>
      <c r="CH749" t="s">
        <v>229</v>
      </c>
      <c r="CI749" t="s">
        <v>107</v>
      </c>
      <c r="CJ749" t="s">
        <v>226</v>
      </c>
      <c r="CK749" t="s">
        <v>460</v>
      </c>
      <c r="CL749" t="s">
        <v>235</v>
      </c>
      <c r="CM749" t="s">
        <v>236</v>
      </c>
      <c r="CN749" t="s">
        <v>104</v>
      </c>
      <c r="CO749">
        <v>200</v>
      </c>
      <c r="CP749">
        <v>42265707</v>
      </c>
      <c r="CQ749" s="73">
        <v>45363.568807870368</v>
      </c>
      <c r="CR749" t="s">
        <v>229</v>
      </c>
      <c r="CS749" t="s">
        <v>107</v>
      </c>
      <c r="CU749" t="s">
        <v>225</v>
      </c>
    </row>
    <row r="750" spans="1:99">
      <c r="A750" t="s">
        <v>103</v>
      </c>
      <c r="B750" t="s">
        <v>98</v>
      </c>
      <c r="J750" t="s">
        <v>225</v>
      </c>
      <c r="K750" t="s">
        <v>225</v>
      </c>
      <c r="M750" s="73">
        <v>45363.290972222225</v>
      </c>
      <c r="N750">
        <v>42275310</v>
      </c>
      <c r="O750">
        <v>3950</v>
      </c>
      <c r="P750" t="s">
        <v>104</v>
      </c>
      <c r="Q750">
        <v>3950</v>
      </c>
      <c r="R750" t="s">
        <v>104</v>
      </c>
      <c r="S750">
        <v>197.5</v>
      </c>
      <c r="T750" t="s">
        <v>73</v>
      </c>
      <c r="U750" t="s">
        <v>226</v>
      </c>
      <c r="V750" t="s">
        <v>461</v>
      </c>
      <c r="W750" t="s">
        <v>235</v>
      </c>
      <c r="X750" t="s">
        <v>229</v>
      </c>
      <c r="Y750" t="s">
        <v>103</v>
      </c>
      <c r="AD750" t="s">
        <v>104</v>
      </c>
      <c r="AE750">
        <v>3950</v>
      </c>
      <c r="AF750">
        <v>42275310</v>
      </c>
      <c r="AG750" s="73">
        <v>45363.290972222225</v>
      </c>
      <c r="AH750" t="s">
        <v>226</v>
      </c>
      <c r="AI750" t="s">
        <v>461</v>
      </c>
      <c r="AJ750" t="s">
        <v>235</v>
      </c>
      <c r="AK750" t="s">
        <v>229</v>
      </c>
      <c r="AL750" t="s">
        <v>103</v>
      </c>
      <c r="AP750" t="s">
        <v>230</v>
      </c>
      <c r="AQ750" t="s">
        <v>231</v>
      </c>
      <c r="AT750" t="s">
        <v>232</v>
      </c>
      <c r="AU750">
        <v>-99</v>
      </c>
      <c r="AV750" t="s">
        <v>104</v>
      </c>
      <c r="AW750">
        <v>3950</v>
      </c>
      <c r="AX750">
        <v>42275310</v>
      </c>
      <c r="AY750" s="73">
        <v>45363.290972222225</v>
      </c>
      <c r="AZ750" t="s">
        <v>226</v>
      </c>
      <c r="BA750" t="s">
        <v>461</v>
      </c>
      <c r="BB750" t="s">
        <v>235</v>
      </c>
      <c r="BC750" t="s">
        <v>229</v>
      </c>
      <c r="BD750" t="s">
        <v>103</v>
      </c>
      <c r="BI750" t="s">
        <v>233</v>
      </c>
      <c r="BJ750" t="s">
        <v>0</v>
      </c>
      <c r="BK750">
        <v>42275306</v>
      </c>
      <c r="BN750" t="s">
        <v>104</v>
      </c>
      <c r="BO750">
        <v>42275308</v>
      </c>
      <c r="BR750">
        <v>3950</v>
      </c>
      <c r="BS750">
        <v>42275310</v>
      </c>
      <c r="BT750" s="73">
        <v>45363.290972222225</v>
      </c>
      <c r="BU750" t="s">
        <v>226</v>
      </c>
      <c r="BV750" t="s">
        <v>461</v>
      </c>
      <c r="BW750" t="s">
        <v>235</v>
      </c>
      <c r="CH750" t="s">
        <v>229</v>
      </c>
      <c r="CI750" t="s">
        <v>103</v>
      </c>
      <c r="CJ750" t="s">
        <v>226</v>
      </c>
      <c r="CK750" t="s">
        <v>461</v>
      </c>
      <c r="CL750" t="s">
        <v>235</v>
      </c>
      <c r="CM750" t="s">
        <v>236</v>
      </c>
      <c r="CN750" t="s">
        <v>104</v>
      </c>
      <c r="CO750">
        <v>3950</v>
      </c>
      <c r="CP750">
        <v>42275310</v>
      </c>
      <c r="CQ750" s="73">
        <v>45363.290972222225</v>
      </c>
      <c r="CR750" t="s">
        <v>229</v>
      </c>
      <c r="CS750" t="s">
        <v>103</v>
      </c>
      <c r="CU750" t="s">
        <v>225</v>
      </c>
    </row>
    <row r="751" spans="1:99">
      <c r="A751" t="s">
        <v>42</v>
      </c>
      <c r="B751" t="s">
        <v>92</v>
      </c>
      <c r="J751" t="s">
        <v>225</v>
      </c>
      <c r="K751" t="s">
        <v>225</v>
      </c>
      <c r="M751" s="73">
        <v>45363.290972222225</v>
      </c>
      <c r="N751">
        <v>42275292</v>
      </c>
      <c r="O751">
        <v>-3950</v>
      </c>
      <c r="P751" t="s">
        <v>45</v>
      </c>
      <c r="Q751">
        <v>-3950</v>
      </c>
      <c r="R751" t="s">
        <v>45</v>
      </c>
      <c r="U751" t="s">
        <v>226</v>
      </c>
      <c r="V751" t="s">
        <v>461</v>
      </c>
      <c r="W751" t="s">
        <v>228</v>
      </c>
      <c r="X751" t="s">
        <v>229</v>
      </c>
      <c r="Y751" t="s">
        <v>42</v>
      </c>
      <c r="AD751" t="s">
        <v>45</v>
      </c>
      <c r="AE751">
        <v>-3950</v>
      </c>
      <c r="AF751">
        <v>42275292</v>
      </c>
      <c r="AG751" s="73">
        <v>45363.290972222225</v>
      </c>
      <c r="AH751" t="s">
        <v>226</v>
      </c>
      <c r="AI751" t="s">
        <v>461</v>
      </c>
      <c r="AJ751" t="s">
        <v>228</v>
      </c>
      <c r="AK751" t="s">
        <v>229</v>
      </c>
      <c r="AL751" t="s">
        <v>42</v>
      </c>
      <c r="AP751" t="s">
        <v>230</v>
      </c>
      <c r="AQ751" t="s">
        <v>231</v>
      </c>
      <c r="AT751" t="s">
        <v>232</v>
      </c>
      <c r="AU751">
        <v>-99</v>
      </c>
      <c r="AV751" t="s">
        <v>45</v>
      </c>
      <c r="AW751">
        <v>-3950</v>
      </c>
      <c r="AX751">
        <v>42275292</v>
      </c>
      <c r="AY751" s="73">
        <v>45363.290972222225</v>
      </c>
      <c r="AZ751" t="s">
        <v>226</v>
      </c>
      <c r="BA751" t="s">
        <v>461</v>
      </c>
      <c r="BB751" t="s">
        <v>228</v>
      </c>
      <c r="BC751" t="s">
        <v>229</v>
      </c>
      <c r="BD751" t="s">
        <v>42</v>
      </c>
      <c r="BI751" t="s">
        <v>233</v>
      </c>
      <c r="BJ751" t="s">
        <v>0</v>
      </c>
      <c r="BK751">
        <v>42275284</v>
      </c>
      <c r="BN751" t="s">
        <v>45</v>
      </c>
      <c r="BR751">
        <v>-3950</v>
      </c>
      <c r="BS751">
        <v>42275292</v>
      </c>
      <c r="BT751" s="73">
        <v>45363.290972222225</v>
      </c>
      <c r="BU751" t="s">
        <v>226</v>
      </c>
      <c r="BV751" t="s">
        <v>461</v>
      </c>
      <c r="BW751" t="s">
        <v>228</v>
      </c>
      <c r="CH751" t="s">
        <v>229</v>
      </c>
      <c r="CI751" t="s">
        <v>42</v>
      </c>
      <c r="CJ751" t="s">
        <v>226</v>
      </c>
      <c r="CK751" t="s">
        <v>461</v>
      </c>
      <c r="CL751" t="s">
        <v>228</v>
      </c>
      <c r="CM751" t="s">
        <v>234</v>
      </c>
      <c r="CN751" t="s">
        <v>45</v>
      </c>
      <c r="CO751">
        <v>-3950</v>
      </c>
      <c r="CP751">
        <v>42275292</v>
      </c>
      <c r="CQ751" s="73">
        <v>45363.290972222225</v>
      </c>
      <c r="CR751" t="s">
        <v>229</v>
      </c>
      <c r="CS751" t="s">
        <v>42</v>
      </c>
      <c r="CU751" t="s">
        <v>225</v>
      </c>
    </row>
    <row r="752" spans="1:99">
      <c r="A752" t="s">
        <v>99</v>
      </c>
      <c r="B752" t="s">
        <v>98</v>
      </c>
      <c r="J752" t="s">
        <v>225</v>
      </c>
      <c r="K752" t="s">
        <v>225</v>
      </c>
      <c r="M752" s="73">
        <v>45363.290972222225</v>
      </c>
      <c r="N752">
        <v>42275291</v>
      </c>
      <c r="O752">
        <v>-197.5</v>
      </c>
      <c r="P752" t="s">
        <v>73</v>
      </c>
      <c r="Q752">
        <v>-197.5</v>
      </c>
      <c r="R752" t="s">
        <v>73</v>
      </c>
      <c r="U752" t="s">
        <v>226</v>
      </c>
      <c r="V752" t="s">
        <v>461</v>
      </c>
      <c r="W752" t="s">
        <v>228</v>
      </c>
      <c r="X752" t="s">
        <v>229</v>
      </c>
      <c r="Y752" t="s">
        <v>99</v>
      </c>
      <c r="AD752" t="s">
        <v>73</v>
      </c>
      <c r="AE752">
        <v>-197.5</v>
      </c>
      <c r="AF752">
        <v>42275291</v>
      </c>
      <c r="AG752" s="73">
        <v>45363.290972222225</v>
      </c>
      <c r="AH752" t="s">
        <v>226</v>
      </c>
      <c r="AI752" t="s">
        <v>461</v>
      </c>
      <c r="AJ752" t="s">
        <v>228</v>
      </c>
      <c r="AK752" t="s">
        <v>229</v>
      </c>
      <c r="AL752" t="s">
        <v>99</v>
      </c>
      <c r="AP752" t="s">
        <v>230</v>
      </c>
      <c r="AQ752" t="s">
        <v>231</v>
      </c>
      <c r="AT752" t="s">
        <v>232</v>
      </c>
      <c r="AU752">
        <v>-99</v>
      </c>
      <c r="AV752" t="s">
        <v>73</v>
      </c>
      <c r="AW752">
        <v>-197.5</v>
      </c>
      <c r="AX752">
        <v>42275291</v>
      </c>
      <c r="AY752" s="73">
        <v>45363.290972222225</v>
      </c>
      <c r="AZ752" t="s">
        <v>226</v>
      </c>
      <c r="BA752" t="s">
        <v>461</v>
      </c>
      <c r="BB752" t="s">
        <v>228</v>
      </c>
      <c r="BC752" t="s">
        <v>229</v>
      </c>
      <c r="BD752" t="s">
        <v>99</v>
      </c>
      <c r="BI752" t="s">
        <v>233</v>
      </c>
      <c r="BJ752" t="s">
        <v>0</v>
      </c>
      <c r="BK752">
        <v>42275284</v>
      </c>
      <c r="BN752" t="s">
        <v>73</v>
      </c>
      <c r="BR752">
        <v>-197.5</v>
      </c>
      <c r="BS752">
        <v>42275291</v>
      </c>
      <c r="BT752" s="73">
        <v>45363.290972222225</v>
      </c>
      <c r="BU752" t="s">
        <v>226</v>
      </c>
      <c r="BV752" t="s">
        <v>461</v>
      </c>
      <c r="BW752" t="s">
        <v>228</v>
      </c>
      <c r="CH752" t="s">
        <v>229</v>
      </c>
      <c r="CI752" t="s">
        <v>99</v>
      </c>
      <c r="CJ752" t="s">
        <v>226</v>
      </c>
      <c r="CK752" t="s">
        <v>461</v>
      </c>
      <c r="CL752" t="s">
        <v>228</v>
      </c>
      <c r="CM752" t="s">
        <v>234</v>
      </c>
      <c r="CN752" t="s">
        <v>73</v>
      </c>
      <c r="CO752">
        <v>-197.5</v>
      </c>
      <c r="CP752">
        <v>42275291</v>
      </c>
      <c r="CQ752" s="73">
        <v>45363.290972222225</v>
      </c>
      <c r="CR752" t="s">
        <v>229</v>
      </c>
      <c r="CS752" t="s">
        <v>99</v>
      </c>
      <c r="CU752" t="s">
        <v>225</v>
      </c>
    </row>
    <row r="753" spans="1:99">
      <c r="A753" t="s">
        <v>113</v>
      </c>
      <c r="B753" t="s">
        <v>90</v>
      </c>
      <c r="J753" t="s">
        <v>225</v>
      </c>
      <c r="K753" t="s">
        <v>225</v>
      </c>
      <c r="M753" s="73">
        <v>45363.256956018522</v>
      </c>
      <c r="N753">
        <v>42269568</v>
      </c>
      <c r="O753">
        <v>-300</v>
      </c>
      <c r="P753" t="s">
        <v>115</v>
      </c>
      <c r="Q753">
        <v>-300</v>
      </c>
      <c r="R753" t="s">
        <v>115</v>
      </c>
      <c r="U753" t="s">
        <v>226</v>
      </c>
      <c r="V753" t="s">
        <v>459</v>
      </c>
      <c r="W753" t="s">
        <v>228</v>
      </c>
      <c r="X753" t="s">
        <v>229</v>
      </c>
      <c r="Y753" t="s">
        <v>113</v>
      </c>
      <c r="AD753" t="s">
        <v>115</v>
      </c>
      <c r="AE753">
        <v>-300</v>
      </c>
      <c r="AF753">
        <v>42269568</v>
      </c>
      <c r="AG753" s="73">
        <v>45363.256956018522</v>
      </c>
      <c r="AH753" t="s">
        <v>226</v>
      </c>
      <c r="AI753" t="s">
        <v>459</v>
      </c>
      <c r="AJ753" t="s">
        <v>228</v>
      </c>
      <c r="AK753" t="s">
        <v>229</v>
      </c>
      <c r="AL753" t="s">
        <v>113</v>
      </c>
      <c r="AP753" t="s">
        <v>230</v>
      </c>
      <c r="AQ753" t="s">
        <v>231</v>
      </c>
      <c r="AT753" t="s">
        <v>232</v>
      </c>
      <c r="AU753">
        <v>-99</v>
      </c>
      <c r="AV753" t="s">
        <v>115</v>
      </c>
      <c r="AW753">
        <v>-300</v>
      </c>
      <c r="AX753">
        <v>42269568</v>
      </c>
      <c r="AY753" s="73">
        <v>45363.256956018522</v>
      </c>
      <c r="AZ753" t="s">
        <v>226</v>
      </c>
      <c r="BA753" t="s">
        <v>459</v>
      </c>
      <c r="BB753" t="s">
        <v>228</v>
      </c>
      <c r="BC753" t="s">
        <v>229</v>
      </c>
      <c r="BD753" t="s">
        <v>113</v>
      </c>
      <c r="BI753" t="s">
        <v>233</v>
      </c>
      <c r="BJ753" t="s">
        <v>0</v>
      </c>
      <c r="BK753">
        <v>42269543</v>
      </c>
      <c r="BN753" t="s">
        <v>115</v>
      </c>
      <c r="BR753">
        <v>-300</v>
      </c>
      <c r="BS753">
        <v>42269568</v>
      </c>
      <c r="BT753" s="73">
        <v>45363.256956018522</v>
      </c>
      <c r="BU753" t="s">
        <v>226</v>
      </c>
      <c r="BV753" t="s">
        <v>459</v>
      </c>
      <c r="BW753" t="s">
        <v>228</v>
      </c>
      <c r="CH753" t="s">
        <v>229</v>
      </c>
      <c r="CI753" t="s">
        <v>113</v>
      </c>
      <c r="CJ753" t="s">
        <v>226</v>
      </c>
      <c r="CK753" t="s">
        <v>459</v>
      </c>
      <c r="CL753" t="s">
        <v>228</v>
      </c>
      <c r="CM753" t="s">
        <v>234</v>
      </c>
      <c r="CN753" t="s">
        <v>115</v>
      </c>
      <c r="CO753">
        <v>-300</v>
      </c>
      <c r="CP753">
        <v>42269568</v>
      </c>
      <c r="CQ753" s="73">
        <v>45363.256956018522</v>
      </c>
      <c r="CR753" t="s">
        <v>229</v>
      </c>
      <c r="CS753" t="s">
        <v>113</v>
      </c>
      <c r="CU753" t="s">
        <v>225</v>
      </c>
    </row>
    <row r="754" spans="1:99">
      <c r="A754" t="s">
        <v>129</v>
      </c>
      <c r="B754" t="s">
        <v>90</v>
      </c>
      <c r="J754" t="s">
        <v>225</v>
      </c>
      <c r="K754" t="s">
        <v>225</v>
      </c>
      <c r="M754" s="73">
        <v>45363.256956018522</v>
      </c>
      <c r="N754">
        <v>42269567</v>
      </c>
      <c r="O754">
        <v>-5.9</v>
      </c>
      <c r="P754" t="s">
        <v>73</v>
      </c>
      <c r="Q754">
        <v>-5.9</v>
      </c>
      <c r="R754" t="s">
        <v>73</v>
      </c>
      <c r="U754" t="s">
        <v>226</v>
      </c>
      <c r="V754" t="s">
        <v>459</v>
      </c>
      <c r="W754" t="s">
        <v>228</v>
      </c>
      <c r="X754" t="s">
        <v>229</v>
      </c>
      <c r="Y754" t="s">
        <v>129</v>
      </c>
      <c r="AD754" t="s">
        <v>73</v>
      </c>
      <c r="AE754">
        <v>-5.9</v>
      </c>
      <c r="AF754">
        <v>42269567</v>
      </c>
      <c r="AG754" s="73">
        <v>45363.256956018522</v>
      </c>
      <c r="AH754" t="s">
        <v>226</v>
      </c>
      <c r="AI754" t="s">
        <v>459</v>
      </c>
      <c r="AJ754" t="s">
        <v>228</v>
      </c>
      <c r="AK754" t="s">
        <v>229</v>
      </c>
      <c r="AL754" t="s">
        <v>129</v>
      </c>
      <c r="AP754" t="s">
        <v>230</v>
      </c>
      <c r="AQ754" t="s">
        <v>231</v>
      </c>
      <c r="AT754" t="s">
        <v>232</v>
      </c>
      <c r="AU754">
        <v>-99</v>
      </c>
      <c r="AV754" t="s">
        <v>73</v>
      </c>
      <c r="AW754">
        <v>-5.9</v>
      </c>
      <c r="AX754">
        <v>42269567</v>
      </c>
      <c r="AY754" s="73">
        <v>45363.256956018522</v>
      </c>
      <c r="AZ754" t="s">
        <v>226</v>
      </c>
      <c r="BA754" t="s">
        <v>459</v>
      </c>
      <c r="BB754" t="s">
        <v>228</v>
      </c>
      <c r="BC754" t="s">
        <v>229</v>
      </c>
      <c r="BD754" t="s">
        <v>129</v>
      </c>
      <c r="BI754" t="s">
        <v>233</v>
      </c>
      <c r="BJ754" t="s">
        <v>0</v>
      </c>
      <c r="BK754">
        <v>42269543</v>
      </c>
      <c r="BN754" t="s">
        <v>73</v>
      </c>
      <c r="BR754">
        <v>-5.9</v>
      </c>
      <c r="BS754">
        <v>42269567</v>
      </c>
      <c r="BT754" s="73">
        <v>45363.256956018522</v>
      </c>
      <c r="BU754" t="s">
        <v>226</v>
      </c>
      <c r="BV754" t="s">
        <v>459</v>
      </c>
      <c r="BW754" t="s">
        <v>228</v>
      </c>
      <c r="CH754" t="s">
        <v>229</v>
      </c>
      <c r="CI754" t="s">
        <v>129</v>
      </c>
      <c r="CJ754" t="s">
        <v>226</v>
      </c>
      <c r="CK754" t="s">
        <v>459</v>
      </c>
      <c r="CL754" t="s">
        <v>228</v>
      </c>
      <c r="CM754" t="s">
        <v>234</v>
      </c>
      <c r="CN754" t="s">
        <v>73</v>
      </c>
      <c r="CO754">
        <v>-5.9</v>
      </c>
      <c r="CP754">
        <v>42269567</v>
      </c>
      <c r="CQ754" s="73">
        <v>45363.256956018522</v>
      </c>
      <c r="CR754" t="s">
        <v>229</v>
      </c>
      <c r="CS754" t="s">
        <v>129</v>
      </c>
      <c r="CU754" t="s">
        <v>225</v>
      </c>
    </row>
    <row r="755" spans="1:99">
      <c r="A755" t="s">
        <v>42</v>
      </c>
      <c r="B755" t="s">
        <v>92</v>
      </c>
      <c r="J755" t="s">
        <v>225</v>
      </c>
      <c r="K755" t="s">
        <v>225</v>
      </c>
      <c r="M755" s="73">
        <v>45363.236215277779</v>
      </c>
      <c r="N755">
        <v>42258199</v>
      </c>
      <c r="O755">
        <v>-9210</v>
      </c>
      <c r="P755" t="s">
        <v>45</v>
      </c>
      <c r="Q755">
        <v>-9210</v>
      </c>
      <c r="R755" t="s">
        <v>45</v>
      </c>
      <c r="U755" t="s">
        <v>226</v>
      </c>
      <c r="V755" t="s">
        <v>462</v>
      </c>
      <c r="W755" t="s">
        <v>228</v>
      </c>
      <c r="X755" t="s">
        <v>229</v>
      </c>
      <c r="Y755" t="s">
        <v>42</v>
      </c>
      <c r="AD755" t="s">
        <v>45</v>
      </c>
      <c r="AE755">
        <v>-9210</v>
      </c>
      <c r="AF755">
        <v>42258199</v>
      </c>
      <c r="AG755" s="73">
        <v>45363.236215277779</v>
      </c>
      <c r="AH755" t="s">
        <v>226</v>
      </c>
      <c r="AI755" t="s">
        <v>462</v>
      </c>
      <c r="AJ755" t="s">
        <v>228</v>
      </c>
      <c r="AK755" t="s">
        <v>229</v>
      </c>
      <c r="AL755" t="s">
        <v>42</v>
      </c>
      <c r="AP755" t="s">
        <v>230</v>
      </c>
      <c r="AQ755" t="s">
        <v>231</v>
      </c>
      <c r="AT755" t="s">
        <v>232</v>
      </c>
      <c r="AU755">
        <v>-99</v>
      </c>
      <c r="AV755" t="s">
        <v>45</v>
      </c>
      <c r="AW755">
        <v>-9210</v>
      </c>
      <c r="AX755">
        <v>42258199</v>
      </c>
      <c r="AY755" s="73">
        <v>45363.236215277779</v>
      </c>
      <c r="AZ755" t="s">
        <v>226</v>
      </c>
      <c r="BA755" t="s">
        <v>462</v>
      </c>
      <c r="BB755" t="s">
        <v>228</v>
      </c>
      <c r="BC755" t="s">
        <v>229</v>
      </c>
      <c r="BD755" t="s">
        <v>42</v>
      </c>
      <c r="BI755" t="s">
        <v>233</v>
      </c>
      <c r="BJ755" t="s">
        <v>0</v>
      </c>
      <c r="BK755">
        <v>42258166</v>
      </c>
      <c r="BN755" t="s">
        <v>45</v>
      </c>
      <c r="BR755">
        <v>-9210</v>
      </c>
      <c r="BS755">
        <v>42258199</v>
      </c>
      <c r="BT755" s="73">
        <v>45363.236215277779</v>
      </c>
      <c r="BU755" t="s">
        <v>226</v>
      </c>
      <c r="BV755" t="s">
        <v>462</v>
      </c>
      <c r="BW755" t="s">
        <v>228</v>
      </c>
      <c r="CH755" t="s">
        <v>229</v>
      </c>
      <c r="CI755" t="s">
        <v>42</v>
      </c>
      <c r="CJ755" t="s">
        <v>226</v>
      </c>
      <c r="CK755" t="s">
        <v>462</v>
      </c>
      <c r="CL755" t="s">
        <v>228</v>
      </c>
      <c r="CM755" t="s">
        <v>234</v>
      </c>
      <c r="CN755" t="s">
        <v>45</v>
      </c>
      <c r="CO755">
        <v>-9210</v>
      </c>
      <c r="CP755">
        <v>42258199</v>
      </c>
      <c r="CQ755" s="73">
        <v>45363.236215277779</v>
      </c>
      <c r="CR755" t="s">
        <v>229</v>
      </c>
      <c r="CS755" t="s">
        <v>42</v>
      </c>
      <c r="CU755" t="s">
        <v>225</v>
      </c>
    </row>
    <row r="756" spans="1:99">
      <c r="A756" t="s">
        <v>99</v>
      </c>
      <c r="B756" t="s">
        <v>98</v>
      </c>
      <c r="J756" t="s">
        <v>225</v>
      </c>
      <c r="K756" t="s">
        <v>225</v>
      </c>
      <c r="M756" s="73">
        <v>45363.236215277779</v>
      </c>
      <c r="N756">
        <v>42258198</v>
      </c>
      <c r="O756">
        <v>-460</v>
      </c>
      <c r="P756" t="s">
        <v>73</v>
      </c>
      <c r="Q756">
        <v>-460</v>
      </c>
      <c r="R756" t="s">
        <v>73</v>
      </c>
      <c r="U756" t="s">
        <v>226</v>
      </c>
      <c r="V756" t="s">
        <v>462</v>
      </c>
      <c r="W756" t="s">
        <v>228</v>
      </c>
      <c r="X756" t="s">
        <v>229</v>
      </c>
      <c r="Y756" t="s">
        <v>99</v>
      </c>
      <c r="AD756" t="s">
        <v>73</v>
      </c>
      <c r="AE756">
        <v>-460</v>
      </c>
      <c r="AF756">
        <v>42258198</v>
      </c>
      <c r="AG756" s="73">
        <v>45363.236215277779</v>
      </c>
      <c r="AH756" t="s">
        <v>226</v>
      </c>
      <c r="AI756" t="s">
        <v>462</v>
      </c>
      <c r="AJ756" t="s">
        <v>228</v>
      </c>
      <c r="AK756" t="s">
        <v>229</v>
      </c>
      <c r="AL756" t="s">
        <v>99</v>
      </c>
      <c r="AP756" t="s">
        <v>230</v>
      </c>
      <c r="AQ756" t="s">
        <v>231</v>
      </c>
      <c r="AT756" t="s">
        <v>232</v>
      </c>
      <c r="AU756">
        <v>-99</v>
      </c>
      <c r="AV756" t="s">
        <v>73</v>
      </c>
      <c r="AW756">
        <v>-460</v>
      </c>
      <c r="AX756">
        <v>42258198</v>
      </c>
      <c r="AY756" s="73">
        <v>45363.236215277779</v>
      </c>
      <c r="AZ756" t="s">
        <v>226</v>
      </c>
      <c r="BA756" t="s">
        <v>462</v>
      </c>
      <c r="BB756" t="s">
        <v>228</v>
      </c>
      <c r="BC756" t="s">
        <v>229</v>
      </c>
      <c r="BD756" t="s">
        <v>99</v>
      </c>
      <c r="BI756" t="s">
        <v>233</v>
      </c>
      <c r="BJ756" t="s">
        <v>0</v>
      </c>
      <c r="BK756">
        <v>42258166</v>
      </c>
      <c r="BN756" t="s">
        <v>73</v>
      </c>
      <c r="BR756">
        <v>-460</v>
      </c>
      <c r="BS756">
        <v>42258198</v>
      </c>
      <c r="BT756" s="73">
        <v>45363.236215277779</v>
      </c>
      <c r="BU756" t="s">
        <v>226</v>
      </c>
      <c r="BV756" t="s">
        <v>462</v>
      </c>
      <c r="BW756" t="s">
        <v>228</v>
      </c>
      <c r="CH756" t="s">
        <v>229</v>
      </c>
      <c r="CI756" t="s">
        <v>99</v>
      </c>
      <c r="CJ756" t="s">
        <v>226</v>
      </c>
      <c r="CK756" t="s">
        <v>462</v>
      </c>
      <c r="CL756" t="s">
        <v>228</v>
      </c>
      <c r="CM756" t="s">
        <v>234</v>
      </c>
      <c r="CN756" t="s">
        <v>73</v>
      </c>
      <c r="CO756">
        <v>-460</v>
      </c>
      <c r="CP756">
        <v>42258198</v>
      </c>
      <c r="CQ756" s="73">
        <v>45363.236215277779</v>
      </c>
      <c r="CR756" t="s">
        <v>229</v>
      </c>
      <c r="CS756" t="s">
        <v>99</v>
      </c>
      <c r="CU756" t="s">
        <v>225</v>
      </c>
    </row>
    <row r="757" spans="1:99">
      <c r="A757" t="s">
        <v>103</v>
      </c>
      <c r="B757" t="s">
        <v>98</v>
      </c>
      <c r="J757" t="s">
        <v>225</v>
      </c>
      <c r="K757" t="s">
        <v>225</v>
      </c>
      <c r="M757" s="73">
        <v>45363.236215277779</v>
      </c>
      <c r="N757">
        <v>42258197</v>
      </c>
      <c r="O757">
        <v>9200</v>
      </c>
      <c r="P757" t="s">
        <v>104</v>
      </c>
      <c r="Q757">
        <v>9200</v>
      </c>
      <c r="R757" t="s">
        <v>104</v>
      </c>
      <c r="S757">
        <v>460</v>
      </c>
      <c r="T757" t="s">
        <v>73</v>
      </c>
      <c r="U757" t="s">
        <v>226</v>
      </c>
      <c r="V757" t="s">
        <v>462</v>
      </c>
      <c r="W757" t="s">
        <v>235</v>
      </c>
      <c r="X757" t="s">
        <v>229</v>
      </c>
      <c r="Y757" t="s">
        <v>103</v>
      </c>
      <c r="AD757" t="s">
        <v>104</v>
      </c>
      <c r="AE757">
        <v>9200</v>
      </c>
      <c r="AF757">
        <v>42258197</v>
      </c>
      <c r="AG757" s="73">
        <v>45363.236215277779</v>
      </c>
      <c r="AH757" t="s">
        <v>226</v>
      </c>
      <c r="AI757" t="s">
        <v>462</v>
      </c>
      <c r="AJ757" t="s">
        <v>235</v>
      </c>
      <c r="AK757" t="s">
        <v>229</v>
      </c>
      <c r="AL757" t="s">
        <v>103</v>
      </c>
      <c r="AP757" t="s">
        <v>230</v>
      </c>
      <c r="AQ757" t="s">
        <v>231</v>
      </c>
      <c r="AT757" t="s">
        <v>232</v>
      </c>
      <c r="AU757">
        <v>-99</v>
      </c>
      <c r="AV757" t="s">
        <v>104</v>
      </c>
      <c r="AW757">
        <v>9200</v>
      </c>
      <c r="AX757">
        <v>42258197</v>
      </c>
      <c r="AY757" s="73">
        <v>45363.236215277779</v>
      </c>
      <c r="AZ757" t="s">
        <v>226</v>
      </c>
      <c r="BA757" t="s">
        <v>462</v>
      </c>
      <c r="BB757" t="s">
        <v>235</v>
      </c>
      <c r="BC757" t="s">
        <v>229</v>
      </c>
      <c r="BD757" t="s">
        <v>103</v>
      </c>
      <c r="BI757" t="s">
        <v>233</v>
      </c>
      <c r="BJ757" t="s">
        <v>0</v>
      </c>
      <c r="BK757">
        <v>42258166</v>
      </c>
      <c r="BN757" t="s">
        <v>104</v>
      </c>
      <c r="BO757">
        <v>42258189</v>
      </c>
      <c r="BR757">
        <v>9200</v>
      </c>
      <c r="BS757">
        <v>42258197</v>
      </c>
      <c r="BT757" s="73">
        <v>45363.236215277779</v>
      </c>
      <c r="BU757" t="s">
        <v>226</v>
      </c>
      <c r="BV757" t="s">
        <v>462</v>
      </c>
      <c r="BW757" t="s">
        <v>235</v>
      </c>
      <c r="CH757" t="s">
        <v>229</v>
      </c>
      <c r="CI757" t="s">
        <v>103</v>
      </c>
      <c r="CJ757" t="s">
        <v>226</v>
      </c>
      <c r="CK757" t="s">
        <v>462</v>
      </c>
      <c r="CL757" t="s">
        <v>235</v>
      </c>
      <c r="CM757" t="s">
        <v>236</v>
      </c>
      <c r="CN757" t="s">
        <v>104</v>
      </c>
      <c r="CO757">
        <v>9200</v>
      </c>
      <c r="CP757">
        <v>42258197</v>
      </c>
      <c r="CQ757" s="73">
        <v>45363.236215277779</v>
      </c>
      <c r="CR757" t="s">
        <v>229</v>
      </c>
      <c r="CS757" t="s">
        <v>103</v>
      </c>
      <c r="CU757" t="s">
        <v>225</v>
      </c>
    </row>
    <row r="758" spans="1:99">
      <c r="A758" t="s">
        <v>111</v>
      </c>
      <c r="B758" t="s">
        <v>77</v>
      </c>
      <c r="J758" t="s">
        <v>225</v>
      </c>
      <c r="K758" t="s">
        <v>225</v>
      </c>
      <c r="M758" s="73">
        <v>45363.236215277779</v>
      </c>
      <c r="N758">
        <v>42258196</v>
      </c>
      <c r="O758">
        <v>10</v>
      </c>
      <c r="P758" t="s">
        <v>45</v>
      </c>
      <c r="Q758">
        <v>10</v>
      </c>
      <c r="R758" t="s">
        <v>45</v>
      </c>
      <c r="U758" t="s">
        <v>226</v>
      </c>
      <c r="V758" t="s">
        <v>462</v>
      </c>
      <c r="W758" t="s">
        <v>237</v>
      </c>
      <c r="X758" t="s">
        <v>229</v>
      </c>
      <c r="Y758" t="s">
        <v>111</v>
      </c>
      <c r="AD758" t="s">
        <v>45</v>
      </c>
      <c r="AE758">
        <v>10</v>
      </c>
      <c r="AF758">
        <v>42258196</v>
      </c>
      <c r="AG758" s="73">
        <v>45363.236215277779</v>
      </c>
      <c r="AH758" t="s">
        <v>226</v>
      </c>
      <c r="AI758" t="s">
        <v>462</v>
      </c>
      <c r="AJ758" t="s">
        <v>237</v>
      </c>
      <c r="AK758" t="s">
        <v>229</v>
      </c>
      <c r="AL758" t="s">
        <v>111</v>
      </c>
      <c r="AP758" t="s">
        <v>230</v>
      </c>
      <c r="AQ758" t="s">
        <v>231</v>
      </c>
      <c r="AT758" t="s">
        <v>232</v>
      </c>
      <c r="AU758">
        <v>-99</v>
      </c>
      <c r="AV758" t="s">
        <v>45</v>
      </c>
      <c r="AW758">
        <v>10</v>
      </c>
      <c r="AX758">
        <v>42258196</v>
      </c>
      <c r="AY758" s="73">
        <v>45363.236215277779</v>
      </c>
      <c r="AZ758" t="s">
        <v>226</v>
      </c>
      <c r="BA758" t="s">
        <v>462</v>
      </c>
      <c r="BB758" t="s">
        <v>237</v>
      </c>
      <c r="BC758" t="s">
        <v>229</v>
      </c>
      <c r="BD758" t="s">
        <v>111</v>
      </c>
      <c r="BI758" t="s">
        <v>233</v>
      </c>
      <c r="BJ758" t="s">
        <v>0</v>
      </c>
      <c r="BK758">
        <v>42258166</v>
      </c>
      <c r="BN758" t="s">
        <v>45</v>
      </c>
      <c r="BO758">
        <v>42258191</v>
      </c>
      <c r="BR758">
        <v>10</v>
      </c>
      <c r="BS758">
        <v>42258196</v>
      </c>
      <c r="BT758" s="73">
        <v>45363.236215277779</v>
      </c>
      <c r="BU758" t="s">
        <v>226</v>
      </c>
      <c r="BV758" t="s">
        <v>462</v>
      </c>
      <c r="BW758" t="s">
        <v>237</v>
      </c>
      <c r="CH758" t="s">
        <v>229</v>
      </c>
      <c r="CI758" t="s">
        <v>111</v>
      </c>
      <c r="CJ758" t="s">
        <v>226</v>
      </c>
      <c r="CK758" t="s">
        <v>462</v>
      </c>
      <c r="CL758" t="s">
        <v>237</v>
      </c>
      <c r="CM758" t="s">
        <v>236</v>
      </c>
      <c r="CN758" t="s">
        <v>45</v>
      </c>
      <c r="CO758">
        <v>10</v>
      </c>
      <c r="CP758">
        <v>42258196</v>
      </c>
      <c r="CQ758" s="73">
        <v>45363.236215277779</v>
      </c>
      <c r="CR758" t="s">
        <v>229</v>
      </c>
      <c r="CS758" t="s">
        <v>111</v>
      </c>
      <c r="CU758" t="s">
        <v>225</v>
      </c>
    </row>
    <row r="759" spans="1:99">
      <c r="A759" t="s">
        <v>42</v>
      </c>
      <c r="B759" t="s">
        <v>92</v>
      </c>
      <c r="J759" t="s">
        <v>225</v>
      </c>
      <c r="K759" t="s">
        <v>225</v>
      </c>
      <c r="M759" s="73">
        <v>45363.234305555554</v>
      </c>
      <c r="N759">
        <v>42258098</v>
      </c>
      <c r="O759">
        <v>-4285</v>
      </c>
      <c r="P759" t="s">
        <v>45</v>
      </c>
      <c r="Q759">
        <v>-4285</v>
      </c>
      <c r="R759" t="s">
        <v>45</v>
      </c>
      <c r="U759" t="s">
        <v>226</v>
      </c>
      <c r="V759" t="s">
        <v>463</v>
      </c>
      <c r="W759" t="s">
        <v>228</v>
      </c>
      <c r="X759" t="s">
        <v>229</v>
      </c>
      <c r="Y759" t="s">
        <v>42</v>
      </c>
      <c r="AD759" t="s">
        <v>45</v>
      </c>
      <c r="AE759">
        <v>-4285</v>
      </c>
      <c r="AF759">
        <v>42258098</v>
      </c>
      <c r="AG759" s="73">
        <v>45363.234305555554</v>
      </c>
      <c r="AH759" t="s">
        <v>226</v>
      </c>
      <c r="AI759" t="s">
        <v>463</v>
      </c>
      <c r="AJ759" t="s">
        <v>228</v>
      </c>
      <c r="AK759" t="s">
        <v>229</v>
      </c>
      <c r="AL759" t="s">
        <v>42</v>
      </c>
      <c r="AP759" t="s">
        <v>230</v>
      </c>
      <c r="AQ759" t="s">
        <v>231</v>
      </c>
      <c r="AT759" t="s">
        <v>232</v>
      </c>
      <c r="AU759">
        <v>-99</v>
      </c>
      <c r="AV759" t="s">
        <v>45</v>
      </c>
      <c r="AW759">
        <v>-4285</v>
      </c>
      <c r="AX759">
        <v>42258098</v>
      </c>
      <c r="AY759" s="73">
        <v>45363.234305555554</v>
      </c>
      <c r="AZ759" t="s">
        <v>226</v>
      </c>
      <c r="BA759" t="s">
        <v>463</v>
      </c>
      <c r="BB759" t="s">
        <v>228</v>
      </c>
      <c r="BC759" t="s">
        <v>229</v>
      </c>
      <c r="BD759" t="s">
        <v>42</v>
      </c>
      <c r="BI759" t="s">
        <v>233</v>
      </c>
      <c r="BJ759" t="s">
        <v>0</v>
      </c>
      <c r="BK759">
        <v>42258072</v>
      </c>
      <c r="BN759" t="s">
        <v>45</v>
      </c>
      <c r="BR759">
        <v>-4285</v>
      </c>
      <c r="BS759">
        <v>42258098</v>
      </c>
      <c r="BT759" s="73">
        <v>45363.234305555554</v>
      </c>
      <c r="BU759" t="s">
        <v>226</v>
      </c>
      <c r="BV759" t="s">
        <v>463</v>
      </c>
      <c r="BW759" t="s">
        <v>228</v>
      </c>
      <c r="CH759" t="s">
        <v>229</v>
      </c>
      <c r="CI759" t="s">
        <v>42</v>
      </c>
      <c r="CJ759" t="s">
        <v>226</v>
      </c>
      <c r="CK759" t="s">
        <v>463</v>
      </c>
      <c r="CL759" t="s">
        <v>228</v>
      </c>
      <c r="CM759" t="s">
        <v>234</v>
      </c>
      <c r="CN759" t="s">
        <v>45</v>
      </c>
      <c r="CO759">
        <v>-4285</v>
      </c>
      <c r="CP759">
        <v>42258098</v>
      </c>
      <c r="CQ759" s="73">
        <v>45363.234305555554</v>
      </c>
      <c r="CR759" t="s">
        <v>229</v>
      </c>
      <c r="CS759" t="s">
        <v>42</v>
      </c>
      <c r="CU759" t="s">
        <v>225</v>
      </c>
    </row>
    <row r="760" spans="1:99">
      <c r="A760" t="s">
        <v>99</v>
      </c>
      <c r="B760" t="s">
        <v>98</v>
      </c>
      <c r="J760" t="s">
        <v>225</v>
      </c>
      <c r="K760" t="s">
        <v>225</v>
      </c>
      <c r="M760" s="73">
        <v>45363.234305555554</v>
      </c>
      <c r="N760">
        <v>42258097</v>
      </c>
      <c r="O760">
        <v>-214.05</v>
      </c>
      <c r="P760" t="s">
        <v>73</v>
      </c>
      <c r="Q760">
        <v>-214.05</v>
      </c>
      <c r="R760" t="s">
        <v>73</v>
      </c>
      <c r="U760" t="s">
        <v>226</v>
      </c>
      <c r="V760" t="s">
        <v>463</v>
      </c>
      <c r="W760" t="s">
        <v>228</v>
      </c>
      <c r="X760" t="s">
        <v>229</v>
      </c>
      <c r="Y760" t="s">
        <v>99</v>
      </c>
      <c r="AD760" t="s">
        <v>73</v>
      </c>
      <c r="AE760">
        <v>-214.05</v>
      </c>
      <c r="AF760">
        <v>42258097</v>
      </c>
      <c r="AG760" s="73">
        <v>45363.234305555554</v>
      </c>
      <c r="AH760" t="s">
        <v>226</v>
      </c>
      <c r="AI760" t="s">
        <v>463</v>
      </c>
      <c r="AJ760" t="s">
        <v>228</v>
      </c>
      <c r="AK760" t="s">
        <v>229</v>
      </c>
      <c r="AL760" t="s">
        <v>99</v>
      </c>
      <c r="AP760" t="s">
        <v>230</v>
      </c>
      <c r="AQ760" t="s">
        <v>231</v>
      </c>
      <c r="AT760" t="s">
        <v>232</v>
      </c>
      <c r="AU760">
        <v>-99</v>
      </c>
      <c r="AV760" t="s">
        <v>73</v>
      </c>
      <c r="AW760">
        <v>-214.05</v>
      </c>
      <c r="AX760">
        <v>42258097</v>
      </c>
      <c r="AY760" s="73">
        <v>45363.234305555554</v>
      </c>
      <c r="AZ760" t="s">
        <v>226</v>
      </c>
      <c r="BA760" t="s">
        <v>463</v>
      </c>
      <c r="BB760" t="s">
        <v>228</v>
      </c>
      <c r="BC760" t="s">
        <v>229</v>
      </c>
      <c r="BD760" t="s">
        <v>99</v>
      </c>
      <c r="BI760" t="s">
        <v>233</v>
      </c>
      <c r="BJ760" t="s">
        <v>0</v>
      </c>
      <c r="BK760">
        <v>42258072</v>
      </c>
      <c r="BN760" t="s">
        <v>73</v>
      </c>
      <c r="BR760">
        <v>-214.05</v>
      </c>
      <c r="BS760">
        <v>42258097</v>
      </c>
      <c r="BT760" s="73">
        <v>45363.234305555554</v>
      </c>
      <c r="BU760" t="s">
        <v>226</v>
      </c>
      <c r="BV760" t="s">
        <v>463</v>
      </c>
      <c r="BW760" t="s">
        <v>228</v>
      </c>
      <c r="CH760" t="s">
        <v>229</v>
      </c>
      <c r="CI760" t="s">
        <v>99</v>
      </c>
      <c r="CJ760" t="s">
        <v>226</v>
      </c>
      <c r="CK760" t="s">
        <v>463</v>
      </c>
      <c r="CL760" t="s">
        <v>228</v>
      </c>
      <c r="CM760" t="s">
        <v>234</v>
      </c>
      <c r="CN760" t="s">
        <v>73</v>
      </c>
      <c r="CO760">
        <v>-214.05</v>
      </c>
      <c r="CP760">
        <v>42258097</v>
      </c>
      <c r="CQ760" s="73">
        <v>45363.234305555554</v>
      </c>
      <c r="CR760" t="s">
        <v>229</v>
      </c>
      <c r="CS760" t="s">
        <v>99</v>
      </c>
      <c r="CU760" t="s">
        <v>225</v>
      </c>
    </row>
    <row r="761" spans="1:99">
      <c r="A761" t="s">
        <v>103</v>
      </c>
      <c r="B761" t="s">
        <v>98</v>
      </c>
      <c r="J761" t="s">
        <v>225</v>
      </c>
      <c r="K761" t="s">
        <v>225</v>
      </c>
      <c r="M761" s="73">
        <v>45363.234305555554</v>
      </c>
      <c r="N761">
        <v>42258096</v>
      </c>
      <c r="O761">
        <v>4281</v>
      </c>
      <c r="P761" t="s">
        <v>104</v>
      </c>
      <c r="Q761">
        <v>4281</v>
      </c>
      <c r="R761" t="s">
        <v>104</v>
      </c>
      <c r="S761">
        <v>214.05</v>
      </c>
      <c r="T761" t="s">
        <v>73</v>
      </c>
      <c r="U761" t="s">
        <v>226</v>
      </c>
      <c r="V761" t="s">
        <v>463</v>
      </c>
      <c r="W761" t="s">
        <v>235</v>
      </c>
      <c r="X761" t="s">
        <v>229</v>
      </c>
      <c r="Y761" t="s">
        <v>103</v>
      </c>
      <c r="AD761" t="s">
        <v>104</v>
      </c>
      <c r="AE761">
        <v>4281</v>
      </c>
      <c r="AF761">
        <v>42258096</v>
      </c>
      <c r="AG761" s="73">
        <v>45363.234305555554</v>
      </c>
      <c r="AH761" t="s">
        <v>226</v>
      </c>
      <c r="AI761" t="s">
        <v>463</v>
      </c>
      <c r="AJ761" t="s">
        <v>235</v>
      </c>
      <c r="AK761" t="s">
        <v>229</v>
      </c>
      <c r="AL761" t="s">
        <v>103</v>
      </c>
      <c r="AP761" t="s">
        <v>230</v>
      </c>
      <c r="AQ761" t="s">
        <v>231</v>
      </c>
      <c r="AT761" t="s">
        <v>232</v>
      </c>
      <c r="AU761">
        <v>-99</v>
      </c>
      <c r="AV761" t="s">
        <v>104</v>
      </c>
      <c r="AW761">
        <v>4281</v>
      </c>
      <c r="AX761">
        <v>42258096</v>
      </c>
      <c r="AY761" s="73">
        <v>45363.234305555554</v>
      </c>
      <c r="AZ761" t="s">
        <v>226</v>
      </c>
      <c r="BA761" t="s">
        <v>463</v>
      </c>
      <c r="BB761" t="s">
        <v>235</v>
      </c>
      <c r="BC761" t="s">
        <v>229</v>
      </c>
      <c r="BD761" t="s">
        <v>103</v>
      </c>
      <c r="BI761" t="s">
        <v>233</v>
      </c>
      <c r="BJ761" t="s">
        <v>0</v>
      </c>
      <c r="BK761">
        <v>42258072</v>
      </c>
      <c r="BN761" t="s">
        <v>104</v>
      </c>
      <c r="BO761">
        <v>42258088</v>
      </c>
      <c r="BR761">
        <v>4281</v>
      </c>
      <c r="BS761">
        <v>42258096</v>
      </c>
      <c r="BT761" s="73">
        <v>45363.234305555554</v>
      </c>
      <c r="BU761" t="s">
        <v>226</v>
      </c>
      <c r="BV761" t="s">
        <v>463</v>
      </c>
      <c r="BW761" t="s">
        <v>235</v>
      </c>
      <c r="CH761" t="s">
        <v>229</v>
      </c>
      <c r="CI761" t="s">
        <v>103</v>
      </c>
      <c r="CJ761" t="s">
        <v>226</v>
      </c>
      <c r="CK761" t="s">
        <v>463</v>
      </c>
      <c r="CL761" t="s">
        <v>235</v>
      </c>
      <c r="CM761" t="s">
        <v>236</v>
      </c>
      <c r="CN761" t="s">
        <v>104</v>
      </c>
      <c r="CO761">
        <v>4281</v>
      </c>
      <c r="CP761">
        <v>42258096</v>
      </c>
      <c r="CQ761" s="73">
        <v>45363.234305555554</v>
      </c>
      <c r="CR761" t="s">
        <v>229</v>
      </c>
      <c r="CS761" t="s">
        <v>103</v>
      </c>
      <c r="CU761" t="s">
        <v>225</v>
      </c>
    </row>
    <row r="762" spans="1:99">
      <c r="A762" t="s">
        <v>111</v>
      </c>
      <c r="B762" t="s">
        <v>77</v>
      </c>
      <c r="J762" t="s">
        <v>225</v>
      </c>
      <c r="K762" t="s">
        <v>225</v>
      </c>
      <c r="M762" s="73">
        <v>45363.234305555554</v>
      </c>
      <c r="N762">
        <v>42258095</v>
      </c>
      <c r="O762">
        <v>4</v>
      </c>
      <c r="P762" t="s">
        <v>45</v>
      </c>
      <c r="Q762">
        <v>4</v>
      </c>
      <c r="R762" t="s">
        <v>45</v>
      </c>
      <c r="U762" t="s">
        <v>226</v>
      </c>
      <c r="V762" t="s">
        <v>463</v>
      </c>
      <c r="W762" t="s">
        <v>237</v>
      </c>
      <c r="X762" t="s">
        <v>229</v>
      </c>
      <c r="Y762" t="s">
        <v>111</v>
      </c>
      <c r="AD762" t="s">
        <v>45</v>
      </c>
      <c r="AE762">
        <v>4</v>
      </c>
      <c r="AF762">
        <v>42258095</v>
      </c>
      <c r="AG762" s="73">
        <v>45363.234305555554</v>
      </c>
      <c r="AH762" t="s">
        <v>226</v>
      </c>
      <c r="AI762" t="s">
        <v>463</v>
      </c>
      <c r="AJ762" t="s">
        <v>237</v>
      </c>
      <c r="AK762" t="s">
        <v>229</v>
      </c>
      <c r="AL762" t="s">
        <v>111</v>
      </c>
      <c r="AP762" t="s">
        <v>230</v>
      </c>
      <c r="AQ762" t="s">
        <v>231</v>
      </c>
      <c r="AT762" t="s">
        <v>232</v>
      </c>
      <c r="AU762">
        <v>-99</v>
      </c>
      <c r="AV762" t="s">
        <v>45</v>
      </c>
      <c r="AW762">
        <v>4</v>
      </c>
      <c r="AX762">
        <v>42258095</v>
      </c>
      <c r="AY762" s="73">
        <v>45363.234305555554</v>
      </c>
      <c r="AZ762" t="s">
        <v>226</v>
      </c>
      <c r="BA762" t="s">
        <v>463</v>
      </c>
      <c r="BB762" t="s">
        <v>237</v>
      </c>
      <c r="BC762" t="s">
        <v>229</v>
      </c>
      <c r="BD762" t="s">
        <v>111</v>
      </c>
      <c r="BI762" t="s">
        <v>233</v>
      </c>
      <c r="BJ762" t="s">
        <v>0</v>
      </c>
      <c r="BK762">
        <v>42258072</v>
      </c>
      <c r="BN762" t="s">
        <v>45</v>
      </c>
      <c r="BO762">
        <v>42258090</v>
      </c>
      <c r="BR762">
        <v>4</v>
      </c>
      <c r="BS762">
        <v>42258095</v>
      </c>
      <c r="BT762" s="73">
        <v>45363.234305555554</v>
      </c>
      <c r="BU762" t="s">
        <v>226</v>
      </c>
      <c r="BV762" t="s">
        <v>463</v>
      </c>
      <c r="BW762" t="s">
        <v>237</v>
      </c>
      <c r="CH762" t="s">
        <v>229</v>
      </c>
      <c r="CI762" t="s">
        <v>111</v>
      </c>
      <c r="CJ762" t="s">
        <v>226</v>
      </c>
      <c r="CK762" t="s">
        <v>463</v>
      </c>
      <c r="CL762" t="s">
        <v>237</v>
      </c>
      <c r="CM762" t="s">
        <v>236</v>
      </c>
      <c r="CN762" t="s">
        <v>45</v>
      </c>
      <c r="CO762">
        <v>4</v>
      </c>
      <c r="CP762">
        <v>42258095</v>
      </c>
      <c r="CQ762" s="73">
        <v>45363.234305555554</v>
      </c>
      <c r="CR762" t="s">
        <v>229</v>
      </c>
      <c r="CS762" t="s">
        <v>111</v>
      </c>
      <c r="CU762" t="s">
        <v>225</v>
      </c>
    </row>
    <row r="763" spans="1:99">
      <c r="A763" t="s">
        <v>46</v>
      </c>
      <c r="B763" t="s">
        <v>92</v>
      </c>
      <c r="J763" t="s">
        <v>225</v>
      </c>
      <c r="K763" t="s">
        <v>225</v>
      </c>
      <c r="M763" s="73">
        <v>45363.232881944445</v>
      </c>
      <c r="N763">
        <v>42258032</v>
      </c>
      <c r="O763">
        <v>-573</v>
      </c>
      <c r="P763" t="s">
        <v>45</v>
      </c>
      <c r="Q763">
        <v>-573</v>
      </c>
      <c r="R763" t="s">
        <v>45</v>
      </c>
      <c r="U763" t="s">
        <v>226</v>
      </c>
      <c r="V763" t="s">
        <v>464</v>
      </c>
      <c r="W763" t="s">
        <v>228</v>
      </c>
      <c r="X763" t="s">
        <v>229</v>
      </c>
      <c r="Y763" t="s">
        <v>46</v>
      </c>
      <c r="AD763" t="s">
        <v>45</v>
      </c>
      <c r="AE763">
        <v>-573</v>
      </c>
      <c r="AF763">
        <v>42258032</v>
      </c>
      <c r="AG763" s="73">
        <v>45363.232881944445</v>
      </c>
      <c r="AH763" t="s">
        <v>226</v>
      </c>
      <c r="AI763" t="s">
        <v>464</v>
      </c>
      <c r="AJ763" t="s">
        <v>228</v>
      </c>
      <c r="AK763" t="s">
        <v>229</v>
      </c>
      <c r="AL763" t="s">
        <v>46</v>
      </c>
      <c r="AP763" t="s">
        <v>230</v>
      </c>
      <c r="AQ763" t="s">
        <v>231</v>
      </c>
      <c r="AT763" t="s">
        <v>232</v>
      </c>
      <c r="AU763">
        <v>-99</v>
      </c>
      <c r="AV763" t="s">
        <v>45</v>
      </c>
      <c r="AW763">
        <v>-573</v>
      </c>
      <c r="AX763">
        <v>42258032</v>
      </c>
      <c r="AY763" s="73">
        <v>45363.232881944445</v>
      </c>
      <c r="AZ763" t="s">
        <v>226</v>
      </c>
      <c r="BA763" t="s">
        <v>464</v>
      </c>
      <c r="BB763" t="s">
        <v>228</v>
      </c>
      <c r="BC763" t="s">
        <v>229</v>
      </c>
      <c r="BD763" t="s">
        <v>46</v>
      </c>
      <c r="BI763" t="s">
        <v>233</v>
      </c>
      <c r="BJ763" t="s">
        <v>0</v>
      </c>
      <c r="BK763">
        <v>42258013</v>
      </c>
      <c r="BN763" t="s">
        <v>45</v>
      </c>
      <c r="BR763">
        <v>-573</v>
      </c>
      <c r="BS763">
        <v>42258032</v>
      </c>
      <c r="BT763" s="73">
        <v>45363.232881944445</v>
      </c>
      <c r="BU763" t="s">
        <v>226</v>
      </c>
      <c r="BV763" t="s">
        <v>464</v>
      </c>
      <c r="BW763" t="s">
        <v>228</v>
      </c>
      <c r="CH763" t="s">
        <v>229</v>
      </c>
      <c r="CI763" t="s">
        <v>46</v>
      </c>
      <c r="CJ763" t="s">
        <v>226</v>
      </c>
      <c r="CK763" t="s">
        <v>464</v>
      </c>
      <c r="CL763" t="s">
        <v>228</v>
      </c>
      <c r="CM763" t="s">
        <v>234</v>
      </c>
      <c r="CN763" t="s">
        <v>45</v>
      </c>
      <c r="CO763">
        <v>-573</v>
      </c>
      <c r="CP763">
        <v>42258032</v>
      </c>
      <c r="CQ763" s="73">
        <v>45363.232881944445</v>
      </c>
      <c r="CR763" t="s">
        <v>229</v>
      </c>
      <c r="CS763" t="s">
        <v>46</v>
      </c>
      <c r="CU763" t="s">
        <v>225</v>
      </c>
    </row>
    <row r="764" spans="1:99">
      <c r="A764" t="s">
        <v>93</v>
      </c>
      <c r="B764" t="s">
        <v>98</v>
      </c>
      <c r="J764" t="s">
        <v>225</v>
      </c>
      <c r="K764" t="s">
        <v>225</v>
      </c>
      <c r="M764" s="73">
        <v>45363.232881944445</v>
      </c>
      <c r="N764">
        <v>42258031</v>
      </c>
      <c r="O764">
        <v>-28.5</v>
      </c>
      <c r="P764" t="s">
        <v>73</v>
      </c>
      <c r="Q764">
        <v>-28.5</v>
      </c>
      <c r="R764" t="s">
        <v>73</v>
      </c>
      <c r="U764" t="s">
        <v>226</v>
      </c>
      <c r="V764" t="s">
        <v>464</v>
      </c>
      <c r="W764" t="s">
        <v>228</v>
      </c>
      <c r="X764" t="s">
        <v>229</v>
      </c>
      <c r="Y764" t="s">
        <v>93</v>
      </c>
      <c r="AD764" t="s">
        <v>73</v>
      </c>
      <c r="AE764">
        <v>-28.5</v>
      </c>
      <c r="AF764">
        <v>42258031</v>
      </c>
      <c r="AG764" s="73">
        <v>45363.232881944445</v>
      </c>
      <c r="AH764" t="s">
        <v>226</v>
      </c>
      <c r="AI764" t="s">
        <v>464</v>
      </c>
      <c r="AJ764" t="s">
        <v>228</v>
      </c>
      <c r="AK764" t="s">
        <v>229</v>
      </c>
      <c r="AL764" t="s">
        <v>93</v>
      </c>
      <c r="AP764" t="s">
        <v>230</v>
      </c>
      <c r="AQ764" t="s">
        <v>231</v>
      </c>
      <c r="AT764" t="s">
        <v>232</v>
      </c>
      <c r="AU764">
        <v>-99</v>
      </c>
      <c r="AV764" t="s">
        <v>73</v>
      </c>
      <c r="AW764">
        <v>-28.5</v>
      </c>
      <c r="AX764">
        <v>42258031</v>
      </c>
      <c r="AY764" s="73">
        <v>45363.232881944445</v>
      </c>
      <c r="AZ764" t="s">
        <v>226</v>
      </c>
      <c r="BA764" t="s">
        <v>464</v>
      </c>
      <c r="BB764" t="s">
        <v>228</v>
      </c>
      <c r="BC764" t="s">
        <v>229</v>
      </c>
      <c r="BD764" t="s">
        <v>93</v>
      </c>
      <c r="BI764" t="s">
        <v>233</v>
      </c>
      <c r="BJ764" t="s">
        <v>0</v>
      </c>
      <c r="BK764">
        <v>42258013</v>
      </c>
      <c r="BN764" t="s">
        <v>73</v>
      </c>
      <c r="BR764">
        <v>-28.5</v>
      </c>
      <c r="BS764">
        <v>42258031</v>
      </c>
      <c r="BT764" s="73">
        <v>45363.232881944445</v>
      </c>
      <c r="BU764" t="s">
        <v>226</v>
      </c>
      <c r="BV764" t="s">
        <v>464</v>
      </c>
      <c r="BW764" t="s">
        <v>228</v>
      </c>
      <c r="CH764" t="s">
        <v>229</v>
      </c>
      <c r="CI764" t="s">
        <v>93</v>
      </c>
      <c r="CJ764" t="s">
        <v>226</v>
      </c>
      <c r="CK764" t="s">
        <v>464</v>
      </c>
      <c r="CL764" t="s">
        <v>228</v>
      </c>
      <c r="CM764" t="s">
        <v>234</v>
      </c>
      <c r="CN764" t="s">
        <v>73</v>
      </c>
      <c r="CO764">
        <v>-28.5</v>
      </c>
      <c r="CP764">
        <v>42258031</v>
      </c>
      <c r="CQ764" s="73">
        <v>45363.232881944445</v>
      </c>
      <c r="CR764" t="s">
        <v>229</v>
      </c>
      <c r="CS764" t="s">
        <v>93</v>
      </c>
      <c r="CU764" t="s">
        <v>225</v>
      </c>
    </row>
    <row r="765" spans="1:99">
      <c r="A765" t="s">
        <v>108</v>
      </c>
      <c r="B765" t="s">
        <v>98</v>
      </c>
      <c r="J765" t="s">
        <v>225</v>
      </c>
      <c r="K765" t="s">
        <v>225</v>
      </c>
      <c r="M765" s="73">
        <v>45363.232881944445</v>
      </c>
      <c r="N765">
        <v>42258030</v>
      </c>
      <c r="O765">
        <v>570</v>
      </c>
      <c r="P765" t="s">
        <v>104</v>
      </c>
      <c r="Q765">
        <v>570</v>
      </c>
      <c r="R765" t="s">
        <v>104</v>
      </c>
      <c r="S765">
        <v>28.5</v>
      </c>
      <c r="T765" t="s">
        <v>73</v>
      </c>
      <c r="U765" t="s">
        <v>226</v>
      </c>
      <c r="V765" t="s">
        <v>464</v>
      </c>
      <c r="W765" t="s">
        <v>235</v>
      </c>
      <c r="X765" t="s">
        <v>229</v>
      </c>
      <c r="Y765" t="s">
        <v>108</v>
      </c>
      <c r="AD765" t="s">
        <v>104</v>
      </c>
      <c r="AE765">
        <v>570</v>
      </c>
      <c r="AF765">
        <v>42258030</v>
      </c>
      <c r="AG765" s="73">
        <v>45363.232881944445</v>
      </c>
      <c r="AH765" t="s">
        <v>226</v>
      </c>
      <c r="AI765" t="s">
        <v>464</v>
      </c>
      <c r="AJ765" t="s">
        <v>235</v>
      </c>
      <c r="AK765" t="s">
        <v>229</v>
      </c>
      <c r="AL765" t="s">
        <v>108</v>
      </c>
      <c r="AP765" t="s">
        <v>230</v>
      </c>
      <c r="AQ765" t="s">
        <v>231</v>
      </c>
      <c r="AT765" t="s">
        <v>232</v>
      </c>
      <c r="AU765">
        <v>-99</v>
      </c>
      <c r="AV765" t="s">
        <v>104</v>
      </c>
      <c r="AW765">
        <v>570</v>
      </c>
      <c r="AX765">
        <v>42258030</v>
      </c>
      <c r="AY765" s="73">
        <v>45363.232881944445</v>
      </c>
      <c r="AZ765" t="s">
        <v>226</v>
      </c>
      <c r="BA765" t="s">
        <v>464</v>
      </c>
      <c r="BB765" t="s">
        <v>235</v>
      </c>
      <c r="BC765" t="s">
        <v>229</v>
      </c>
      <c r="BD765" t="s">
        <v>108</v>
      </c>
      <c r="BI765" t="s">
        <v>233</v>
      </c>
      <c r="BJ765" t="s">
        <v>0</v>
      </c>
      <c r="BK765">
        <v>42258013</v>
      </c>
      <c r="BN765" t="s">
        <v>104</v>
      </c>
      <c r="BO765">
        <v>42258022</v>
      </c>
      <c r="BR765">
        <v>570</v>
      </c>
      <c r="BS765">
        <v>42258030</v>
      </c>
      <c r="BT765" s="73">
        <v>45363.232881944445</v>
      </c>
      <c r="BU765" t="s">
        <v>226</v>
      </c>
      <c r="BV765" t="s">
        <v>464</v>
      </c>
      <c r="BW765" t="s">
        <v>235</v>
      </c>
      <c r="CH765" t="s">
        <v>229</v>
      </c>
      <c r="CI765" t="s">
        <v>108</v>
      </c>
      <c r="CJ765" t="s">
        <v>226</v>
      </c>
      <c r="CK765" t="s">
        <v>464</v>
      </c>
      <c r="CL765" t="s">
        <v>235</v>
      </c>
      <c r="CM765" t="s">
        <v>236</v>
      </c>
      <c r="CN765" t="s">
        <v>104</v>
      </c>
      <c r="CO765">
        <v>570</v>
      </c>
      <c r="CP765">
        <v>42258030</v>
      </c>
      <c r="CQ765" s="73">
        <v>45363.232881944445</v>
      </c>
      <c r="CR765" t="s">
        <v>229</v>
      </c>
      <c r="CS765" t="s">
        <v>108</v>
      </c>
      <c r="CU765" t="s">
        <v>225</v>
      </c>
    </row>
    <row r="766" spans="1:99">
      <c r="A766" t="s">
        <v>111</v>
      </c>
      <c r="B766" t="s">
        <v>77</v>
      </c>
      <c r="J766" t="s">
        <v>225</v>
      </c>
      <c r="K766" t="s">
        <v>225</v>
      </c>
      <c r="M766" s="73">
        <v>45363.232881944445</v>
      </c>
      <c r="N766">
        <v>42258029</v>
      </c>
      <c r="O766">
        <v>3</v>
      </c>
      <c r="P766" t="s">
        <v>45</v>
      </c>
      <c r="Q766">
        <v>3</v>
      </c>
      <c r="R766" t="s">
        <v>45</v>
      </c>
      <c r="U766" t="s">
        <v>226</v>
      </c>
      <c r="V766" t="s">
        <v>464</v>
      </c>
      <c r="W766" t="s">
        <v>237</v>
      </c>
      <c r="X766" t="s">
        <v>229</v>
      </c>
      <c r="Y766" t="s">
        <v>111</v>
      </c>
      <c r="AD766" t="s">
        <v>45</v>
      </c>
      <c r="AE766">
        <v>3</v>
      </c>
      <c r="AF766">
        <v>42258029</v>
      </c>
      <c r="AG766" s="73">
        <v>45363.232881944445</v>
      </c>
      <c r="AH766" t="s">
        <v>226</v>
      </c>
      <c r="AI766" t="s">
        <v>464</v>
      </c>
      <c r="AJ766" t="s">
        <v>237</v>
      </c>
      <c r="AK766" t="s">
        <v>229</v>
      </c>
      <c r="AL766" t="s">
        <v>111</v>
      </c>
      <c r="AP766" t="s">
        <v>230</v>
      </c>
      <c r="AQ766" t="s">
        <v>231</v>
      </c>
      <c r="AT766" t="s">
        <v>232</v>
      </c>
      <c r="AU766">
        <v>-99</v>
      </c>
      <c r="AV766" t="s">
        <v>45</v>
      </c>
      <c r="AW766">
        <v>3</v>
      </c>
      <c r="AX766">
        <v>42258029</v>
      </c>
      <c r="AY766" s="73">
        <v>45363.232881944445</v>
      </c>
      <c r="AZ766" t="s">
        <v>226</v>
      </c>
      <c r="BA766" t="s">
        <v>464</v>
      </c>
      <c r="BB766" t="s">
        <v>237</v>
      </c>
      <c r="BC766" t="s">
        <v>229</v>
      </c>
      <c r="BD766" t="s">
        <v>111</v>
      </c>
      <c r="BI766" t="s">
        <v>233</v>
      </c>
      <c r="BJ766" t="s">
        <v>0</v>
      </c>
      <c r="BK766">
        <v>42258013</v>
      </c>
      <c r="BN766" t="s">
        <v>45</v>
      </c>
      <c r="BO766">
        <v>42258024</v>
      </c>
      <c r="BR766">
        <v>3</v>
      </c>
      <c r="BS766">
        <v>42258029</v>
      </c>
      <c r="BT766" s="73">
        <v>45363.232881944445</v>
      </c>
      <c r="BU766" t="s">
        <v>226</v>
      </c>
      <c r="BV766" t="s">
        <v>464</v>
      </c>
      <c r="BW766" t="s">
        <v>237</v>
      </c>
      <c r="CH766" t="s">
        <v>229</v>
      </c>
      <c r="CI766" t="s">
        <v>111</v>
      </c>
      <c r="CJ766" t="s">
        <v>226</v>
      </c>
      <c r="CK766" t="s">
        <v>464</v>
      </c>
      <c r="CL766" t="s">
        <v>237</v>
      </c>
      <c r="CM766" t="s">
        <v>236</v>
      </c>
      <c r="CN766" t="s">
        <v>45</v>
      </c>
      <c r="CO766">
        <v>3</v>
      </c>
      <c r="CP766">
        <v>42258029</v>
      </c>
      <c r="CQ766" s="73">
        <v>45363.232881944445</v>
      </c>
      <c r="CR766" t="s">
        <v>229</v>
      </c>
      <c r="CS766" t="s">
        <v>111</v>
      </c>
      <c r="CU766" t="s">
        <v>225</v>
      </c>
    </row>
    <row r="767" spans="1:99">
      <c r="A767" t="s">
        <v>52</v>
      </c>
      <c r="B767" t="s">
        <v>92</v>
      </c>
      <c r="J767" t="s">
        <v>225</v>
      </c>
      <c r="K767" t="s">
        <v>225</v>
      </c>
      <c r="M767" s="73">
        <v>45363.230995370373</v>
      </c>
      <c r="N767">
        <v>42258004</v>
      </c>
      <c r="O767">
        <v>-3872</v>
      </c>
      <c r="P767" t="s">
        <v>45</v>
      </c>
      <c r="Q767">
        <v>-3872</v>
      </c>
      <c r="R767" t="s">
        <v>45</v>
      </c>
      <c r="U767" t="s">
        <v>226</v>
      </c>
      <c r="V767" t="s">
        <v>465</v>
      </c>
      <c r="W767" t="s">
        <v>228</v>
      </c>
      <c r="X767" t="s">
        <v>229</v>
      </c>
      <c r="Y767" t="s">
        <v>52</v>
      </c>
      <c r="AD767" t="s">
        <v>45</v>
      </c>
      <c r="AE767">
        <v>-3872</v>
      </c>
      <c r="AF767">
        <v>42258004</v>
      </c>
      <c r="AG767" s="73">
        <v>45363.230995370373</v>
      </c>
      <c r="AH767" t="s">
        <v>226</v>
      </c>
      <c r="AI767" t="s">
        <v>465</v>
      </c>
      <c r="AJ767" t="s">
        <v>228</v>
      </c>
      <c r="AK767" t="s">
        <v>229</v>
      </c>
      <c r="AL767" t="s">
        <v>52</v>
      </c>
      <c r="AP767" t="s">
        <v>230</v>
      </c>
      <c r="AQ767" t="s">
        <v>231</v>
      </c>
      <c r="AT767" t="s">
        <v>232</v>
      </c>
      <c r="AU767">
        <v>-99</v>
      </c>
      <c r="AV767" t="s">
        <v>45</v>
      </c>
      <c r="AW767">
        <v>-3872</v>
      </c>
      <c r="AX767">
        <v>42258004</v>
      </c>
      <c r="AY767" s="73">
        <v>45363.230995370373</v>
      </c>
      <c r="AZ767" t="s">
        <v>226</v>
      </c>
      <c r="BA767" t="s">
        <v>465</v>
      </c>
      <c r="BB767" t="s">
        <v>228</v>
      </c>
      <c r="BC767" t="s">
        <v>229</v>
      </c>
      <c r="BD767" t="s">
        <v>52</v>
      </c>
      <c r="BI767" t="s">
        <v>233</v>
      </c>
      <c r="BJ767" t="s">
        <v>0</v>
      </c>
      <c r="BK767">
        <v>42257971</v>
      </c>
      <c r="BN767" t="s">
        <v>45</v>
      </c>
      <c r="BR767">
        <v>-3872</v>
      </c>
      <c r="BS767">
        <v>42258004</v>
      </c>
      <c r="BT767" s="73">
        <v>45363.230995370373</v>
      </c>
      <c r="BU767" t="s">
        <v>226</v>
      </c>
      <c r="BV767" t="s">
        <v>465</v>
      </c>
      <c r="BW767" t="s">
        <v>228</v>
      </c>
      <c r="CH767" t="s">
        <v>229</v>
      </c>
      <c r="CI767" t="s">
        <v>52</v>
      </c>
      <c r="CJ767" t="s">
        <v>226</v>
      </c>
      <c r="CK767" t="s">
        <v>465</v>
      </c>
      <c r="CL767" t="s">
        <v>228</v>
      </c>
      <c r="CM767" t="s">
        <v>234</v>
      </c>
      <c r="CN767" t="s">
        <v>45</v>
      </c>
      <c r="CO767">
        <v>-3872</v>
      </c>
      <c r="CP767">
        <v>42258004</v>
      </c>
      <c r="CQ767" s="73">
        <v>45363.230995370373</v>
      </c>
      <c r="CR767" t="s">
        <v>229</v>
      </c>
      <c r="CS767" t="s">
        <v>52</v>
      </c>
      <c r="CU767" t="s">
        <v>225</v>
      </c>
    </row>
    <row r="768" spans="1:99">
      <c r="A768" t="s">
        <v>101</v>
      </c>
      <c r="B768" t="s">
        <v>98</v>
      </c>
      <c r="J768" t="s">
        <v>225</v>
      </c>
      <c r="K768" t="s">
        <v>225</v>
      </c>
      <c r="M768" s="73">
        <v>45363.230995370373</v>
      </c>
      <c r="N768">
        <v>42258003</v>
      </c>
      <c r="O768">
        <v>-193.5</v>
      </c>
      <c r="P768" t="s">
        <v>73</v>
      </c>
      <c r="Q768">
        <v>-193.5</v>
      </c>
      <c r="R768" t="s">
        <v>73</v>
      </c>
      <c r="U768" t="s">
        <v>226</v>
      </c>
      <c r="V768" t="s">
        <v>465</v>
      </c>
      <c r="W768" t="s">
        <v>228</v>
      </c>
      <c r="X768" t="s">
        <v>229</v>
      </c>
      <c r="Y768" t="s">
        <v>101</v>
      </c>
      <c r="AD768" t="s">
        <v>73</v>
      </c>
      <c r="AE768">
        <v>-193.5</v>
      </c>
      <c r="AF768">
        <v>42258003</v>
      </c>
      <c r="AG768" s="73">
        <v>45363.230995370373</v>
      </c>
      <c r="AH768" t="s">
        <v>226</v>
      </c>
      <c r="AI768" t="s">
        <v>465</v>
      </c>
      <c r="AJ768" t="s">
        <v>228</v>
      </c>
      <c r="AK768" t="s">
        <v>229</v>
      </c>
      <c r="AL768" t="s">
        <v>101</v>
      </c>
      <c r="AP768" t="s">
        <v>230</v>
      </c>
      <c r="AQ768" t="s">
        <v>231</v>
      </c>
      <c r="AT768" t="s">
        <v>232</v>
      </c>
      <c r="AU768">
        <v>-99</v>
      </c>
      <c r="AV768" t="s">
        <v>73</v>
      </c>
      <c r="AW768">
        <v>-193.5</v>
      </c>
      <c r="AX768">
        <v>42258003</v>
      </c>
      <c r="AY768" s="73">
        <v>45363.230995370373</v>
      </c>
      <c r="AZ768" t="s">
        <v>226</v>
      </c>
      <c r="BA768" t="s">
        <v>465</v>
      </c>
      <c r="BB768" t="s">
        <v>228</v>
      </c>
      <c r="BC768" t="s">
        <v>229</v>
      </c>
      <c r="BD768" t="s">
        <v>101</v>
      </c>
      <c r="BI768" t="s">
        <v>233</v>
      </c>
      <c r="BJ768" t="s">
        <v>0</v>
      </c>
      <c r="BK768">
        <v>42257971</v>
      </c>
      <c r="BN768" t="s">
        <v>73</v>
      </c>
      <c r="BR768">
        <v>-193.5</v>
      </c>
      <c r="BS768">
        <v>42258003</v>
      </c>
      <c r="BT768" s="73">
        <v>45363.230995370373</v>
      </c>
      <c r="BU768" t="s">
        <v>226</v>
      </c>
      <c r="BV768" t="s">
        <v>465</v>
      </c>
      <c r="BW768" t="s">
        <v>228</v>
      </c>
      <c r="CH768" t="s">
        <v>229</v>
      </c>
      <c r="CI768" t="s">
        <v>101</v>
      </c>
      <c r="CJ768" t="s">
        <v>226</v>
      </c>
      <c r="CK768" t="s">
        <v>465</v>
      </c>
      <c r="CL768" t="s">
        <v>228</v>
      </c>
      <c r="CM768" t="s">
        <v>234</v>
      </c>
      <c r="CN768" t="s">
        <v>73</v>
      </c>
      <c r="CO768">
        <v>-193.5</v>
      </c>
      <c r="CP768">
        <v>42258003</v>
      </c>
      <c r="CQ768" s="73">
        <v>45363.230995370373</v>
      </c>
      <c r="CR768" t="s">
        <v>229</v>
      </c>
      <c r="CS768" t="s">
        <v>101</v>
      </c>
      <c r="CU768" t="s">
        <v>225</v>
      </c>
    </row>
    <row r="769" spans="1:99">
      <c r="A769" t="s">
        <v>107</v>
      </c>
      <c r="B769" t="s">
        <v>98</v>
      </c>
      <c r="J769" t="s">
        <v>225</v>
      </c>
      <c r="K769" t="s">
        <v>225</v>
      </c>
      <c r="M769" s="73">
        <v>45363.230995370373</v>
      </c>
      <c r="N769">
        <v>42258002</v>
      </c>
      <c r="O769">
        <v>3870</v>
      </c>
      <c r="P769" t="s">
        <v>104</v>
      </c>
      <c r="Q769">
        <v>3870</v>
      </c>
      <c r="R769" t="s">
        <v>104</v>
      </c>
      <c r="S769">
        <v>193.5</v>
      </c>
      <c r="T769" t="s">
        <v>73</v>
      </c>
      <c r="U769" t="s">
        <v>226</v>
      </c>
      <c r="V769" t="s">
        <v>465</v>
      </c>
      <c r="W769" t="s">
        <v>235</v>
      </c>
      <c r="X769" t="s">
        <v>229</v>
      </c>
      <c r="Y769" t="s">
        <v>107</v>
      </c>
      <c r="AD769" t="s">
        <v>104</v>
      </c>
      <c r="AE769">
        <v>3870</v>
      </c>
      <c r="AF769">
        <v>42258002</v>
      </c>
      <c r="AG769" s="73">
        <v>45363.230995370373</v>
      </c>
      <c r="AH769" t="s">
        <v>226</v>
      </c>
      <c r="AI769" t="s">
        <v>465</v>
      </c>
      <c r="AJ769" t="s">
        <v>235</v>
      </c>
      <c r="AK769" t="s">
        <v>229</v>
      </c>
      <c r="AL769" t="s">
        <v>107</v>
      </c>
      <c r="AP769" t="s">
        <v>230</v>
      </c>
      <c r="AQ769" t="s">
        <v>231</v>
      </c>
      <c r="AT769" t="s">
        <v>232</v>
      </c>
      <c r="AU769">
        <v>-99</v>
      </c>
      <c r="AV769" t="s">
        <v>104</v>
      </c>
      <c r="AW769">
        <v>3870</v>
      </c>
      <c r="AX769">
        <v>42258002</v>
      </c>
      <c r="AY769" s="73">
        <v>45363.230995370373</v>
      </c>
      <c r="AZ769" t="s">
        <v>226</v>
      </c>
      <c r="BA769" t="s">
        <v>465</v>
      </c>
      <c r="BB769" t="s">
        <v>235</v>
      </c>
      <c r="BC769" t="s">
        <v>229</v>
      </c>
      <c r="BD769" t="s">
        <v>107</v>
      </c>
      <c r="BI769" t="s">
        <v>233</v>
      </c>
      <c r="BJ769" t="s">
        <v>0</v>
      </c>
      <c r="BK769">
        <v>42257971</v>
      </c>
      <c r="BN769" t="s">
        <v>104</v>
      </c>
      <c r="BO769">
        <v>42257994</v>
      </c>
      <c r="BR769">
        <v>3870</v>
      </c>
      <c r="BS769">
        <v>42258002</v>
      </c>
      <c r="BT769" s="73">
        <v>45363.230995370373</v>
      </c>
      <c r="BU769" t="s">
        <v>226</v>
      </c>
      <c r="BV769" t="s">
        <v>465</v>
      </c>
      <c r="BW769" t="s">
        <v>235</v>
      </c>
      <c r="CH769" t="s">
        <v>229</v>
      </c>
      <c r="CI769" t="s">
        <v>107</v>
      </c>
      <c r="CJ769" t="s">
        <v>226</v>
      </c>
      <c r="CK769" t="s">
        <v>465</v>
      </c>
      <c r="CL769" t="s">
        <v>235</v>
      </c>
      <c r="CM769" t="s">
        <v>236</v>
      </c>
      <c r="CN769" t="s">
        <v>104</v>
      </c>
      <c r="CO769">
        <v>3870</v>
      </c>
      <c r="CP769">
        <v>42258002</v>
      </c>
      <c r="CQ769" s="73">
        <v>45363.230995370373</v>
      </c>
      <c r="CR769" t="s">
        <v>229</v>
      </c>
      <c r="CS769" t="s">
        <v>107</v>
      </c>
      <c r="CU769" t="s">
        <v>225</v>
      </c>
    </row>
    <row r="770" spans="1:99">
      <c r="A770" t="s">
        <v>111</v>
      </c>
      <c r="B770" t="s">
        <v>77</v>
      </c>
      <c r="J770" t="s">
        <v>225</v>
      </c>
      <c r="K770" t="s">
        <v>225</v>
      </c>
      <c r="M770" s="73">
        <v>45363.230995370373</v>
      </c>
      <c r="N770">
        <v>42258001</v>
      </c>
      <c r="O770">
        <v>2</v>
      </c>
      <c r="P770" t="s">
        <v>45</v>
      </c>
      <c r="Q770">
        <v>2</v>
      </c>
      <c r="R770" t="s">
        <v>45</v>
      </c>
      <c r="U770" t="s">
        <v>226</v>
      </c>
      <c r="V770" t="s">
        <v>465</v>
      </c>
      <c r="W770" t="s">
        <v>237</v>
      </c>
      <c r="X770" t="s">
        <v>229</v>
      </c>
      <c r="Y770" t="s">
        <v>111</v>
      </c>
      <c r="AD770" t="s">
        <v>45</v>
      </c>
      <c r="AE770">
        <v>2</v>
      </c>
      <c r="AF770">
        <v>42258001</v>
      </c>
      <c r="AG770" s="73">
        <v>45363.230995370373</v>
      </c>
      <c r="AH770" t="s">
        <v>226</v>
      </c>
      <c r="AI770" t="s">
        <v>465</v>
      </c>
      <c r="AJ770" t="s">
        <v>237</v>
      </c>
      <c r="AK770" t="s">
        <v>229</v>
      </c>
      <c r="AL770" t="s">
        <v>111</v>
      </c>
      <c r="AP770" t="s">
        <v>230</v>
      </c>
      <c r="AQ770" t="s">
        <v>231</v>
      </c>
      <c r="AT770" t="s">
        <v>232</v>
      </c>
      <c r="AU770">
        <v>-99</v>
      </c>
      <c r="AV770" t="s">
        <v>45</v>
      </c>
      <c r="AW770">
        <v>2</v>
      </c>
      <c r="AX770">
        <v>42258001</v>
      </c>
      <c r="AY770" s="73">
        <v>45363.230995370373</v>
      </c>
      <c r="AZ770" t="s">
        <v>226</v>
      </c>
      <c r="BA770" t="s">
        <v>465</v>
      </c>
      <c r="BB770" t="s">
        <v>237</v>
      </c>
      <c r="BC770" t="s">
        <v>229</v>
      </c>
      <c r="BD770" t="s">
        <v>111</v>
      </c>
      <c r="BI770" t="s">
        <v>233</v>
      </c>
      <c r="BJ770" t="s">
        <v>0</v>
      </c>
      <c r="BK770">
        <v>42257971</v>
      </c>
      <c r="BN770" t="s">
        <v>45</v>
      </c>
      <c r="BO770">
        <v>42257996</v>
      </c>
      <c r="BR770">
        <v>2</v>
      </c>
      <c r="BS770">
        <v>42258001</v>
      </c>
      <c r="BT770" s="73">
        <v>45363.230995370373</v>
      </c>
      <c r="BU770" t="s">
        <v>226</v>
      </c>
      <c r="BV770" t="s">
        <v>465</v>
      </c>
      <c r="BW770" t="s">
        <v>237</v>
      </c>
      <c r="CH770" t="s">
        <v>229</v>
      </c>
      <c r="CI770" t="s">
        <v>111</v>
      </c>
      <c r="CJ770" t="s">
        <v>226</v>
      </c>
      <c r="CK770" t="s">
        <v>465</v>
      </c>
      <c r="CL770" t="s">
        <v>237</v>
      </c>
      <c r="CM770" t="s">
        <v>236</v>
      </c>
      <c r="CN770" t="s">
        <v>45</v>
      </c>
      <c r="CO770">
        <v>2</v>
      </c>
      <c r="CP770">
        <v>42258001</v>
      </c>
      <c r="CQ770" s="73">
        <v>45363.230995370373</v>
      </c>
      <c r="CR770" t="s">
        <v>229</v>
      </c>
      <c r="CS770" t="s">
        <v>111</v>
      </c>
      <c r="CU770" t="s">
        <v>225</v>
      </c>
    </row>
    <row r="771" spans="1:99">
      <c r="A771" t="s">
        <v>113</v>
      </c>
      <c r="B771" t="s">
        <v>90</v>
      </c>
      <c r="J771" t="s">
        <v>225</v>
      </c>
      <c r="K771" t="s">
        <v>225</v>
      </c>
      <c r="M771" s="73">
        <v>45362.923622685186</v>
      </c>
      <c r="N771">
        <v>42258742</v>
      </c>
      <c r="O771">
        <v>-240</v>
      </c>
      <c r="P771" t="s">
        <v>115</v>
      </c>
      <c r="Q771">
        <v>-240</v>
      </c>
      <c r="R771" t="s">
        <v>115</v>
      </c>
      <c r="U771" t="s">
        <v>226</v>
      </c>
      <c r="V771" t="s">
        <v>466</v>
      </c>
      <c r="W771" t="s">
        <v>228</v>
      </c>
      <c r="X771" t="s">
        <v>229</v>
      </c>
      <c r="Y771" t="s">
        <v>113</v>
      </c>
      <c r="AD771" t="s">
        <v>115</v>
      </c>
      <c r="AE771">
        <v>-240</v>
      </c>
      <c r="AF771">
        <v>42258742</v>
      </c>
      <c r="AG771" s="73">
        <v>45362.923622685186</v>
      </c>
      <c r="AH771" t="s">
        <v>226</v>
      </c>
      <c r="AI771" t="s">
        <v>466</v>
      </c>
      <c r="AJ771" t="s">
        <v>228</v>
      </c>
      <c r="AK771" t="s">
        <v>229</v>
      </c>
      <c r="AL771" t="s">
        <v>113</v>
      </c>
      <c r="AP771" t="s">
        <v>230</v>
      </c>
      <c r="AQ771" t="s">
        <v>231</v>
      </c>
      <c r="AT771" t="s">
        <v>232</v>
      </c>
      <c r="AU771">
        <v>-99</v>
      </c>
      <c r="AV771" t="s">
        <v>115</v>
      </c>
      <c r="AW771">
        <v>-240</v>
      </c>
      <c r="AX771">
        <v>42258742</v>
      </c>
      <c r="AY771" s="73">
        <v>45362.923622685186</v>
      </c>
      <c r="AZ771" t="s">
        <v>226</v>
      </c>
      <c r="BA771" t="s">
        <v>466</v>
      </c>
      <c r="BB771" t="s">
        <v>228</v>
      </c>
      <c r="BC771" t="s">
        <v>229</v>
      </c>
      <c r="BD771" t="s">
        <v>113</v>
      </c>
      <c r="BI771" t="s">
        <v>233</v>
      </c>
      <c r="BJ771" t="s">
        <v>0</v>
      </c>
      <c r="BK771">
        <v>42258725</v>
      </c>
      <c r="BN771" t="s">
        <v>115</v>
      </c>
      <c r="BR771">
        <v>-240</v>
      </c>
      <c r="BS771">
        <v>42258742</v>
      </c>
      <c r="BT771" s="73">
        <v>45362.923622685186</v>
      </c>
      <c r="BU771" t="s">
        <v>226</v>
      </c>
      <c r="BV771" t="s">
        <v>466</v>
      </c>
      <c r="BW771" t="s">
        <v>228</v>
      </c>
      <c r="CH771" t="s">
        <v>229</v>
      </c>
      <c r="CI771" t="s">
        <v>113</v>
      </c>
      <c r="CJ771" t="s">
        <v>226</v>
      </c>
      <c r="CK771" t="s">
        <v>466</v>
      </c>
      <c r="CL771" t="s">
        <v>228</v>
      </c>
      <c r="CM771" t="s">
        <v>234</v>
      </c>
      <c r="CN771" t="s">
        <v>115</v>
      </c>
      <c r="CO771">
        <v>-240</v>
      </c>
      <c r="CP771">
        <v>42258742</v>
      </c>
      <c r="CQ771" s="73">
        <v>45362.923622685186</v>
      </c>
      <c r="CR771" t="s">
        <v>229</v>
      </c>
      <c r="CS771" t="s">
        <v>113</v>
      </c>
      <c r="CU771" t="s">
        <v>225</v>
      </c>
    </row>
    <row r="772" spans="1:99">
      <c r="A772" t="s">
        <v>129</v>
      </c>
      <c r="B772" t="s">
        <v>90</v>
      </c>
      <c r="J772" t="s">
        <v>225</v>
      </c>
      <c r="K772" t="s">
        <v>225</v>
      </c>
      <c r="M772" s="73">
        <v>45362.923622685186</v>
      </c>
      <c r="N772">
        <v>42258741</v>
      </c>
      <c r="O772">
        <v>-5</v>
      </c>
      <c r="P772" t="s">
        <v>73</v>
      </c>
      <c r="Q772">
        <v>-5</v>
      </c>
      <c r="R772" t="s">
        <v>73</v>
      </c>
      <c r="U772" t="s">
        <v>226</v>
      </c>
      <c r="V772" t="s">
        <v>466</v>
      </c>
      <c r="W772" t="s">
        <v>228</v>
      </c>
      <c r="X772" t="s">
        <v>229</v>
      </c>
      <c r="Y772" t="s">
        <v>129</v>
      </c>
      <c r="AD772" t="s">
        <v>73</v>
      </c>
      <c r="AE772">
        <v>-5</v>
      </c>
      <c r="AF772">
        <v>42258741</v>
      </c>
      <c r="AG772" s="73">
        <v>45362.923622685186</v>
      </c>
      <c r="AH772" t="s">
        <v>226</v>
      </c>
      <c r="AI772" t="s">
        <v>466</v>
      </c>
      <c r="AJ772" t="s">
        <v>228</v>
      </c>
      <c r="AK772" t="s">
        <v>229</v>
      </c>
      <c r="AL772" t="s">
        <v>129</v>
      </c>
      <c r="AP772" t="s">
        <v>230</v>
      </c>
      <c r="AQ772" t="s">
        <v>231</v>
      </c>
      <c r="AT772" t="s">
        <v>232</v>
      </c>
      <c r="AU772">
        <v>-99</v>
      </c>
      <c r="AV772" t="s">
        <v>73</v>
      </c>
      <c r="AW772">
        <v>-5</v>
      </c>
      <c r="AX772">
        <v>42258741</v>
      </c>
      <c r="AY772" s="73">
        <v>45362.923622685186</v>
      </c>
      <c r="AZ772" t="s">
        <v>226</v>
      </c>
      <c r="BA772" t="s">
        <v>466</v>
      </c>
      <c r="BB772" t="s">
        <v>228</v>
      </c>
      <c r="BC772" t="s">
        <v>229</v>
      </c>
      <c r="BD772" t="s">
        <v>129</v>
      </c>
      <c r="BI772" t="s">
        <v>233</v>
      </c>
      <c r="BJ772" t="s">
        <v>0</v>
      </c>
      <c r="BK772">
        <v>42258725</v>
      </c>
      <c r="BN772" t="s">
        <v>73</v>
      </c>
      <c r="BR772">
        <v>-5</v>
      </c>
      <c r="BS772">
        <v>42258741</v>
      </c>
      <c r="BT772" s="73">
        <v>45362.923622685186</v>
      </c>
      <c r="BU772" t="s">
        <v>226</v>
      </c>
      <c r="BV772" t="s">
        <v>466</v>
      </c>
      <c r="BW772" t="s">
        <v>228</v>
      </c>
      <c r="CH772" t="s">
        <v>229</v>
      </c>
      <c r="CI772" t="s">
        <v>129</v>
      </c>
      <c r="CJ772" t="s">
        <v>226</v>
      </c>
      <c r="CK772" t="s">
        <v>466</v>
      </c>
      <c r="CL772" t="s">
        <v>228</v>
      </c>
      <c r="CM772" t="s">
        <v>234</v>
      </c>
      <c r="CN772" t="s">
        <v>73</v>
      </c>
      <c r="CO772">
        <v>-5</v>
      </c>
      <c r="CP772">
        <v>42258741</v>
      </c>
      <c r="CQ772" s="73">
        <v>45362.923622685186</v>
      </c>
      <c r="CR772" t="s">
        <v>229</v>
      </c>
      <c r="CS772" t="s">
        <v>129</v>
      </c>
      <c r="CU772" t="s">
        <v>225</v>
      </c>
    </row>
    <row r="773" spans="1:99">
      <c r="A773" t="s">
        <v>118</v>
      </c>
      <c r="B773" t="s">
        <v>90</v>
      </c>
      <c r="J773" t="s">
        <v>225</v>
      </c>
      <c r="K773" t="s">
        <v>225</v>
      </c>
      <c r="M773" s="73">
        <v>45362.923622685186</v>
      </c>
      <c r="N773">
        <v>42258740</v>
      </c>
      <c r="O773">
        <v>-54</v>
      </c>
      <c r="P773" t="s">
        <v>120</v>
      </c>
      <c r="Q773">
        <v>-54</v>
      </c>
      <c r="R773" t="s">
        <v>120</v>
      </c>
      <c r="U773" t="s">
        <v>226</v>
      </c>
      <c r="V773" t="s">
        <v>466</v>
      </c>
      <c r="W773" t="s">
        <v>228</v>
      </c>
      <c r="X773" t="s">
        <v>229</v>
      </c>
      <c r="Y773" t="s">
        <v>118</v>
      </c>
      <c r="AD773" t="s">
        <v>120</v>
      </c>
      <c r="AE773">
        <v>-54</v>
      </c>
      <c r="AF773">
        <v>42258740</v>
      </c>
      <c r="AG773" s="73">
        <v>45362.923622685186</v>
      </c>
      <c r="AH773" t="s">
        <v>226</v>
      </c>
      <c r="AI773" t="s">
        <v>466</v>
      </c>
      <c r="AJ773" t="s">
        <v>228</v>
      </c>
      <c r="AK773" t="s">
        <v>229</v>
      </c>
      <c r="AL773" t="s">
        <v>118</v>
      </c>
      <c r="AP773" t="s">
        <v>230</v>
      </c>
      <c r="AQ773" t="s">
        <v>231</v>
      </c>
      <c r="AT773" t="s">
        <v>232</v>
      </c>
      <c r="AU773">
        <v>-99</v>
      </c>
      <c r="AV773" t="s">
        <v>120</v>
      </c>
      <c r="AW773">
        <v>-54</v>
      </c>
      <c r="AX773">
        <v>42258740</v>
      </c>
      <c r="AY773" s="73">
        <v>45362.923622685186</v>
      </c>
      <c r="AZ773" t="s">
        <v>226</v>
      </c>
      <c r="BA773" t="s">
        <v>466</v>
      </c>
      <c r="BB773" t="s">
        <v>228</v>
      </c>
      <c r="BC773" t="s">
        <v>229</v>
      </c>
      <c r="BD773" t="s">
        <v>118</v>
      </c>
      <c r="BI773" t="s">
        <v>233</v>
      </c>
      <c r="BJ773" t="s">
        <v>0</v>
      </c>
      <c r="BK773">
        <v>42258725</v>
      </c>
      <c r="BN773" t="s">
        <v>120</v>
      </c>
      <c r="BR773">
        <v>-54</v>
      </c>
      <c r="BS773">
        <v>42258740</v>
      </c>
      <c r="BT773" s="73">
        <v>45362.923622685186</v>
      </c>
      <c r="BU773" t="s">
        <v>226</v>
      </c>
      <c r="BV773" t="s">
        <v>466</v>
      </c>
      <c r="BW773" t="s">
        <v>228</v>
      </c>
      <c r="CH773" t="s">
        <v>229</v>
      </c>
      <c r="CI773" t="s">
        <v>118</v>
      </c>
      <c r="CJ773" t="s">
        <v>226</v>
      </c>
      <c r="CK773" t="s">
        <v>466</v>
      </c>
      <c r="CL773" t="s">
        <v>228</v>
      </c>
      <c r="CM773" t="s">
        <v>234</v>
      </c>
      <c r="CN773" t="s">
        <v>120</v>
      </c>
      <c r="CO773">
        <v>-54</v>
      </c>
      <c r="CP773">
        <v>42258740</v>
      </c>
      <c r="CQ773" s="73">
        <v>45362.923622685186</v>
      </c>
      <c r="CR773" t="s">
        <v>229</v>
      </c>
      <c r="CS773" t="s">
        <v>118</v>
      </c>
      <c r="CU773" t="s">
        <v>225</v>
      </c>
    </row>
    <row r="774" spans="1:99">
      <c r="A774" t="s">
        <v>99</v>
      </c>
      <c r="B774" t="s">
        <v>98</v>
      </c>
      <c r="J774" t="s">
        <v>225</v>
      </c>
      <c r="K774" t="s">
        <v>225</v>
      </c>
      <c r="M774" s="73">
        <v>45362.923622685186</v>
      </c>
      <c r="N774">
        <v>42258723</v>
      </c>
      <c r="O774">
        <v>1151.92</v>
      </c>
      <c r="P774" t="s">
        <v>73</v>
      </c>
      <c r="Q774">
        <v>1151.92</v>
      </c>
      <c r="R774" t="s">
        <v>73</v>
      </c>
      <c r="U774" t="s">
        <v>226</v>
      </c>
      <c r="V774" t="s">
        <v>466</v>
      </c>
      <c r="W774" t="s">
        <v>235</v>
      </c>
      <c r="X774" t="s">
        <v>229</v>
      </c>
      <c r="Y774" t="s">
        <v>99</v>
      </c>
      <c r="AD774" t="s">
        <v>73</v>
      </c>
      <c r="AE774">
        <v>1151.92</v>
      </c>
      <c r="AF774">
        <v>42258723</v>
      </c>
      <c r="AG774" s="73">
        <v>45362.923622685186</v>
      </c>
      <c r="AH774" t="s">
        <v>226</v>
      </c>
      <c r="AI774" t="s">
        <v>466</v>
      </c>
      <c r="AJ774" t="s">
        <v>235</v>
      </c>
      <c r="AK774" t="s">
        <v>229</v>
      </c>
      <c r="AL774" t="s">
        <v>99</v>
      </c>
      <c r="AP774" t="s">
        <v>230</v>
      </c>
      <c r="AQ774" t="s">
        <v>231</v>
      </c>
      <c r="AT774" t="s">
        <v>232</v>
      </c>
      <c r="AU774">
        <v>-99</v>
      </c>
      <c r="AV774" t="s">
        <v>73</v>
      </c>
      <c r="AW774">
        <v>1151.92</v>
      </c>
      <c r="AX774">
        <v>42258723</v>
      </c>
      <c r="AY774" s="73">
        <v>45362.923622685186</v>
      </c>
      <c r="AZ774" t="s">
        <v>226</v>
      </c>
      <c r="BA774" t="s">
        <v>466</v>
      </c>
      <c r="BB774" t="s">
        <v>235</v>
      </c>
      <c r="BC774" t="s">
        <v>229</v>
      </c>
      <c r="BD774" t="s">
        <v>99</v>
      </c>
      <c r="BI774" t="s">
        <v>233</v>
      </c>
      <c r="BJ774" t="s">
        <v>0</v>
      </c>
      <c r="BK774">
        <v>42258719</v>
      </c>
      <c r="BN774" t="s">
        <v>73</v>
      </c>
      <c r="BO774">
        <v>42258721</v>
      </c>
      <c r="BR774">
        <v>1151.92</v>
      </c>
      <c r="BS774">
        <v>42258723</v>
      </c>
      <c r="BT774" s="73">
        <v>45362.923622685186</v>
      </c>
      <c r="BU774" t="s">
        <v>226</v>
      </c>
      <c r="BV774" t="s">
        <v>466</v>
      </c>
      <c r="BW774" t="s">
        <v>235</v>
      </c>
      <c r="CH774" t="s">
        <v>229</v>
      </c>
      <c r="CI774" t="s">
        <v>99</v>
      </c>
      <c r="CJ774" t="s">
        <v>226</v>
      </c>
      <c r="CK774" t="s">
        <v>466</v>
      </c>
      <c r="CL774" t="s">
        <v>235</v>
      </c>
      <c r="CM774" t="s">
        <v>236</v>
      </c>
      <c r="CN774" t="s">
        <v>73</v>
      </c>
      <c r="CO774">
        <v>1151.92</v>
      </c>
      <c r="CP774">
        <v>42258723</v>
      </c>
      <c r="CQ774" s="73">
        <v>45362.923622685186</v>
      </c>
      <c r="CR774" t="s">
        <v>229</v>
      </c>
      <c r="CS774" t="s">
        <v>99</v>
      </c>
      <c r="CU774" t="s">
        <v>225</v>
      </c>
    </row>
    <row r="775" spans="1:99">
      <c r="A775" t="s">
        <v>71</v>
      </c>
      <c r="B775" t="s">
        <v>77</v>
      </c>
      <c r="J775" t="s">
        <v>225</v>
      </c>
      <c r="K775" t="s">
        <v>225</v>
      </c>
      <c r="M775" s="73">
        <v>45362.923622685186</v>
      </c>
      <c r="N775">
        <v>42258716</v>
      </c>
      <c r="O775">
        <v>0.69</v>
      </c>
      <c r="P775" t="s">
        <v>73</v>
      </c>
      <c r="Q775">
        <v>0.69</v>
      </c>
      <c r="R775" t="s">
        <v>73</v>
      </c>
      <c r="U775" t="s">
        <v>226</v>
      </c>
      <c r="V775" t="s">
        <v>466</v>
      </c>
      <c r="W775" t="s">
        <v>237</v>
      </c>
      <c r="X775" t="s">
        <v>229</v>
      </c>
      <c r="Y775" t="s">
        <v>71</v>
      </c>
      <c r="AD775" t="s">
        <v>73</v>
      </c>
      <c r="AE775">
        <v>0.69</v>
      </c>
      <c r="AF775">
        <v>42258716</v>
      </c>
      <c r="AG775" s="73">
        <v>45362.923622685186</v>
      </c>
      <c r="AH775" t="s">
        <v>226</v>
      </c>
      <c r="AI775" t="s">
        <v>466</v>
      </c>
      <c r="AJ775" t="s">
        <v>237</v>
      </c>
      <c r="AK775" t="s">
        <v>229</v>
      </c>
      <c r="AL775" t="s">
        <v>71</v>
      </c>
      <c r="AP775" t="s">
        <v>230</v>
      </c>
      <c r="AQ775" t="s">
        <v>231</v>
      </c>
      <c r="AT775" t="s">
        <v>232</v>
      </c>
      <c r="AU775">
        <v>-99</v>
      </c>
      <c r="AV775" t="s">
        <v>73</v>
      </c>
      <c r="AW775">
        <v>0.69</v>
      </c>
      <c r="AX775">
        <v>42258716</v>
      </c>
      <c r="AY775" s="73">
        <v>45362.923622685186</v>
      </c>
      <c r="AZ775" t="s">
        <v>226</v>
      </c>
      <c r="BA775" t="s">
        <v>466</v>
      </c>
      <c r="BB775" t="s">
        <v>237</v>
      </c>
      <c r="BC775" t="s">
        <v>229</v>
      </c>
      <c r="BD775" t="s">
        <v>71</v>
      </c>
      <c r="BI775" t="s">
        <v>233</v>
      </c>
      <c r="BJ775" t="s">
        <v>0</v>
      </c>
      <c r="BK775">
        <v>42258712</v>
      </c>
      <c r="BN775" t="s">
        <v>73</v>
      </c>
      <c r="BO775">
        <v>42258714</v>
      </c>
      <c r="BR775">
        <v>0.69</v>
      </c>
      <c r="BS775">
        <v>42258716</v>
      </c>
      <c r="BT775" s="73">
        <v>45362.923622685186</v>
      </c>
      <c r="BU775" t="s">
        <v>226</v>
      </c>
      <c r="BV775" t="s">
        <v>466</v>
      </c>
      <c r="BW775" t="s">
        <v>237</v>
      </c>
      <c r="CH775" t="s">
        <v>229</v>
      </c>
      <c r="CI775" t="s">
        <v>71</v>
      </c>
      <c r="CJ775" t="s">
        <v>226</v>
      </c>
      <c r="CK775" t="s">
        <v>466</v>
      </c>
      <c r="CL775" t="s">
        <v>237</v>
      </c>
      <c r="CM775" t="s">
        <v>236</v>
      </c>
      <c r="CN775" t="s">
        <v>73</v>
      </c>
      <c r="CO775">
        <v>0.69</v>
      </c>
      <c r="CP775">
        <v>42258716</v>
      </c>
      <c r="CQ775" s="73">
        <v>45362.923622685186</v>
      </c>
      <c r="CR775" t="s">
        <v>229</v>
      </c>
      <c r="CS775" t="s">
        <v>71</v>
      </c>
      <c r="CU775" t="s">
        <v>225</v>
      </c>
    </row>
    <row r="776" spans="1:99">
      <c r="A776" t="s">
        <v>133</v>
      </c>
      <c r="B776" t="s">
        <v>90</v>
      </c>
      <c r="J776" t="s">
        <v>225</v>
      </c>
      <c r="K776" t="s">
        <v>225</v>
      </c>
      <c r="M776" s="73">
        <v>45362.923622685186</v>
      </c>
      <c r="N776">
        <v>42258709</v>
      </c>
      <c r="O776">
        <v>-499.8</v>
      </c>
      <c r="P776" t="s">
        <v>73</v>
      </c>
      <c r="Q776">
        <v>-499.8</v>
      </c>
      <c r="R776" t="s">
        <v>73</v>
      </c>
      <c r="U776" t="s">
        <v>226</v>
      </c>
      <c r="V776" t="s">
        <v>466</v>
      </c>
      <c r="W776" t="s">
        <v>228</v>
      </c>
      <c r="X776" t="s">
        <v>229</v>
      </c>
      <c r="Y776" t="s">
        <v>133</v>
      </c>
      <c r="AD776" t="s">
        <v>73</v>
      </c>
      <c r="AE776">
        <v>-499.8</v>
      </c>
      <c r="AF776">
        <v>42258709</v>
      </c>
      <c r="AG776" s="73">
        <v>45362.923622685186</v>
      </c>
      <c r="AH776" t="s">
        <v>226</v>
      </c>
      <c r="AI776" t="s">
        <v>466</v>
      </c>
      <c r="AJ776" t="s">
        <v>228</v>
      </c>
      <c r="AK776" t="s">
        <v>229</v>
      </c>
      <c r="AL776" t="s">
        <v>133</v>
      </c>
      <c r="AP776" t="s">
        <v>230</v>
      </c>
      <c r="AQ776" t="s">
        <v>231</v>
      </c>
      <c r="AT776" t="s">
        <v>232</v>
      </c>
      <c r="AU776">
        <v>-99</v>
      </c>
      <c r="AV776" t="s">
        <v>73</v>
      </c>
      <c r="AW776">
        <v>-499.8</v>
      </c>
      <c r="AX776">
        <v>42258709</v>
      </c>
      <c r="AY776" s="73">
        <v>45362.923622685186</v>
      </c>
      <c r="AZ776" t="s">
        <v>226</v>
      </c>
      <c r="BA776" t="s">
        <v>466</v>
      </c>
      <c r="BB776" t="s">
        <v>228</v>
      </c>
      <c r="BC776" t="s">
        <v>229</v>
      </c>
      <c r="BD776" t="s">
        <v>133</v>
      </c>
      <c r="BI776" t="s">
        <v>233</v>
      </c>
      <c r="BJ776" t="s">
        <v>0</v>
      </c>
      <c r="BK776">
        <v>42258705</v>
      </c>
      <c r="BN776" t="s">
        <v>73</v>
      </c>
      <c r="BR776">
        <v>-499.8</v>
      </c>
      <c r="BS776">
        <v>42258709</v>
      </c>
      <c r="BT776" s="73">
        <v>45362.923622685186</v>
      </c>
      <c r="BU776" t="s">
        <v>226</v>
      </c>
      <c r="BV776" t="s">
        <v>466</v>
      </c>
      <c r="BW776" t="s">
        <v>228</v>
      </c>
      <c r="CH776" t="s">
        <v>229</v>
      </c>
      <c r="CI776" t="s">
        <v>133</v>
      </c>
      <c r="CJ776" t="s">
        <v>226</v>
      </c>
      <c r="CK776" t="s">
        <v>466</v>
      </c>
      <c r="CL776" t="s">
        <v>228</v>
      </c>
      <c r="CM776" t="s">
        <v>234</v>
      </c>
      <c r="CN776" t="s">
        <v>73</v>
      </c>
      <c r="CO776">
        <v>-499.8</v>
      </c>
      <c r="CP776">
        <v>42258709</v>
      </c>
      <c r="CQ776" s="73">
        <v>45362.923622685186</v>
      </c>
      <c r="CR776" t="s">
        <v>229</v>
      </c>
      <c r="CS776" t="s">
        <v>133</v>
      </c>
      <c r="CU776" t="s">
        <v>225</v>
      </c>
    </row>
    <row r="777" spans="1:99">
      <c r="A777" t="s">
        <v>87</v>
      </c>
      <c r="B777" t="s">
        <v>90</v>
      </c>
      <c r="J777" t="s">
        <v>225</v>
      </c>
      <c r="K777" t="s">
        <v>225</v>
      </c>
      <c r="M777" s="73">
        <v>45362.923622685186</v>
      </c>
      <c r="N777">
        <v>42258702</v>
      </c>
      <c r="O777">
        <v>-47.6</v>
      </c>
      <c r="P777" t="s">
        <v>73</v>
      </c>
      <c r="Q777">
        <v>-47.6</v>
      </c>
      <c r="R777" t="s">
        <v>73</v>
      </c>
      <c r="U777" t="s">
        <v>226</v>
      </c>
      <c r="V777" t="s">
        <v>466</v>
      </c>
      <c r="W777" t="s">
        <v>228</v>
      </c>
      <c r="X777" t="s">
        <v>229</v>
      </c>
      <c r="Y777" t="s">
        <v>87</v>
      </c>
      <c r="AD777" t="s">
        <v>73</v>
      </c>
      <c r="AE777">
        <v>-47.6</v>
      </c>
      <c r="AF777">
        <v>42258702</v>
      </c>
      <c r="AG777" s="73">
        <v>45362.923622685186</v>
      </c>
      <c r="AH777" t="s">
        <v>226</v>
      </c>
      <c r="AI777" t="s">
        <v>466</v>
      </c>
      <c r="AJ777" t="s">
        <v>228</v>
      </c>
      <c r="AK777" t="s">
        <v>229</v>
      </c>
      <c r="AL777" t="s">
        <v>87</v>
      </c>
      <c r="AP777" t="s">
        <v>230</v>
      </c>
      <c r="AQ777" t="s">
        <v>231</v>
      </c>
      <c r="AT777" t="s">
        <v>232</v>
      </c>
      <c r="AU777">
        <v>-99</v>
      </c>
      <c r="AV777" t="s">
        <v>73</v>
      </c>
      <c r="AW777">
        <v>-47.6</v>
      </c>
      <c r="AX777">
        <v>42258702</v>
      </c>
      <c r="AY777" s="73">
        <v>45362.923622685186</v>
      </c>
      <c r="AZ777" t="s">
        <v>226</v>
      </c>
      <c r="BA777" t="s">
        <v>466</v>
      </c>
      <c r="BB777" t="s">
        <v>228</v>
      </c>
      <c r="BC777" t="s">
        <v>229</v>
      </c>
      <c r="BD777" t="s">
        <v>87</v>
      </c>
      <c r="BI777" t="s">
        <v>233</v>
      </c>
      <c r="BJ777" t="s">
        <v>0</v>
      </c>
      <c r="BK777">
        <v>42258698</v>
      </c>
      <c r="BN777" t="s">
        <v>73</v>
      </c>
      <c r="BR777">
        <v>-47.6</v>
      </c>
      <c r="BS777">
        <v>42258702</v>
      </c>
      <c r="BT777" s="73">
        <v>45362.923622685186</v>
      </c>
      <c r="BU777" t="s">
        <v>226</v>
      </c>
      <c r="BV777" t="s">
        <v>466</v>
      </c>
      <c r="BW777" t="s">
        <v>228</v>
      </c>
      <c r="CH777" t="s">
        <v>229</v>
      </c>
      <c r="CI777" t="s">
        <v>87</v>
      </c>
      <c r="CJ777" t="s">
        <v>226</v>
      </c>
      <c r="CK777" t="s">
        <v>466</v>
      </c>
      <c r="CL777" t="s">
        <v>228</v>
      </c>
      <c r="CM777" t="s">
        <v>234</v>
      </c>
      <c r="CN777" t="s">
        <v>73</v>
      </c>
      <c r="CO777">
        <v>-47.6</v>
      </c>
      <c r="CP777">
        <v>42258702</v>
      </c>
      <c r="CQ777" s="73">
        <v>45362.923622685186</v>
      </c>
      <c r="CR777" t="s">
        <v>229</v>
      </c>
      <c r="CS777" t="s">
        <v>87</v>
      </c>
      <c r="CU777" t="s">
        <v>225</v>
      </c>
    </row>
    <row r="778" spans="1:99">
      <c r="A778" t="s">
        <v>127</v>
      </c>
      <c r="B778" t="s">
        <v>90</v>
      </c>
      <c r="J778" t="s">
        <v>225</v>
      </c>
      <c r="K778" t="s">
        <v>225</v>
      </c>
      <c r="M778" s="73">
        <v>45362.923622685186</v>
      </c>
      <c r="N778">
        <v>42258695</v>
      </c>
      <c r="O778">
        <v>-536.70000000000005</v>
      </c>
      <c r="P778" t="s">
        <v>73</v>
      </c>
      <c r="Q778">
        <v>-536.70000000000005</v>
      </c>
      <c r="R778" t="s">
        <v>73</v>
      </c>
      <c r="U778" t="s">
        <v>226</v>
      </c>
      <c r="V778" t="s">
        <v>466</v>
      </c>
      <c r="W778" t="s">
        <v>228</v>
      </c>
      <c r="X778" t="s">
        <v>229</v>
      </c>
      <c r="Y778" t="s">
        <v>127</v>
      </c>
      <c r="AD778" t="s">
        <v>73</v>
      </c>
      <c r="AE778">
        <v>-536.70000000000005</v>
      </c>
      <c r="AF778">
        <v>42258695</v>
      </c>
      <c r="AG778" s="73">
        <v>45362.923622685186</v>
      </c>
      <c r="AH778" t="s">
        <v>226</v>
      </c>
      <c r="AI778" t="s">
        <v>466</v>
      </c>
      <c r="AJ778" t="s">
        <v>228</v>
      </c>
      <c r="AK778" t="s">
        <v>229</v>
      </c>
      <c r="AL778" t="s">
        <v>127</v>
      </c>
      <c r="AP778" t="s">
        <v>230</v>
      </c>
      <c r="AQ778" t="s">
        <v>231</v>
      </c>
      <c r="AT778" t="s">
        <v>232</v>
      </c>
      <c r="AU778">
        <v>-99</v>
      </c>
      <c r="AV778" t="s">
        <v>73</v>
      </c>
      <c r="AW778">
        <v>-536.70000000000005</v>
      </c>
      <c r="AX778">
        <v>42258695</v>
      </c>
      <c r="AY778" s="73">
        <v>45362.923622685186</v>
      </c>
      <c r="AZ778" t="s">
        <v>226</v>
      </c>
      <c r="BA778" t="s">
        <v>466</v>
      </c>
      <c r="BB778" t="s">
        <v>228</v>
      </c>
      <c r="BC778" t="s">
        <v>229</v>
      </c>
      <c r="BD778" t="s">
        <v>127</v>
      </c>
      <c r="BI778" t="s">
        <v>233</v>
      </c>
      <c r="BJ778" t="s">
        <v>0</v>
      </c>
      <c r="BK778">
        <v>42258691</v>
      </c>
      <c r="BN778" t="s">
        <v>73</v>
      </c>
      <c r="BR778">
        <v>-536.70000000000005</v>
      </c>
      <c r="BS778">
        <v>42258695</v>
      </c>
      <c r="BT778" s="73">
        <v>45362.923622685186</v>
      </c>
      <c r="BU778" t="s">
        <v>226</v>
      </c>
      <c r="BV778" t="s">
        <v>466</v>
      </c>
      <c r="BW778" t="s">
        <v>228</v>
      </c>
      <c r="CH778" t="s">
        <v>229</v>
      </c>
      <c r="CI778" t="s">
        <v>127</v>
      </c>
      <c r="CJ778" t="s">
        <v>226</v>
      </c>
      <c r="CK778" t="s">
        <v>466</v>
      </c>
      <c r="CL778" t="s">
        <v>228</v>
      </c>
      <c r="CM778" t="s">
        <v>234</v>
      </c>
      <c r="CN778" t="s">
        <v>73</v>
      </c>
      <c r="CO778">
        <v>-536.70000000000005</v>
      </c>
      <c r="CP778">
        <v>42258695</v>
      </c>
      <c r="CQ778" s="73">
        <v>45362.923622685186</v>
      </c>
      <c r="CR778" t="s">
        <v>229</v>
      </c>
      <c r="CS778" t="s">
        <v>127</v>
      </c>
      <c r="CU778" t="s">
        <v>225</v>
      </c>
    </row>
    <row r="779" spans="1:99">
      <c r="A779" t="s">
        <v>131</v>
      </c>
      <c r="B779" t="s">
        <v>90</v>
      </c>
      <c r="J779" t="s">
        <v>225</v>
      </c>
      <c r="K779" t="s">
        <v>225</v>
      </c>
      <c r="M779" s="73">
        <v>45362.923622685186</v>
      </c>
      <c r="N779">
        <v>42258688</v>
      </c>
      <c r="O779">
        <v>-106.3</v>
      </c>
      <c r="P779" t="s">
        <v>73</v>
      </c>
      <c r="Q779">
        <v>-106.3</v>
      </c>
      <c r="R779" t="s">
        <v>73</v>
      </c>
      <c r="U779" t="s">
        <v>226</v>
      </c>
      <c r="V779" t="s">
        <v>466</v>
      </c>
      <c r="W779" t="s">
        <v>228</v>
      </c>
      <c r="X779" t="s">
        <v>229</v>
      </c>
      <c r="Y779" t="s">
        <v>131</v>
      </c>
      <c r="AD779" t="s">
        <v>73</v>
      </c>
      <c r="AE779">
        <v>-106.3</v>
      </c>
      <c r="AF779">
        <v>42258688</v>
      </c>
      <c r="AG779" s="73">
        <v>45362.923622685186</v>
      </c>
      <c r="AH779" t="s">
        <v>226</v>
      </c>
      <c r="AI779" t="s">
        <v>466</v>
      </c>
      <c r="AJ779" t="s">
        <v>228</v>
      </c>
      <c r="AK779" t="s">
        <v>229</v>
      </c>
      <c r="AL779" t="s">
        <v>131</v>
      </c>
      <c r="AP779" t="s">
        <v>230</v>
      </c>
      <c r="AQ779" t="s">
        <v>231</v>
      </c>
      <c r="AT779" t="s">
        <v>232</v>
      </c>
      <c r="AU779">
        <v>-99</v>
      </c>
      <c r="AV779" t="s">
        <v>73</v>
      </c>
      <c r="AW779">
        <v>-106.3</v>
      </c>
      <c r="AX779">
        <v>42258688</v>
      </c>
      <c r="AY779" s="73">
        <v>45362.923622685186</v>
      </c>
      <c r="AZ779" t="s">
        <v>226</v>
      </c>
      <c r="BA779" t="s">
        <v>466</v>
      </c>
      <c r="BB779" t="s">
        <v>228</v>
      </c>
      <c r="BC779" t="s">
        <v>229</v>
      </c>
      <c r="BD779" t="s">
        <v>131</v>
      </c>
      <c r="BI779" t="s">
        <v>233</v>
      </c>
      <c r="BJ779" t="s">
        <v>0</v>
      </c>
      <c r="BK779">
        <v>42258684</v>
      </c>
      <c r="BN779" t="s">
        <v>73</v>
      </c>
      <c r="BR779">
        <v>-106.3</v>
      </c>
      <c r="BS779">
        <v>42258688</v>
      </c>
      <c r="BT779" s="73">
        <v>45362.923622685186</v>
      </c>
      <c r="BU779" t="s">
        <v>226</v>
      </c>
      <c r="BV779" t="s">
        <v>466</v>
      </c>
      <c r="BW779" t="s">
        <v>228</v>
      </c>
      <c r="CH779" t="s">
        <v>229</v>
      </c>
      <c r="CI779" t="s">
        <v>131</v>
      </c>
      <c r="CJ779" t="s">
        <v>226</v>
      </c>
      <c r="CK779" t="s">
        <v>466</v>
      </c>
      <c r="CL779" t="s">
        <v>228</v>
      </c>
      <c r="CM779" t="s">
        <v>234</v>
      </c>
      <c r="CN779" t="s">
        <v>73</v>
      </c>
      <c r="CO779">
        <v>-106.3</v>
      </c>
      <c r="CP779">
        <v>42258688</v>
      </c>
      <c r="CQ779" s="73">
        <v>45362.923622685186</v>
      </c>
      <c r="CR779" t="s">
        <v>229</v>
      </c>
      <c r="CS779" t="s">
        <v>131</v>
      </c>
      <c r="CU779" t="s">
        <v>225</v>
      </c>
    </row>
    <row r="780" spans="1:99">
      <c r="A780" t="s">
        <v>111</v>
      </c>
      <c r="B780" t="s">
        <v>77</v>
      </c>
      <c r="J780" t="s">
        <v>225</v>
      </c>
      <c r="K780" t="s">
        <v>225</v>
      </c>
      <c r="M780" s="73">
        <v>45362.619444444441</v>
      </c>
      <c r="N780">
        <v>42250800</v>
      </c>
      <c r="O780">
        <v>-2</v>
      </c>
      <c r="P780" t="s">
        <v>45</v>
      </c>
      <c r="Q780">
        <v>-2</v>
      </c>
      <c r="R780" t="s">
        <v>45</v>
      </c>
      <c r="U780" t="s">
        <v>226</v>
      </c>
      <c r="V780" t="s">
        <v>467</v>
      </c>
      <c r="W780" t="s">
        <v>299</v>
      </c>
      <c r="X780" t="s">
        <v>229</v>
      </c>
      <c r="Y780" t="s">
        <v>111</v>
      </c>
      <c r="AD780" t="s">
        <v>45</v>
      </c>
      <c r="AE780">
        <v>-2</v>
      </c>
      <c r="AF780">
        <v>42250800</v>
      </c>
      <c r="AG780" s="73">
        <v>45362.619444444441</v>
      </c>
      <c r="AH780" t="s">
        <v>226</v>
      </c>
      <c r="AI780" t="s">
        <v>467</v>
      </c>
      <c r="AJ780" t="s">
        <v>299</v>
      </c>
      <c r="AK780" t="s">
        <v>229</v>
      </c>
      <c r="AL780" t="s">
        <v>111</v>
      </c>
      <c r="AP780" t="s">
        <v>230</v>
      </c>
      <c r="AQ780" t="s">
        <v>231</v>
      </c>
      <c r="AT780" t="s">
        <v>232</v>
      </c>
      <c r="AU780">
        <v>42250787</v>
      </c>
      <c r="AV780" t="s">
        <v>45</v>
      </c>
      <c r="AW780">
        <v>-2</v>
      </c>
      <c r="AX780">
        <v>42250800</v>
      </c>
      <c r="AY780" s="73">
        <v>45362.619444444441</v>
      </c>
      <c r="AZ780" t="s">
        <v>226</v>
      </c>
      <c r="BA780" t="s">
        <v>467</v>
      </c>
      <c r="BB780" t="s">
        <v>299</v>
      </c>
      <c r="BC780" t="s">
        <v>229</v>
      </c>
      <c r="BD780" t="s">
        <v>111</v>
      </c>
      <c r="BI780" t="s">
        <v>233</v>
      </c>
      <c r="BJ780" t="s">
        <v>0</v>
      </c>
      <c r="BK780">
        <v>42250792</v>
      </c>
      <c r="BN780" t="s">
        <v>45</v>
      </c>
      <c r="BO780">
        <v>42250796</v>
      </c>
      <c r="BR780">
        <v>-2</v>
      </c>
      <c r="BS780">
        <v>42250800</v>
      </c>
      <c r="BT780" s="73">
        <v>45362.619444444441</v>
      </c>
      <c r="BU780" t="s">
        <v>226</v>
      </c>
      <c r="BV780" t="s">
        <v>467</v>
      </c>
      <c r="BW780" t="s">
        <v>299</v>
      </c>
      <c r="CH780" t="s">
        <v>229</v>
      </c>
      <c r="CI780" t="s">
        <v>111</v>
      </c>
      <c r="CJ780" t="s">
        <v>226</v>
      </c>
      <c r="CK780" t="s">
        <v>467</v>
      </c>
      <c r="CL780" t="s">
        <v>299</v>
      </c>
      <c r="CM780" t="s">
        <v>300</v>
      </c>
      <c r="CN780" t="s">
        <v>45</v>
      </c>
      <c r="CO780">
        <v>-2</v>
      </c>
      <c r="CP780">
        <v>42250800</v>
      </c>
      <c r="CQ780" s="73">
        <v>45362.619444444441</v>
      </c>
      <c r="CR780" t="s">
        <v>229</v>
      </c>
      <c r="CS780" t="s">
        <v>111</v>
      </c>
      <c r="CU780" t="s">
        <v>225</v>
      </c>
    </row>
    <row r="781" spans="1:99">
      <c r="A781" t="s">
        <v>111</v>
      </c>
      <c r="B781" t="s">
        <v>77</v>
      </c>
      <c r="J781" t="s">
        <v>225</v>
      </c>
      <c r="K781" t="s">
        <v>225</v>
      </c>
      <c r="M781" s="73">
        <v>45362.619444444441</v>
      </c>
      <c r="N781">
        <v>42250799</v>
      </c>
      <c r="O781">
        <v>4</v>
      </c>
      <c r="P781" t="s">
        <v>45</v>
      </c>
      <c r="Q781">
        <v>4</v>
      </c>
      <c r="R781" t="s">
        <v>45</v>
      </c>
      <c r="U781" t="s">
        <v>226</v>
      </c>
      <c r="V781" t="s">
        <v>467</v>
      </c>
      <c r="W781" t="s">
        <v>237</v>
      </c>
      <c r="X781" t="s">
        <v>229</v>
      </c>
      <c r="Y781" t="s">
        <v>111</v>
      </c>
      <c r="AD781" t="s">
        <v>45</v>
      </c>
      <c r="AE781">
        <v>4</v>
      </c>
      <c r="AF781">
        <v>42250799</v>
      </c>
      <c r="AG781" s="73">
        <v>45362.619444444441</v>
      </c>
      <c r="AH781" t="s">
        <v>226</v>
      </c>
      <c r="AI781" t="s">
        <v>467</v>
      </c>
      <c r="AJ781" t="s">
        <v>237</v>
      </c>
      <c r="AK781" t="s">
        <v>229</v>
      </c>
      <c r="AL781" t="s">
        <v>111</v>
      </c>
      <c r="AP781" t="s">
        <v>230</v>
      </c>
      <c r="AQ781" t="s">
        <v>231</v>
      </c>
      <c r="AT781" t="s">
        <v>232</v>
      </c>
      <c r="AU781">
        <v>-99</v>
      </c>
      <c r="AV781" t="s">
        <v>45</v>
      </c>
      <c r="AW781">
        <v>4</v>
      </c>
      <c r="AX781">
        <v>42250799</v>
      </c>
      <c r="AY781" s="73">
        <v>45362.619444444441</v>
      </c>
      <c r="AZ781" t="s">
        <v>226</v>
      </c>
      <c r="BA781" t="s">
        <v>467</v>
      </c>
      <c r="BB781" t="s">
        <v>237</v>
      </c>
      <c r="BC781" t="s">
        <v>229</v>
      </c>
      <c r="BD781" t="s">
        <v>111</v>
      </c>
      <c r="BI781" t="s">
        <v>233</v>
      </c>
      <c r="BJ781" t="s">
        <v>0</v>
      </c>
      <c r="BK781">
        <v>42250792</v>
      </c>
      <c r="BN781" t="s">
        <v>45</v>
      </c>
      <c r="BO781">
        <v>42250794</v>
      </c>
      <c r="BR781">
        <v>4</v>
      </c>
      <c r="BS781">
        <v>42250799</v>
      </c>
      <c r="BT781" s="73">
        <v>45362.619444444441</v>
      </c>
      <c r="BU781" t="s">
        <v>226</v>
      </c>
      <c r="BV781" t="s">
        <v>467</v>
      </c>
      <c r="BW781" t="s">
        <v>237</v>
      </c>
      <c r="CH781" t="s">
        <v>229</v>
      </c>
      <c r="CI781" t="s">
        <v>111</v>
      </c>
      <c r="CJ781" t="s">
        <v>226</v>
      </c>
      <c r="CK781" t="s">
        <v>467</v>
      </c>
      <c r="CL781" t="s">
        <v>237</v>
      </c>
      <c r="CM781" t="s">
        <v>236</v>
      </c>
      <c r="CN781" t="s">
        <v>45</v>
      </c>
      <c r="CO781">
        <v>4</v>
      </c>
      <c r="CP781">
        <v>42250799</v>
      </c>
      <c r="CQ781" s="73">
        <v>45362.619444444441</v>
      </c>
      <c r="CR781" t="s">
        <v>229</v>
      </c>
      <c r="CS781" t="s">
        <v>111</v>
      </c>
      <c r="CU781" t="s">
        <v>225</v>
      </c>
    </row>
    <row r="782" spans="1:99">
      <c r="A782" t="s">
        <v>42</v>
      </c>
      <c r="B782" t="s">
        <v>92</v>
      </c>
      <c r="J782" t="s">
        <v>225</v>
      </c>
      <c r="K782" t="s">
        <v>225</v>
      </c>
      <c r="M782" s="73">
        <v>45362.619444444441</v>
      </c>
      <c r="N782">
        <v>42250790</v>
      </c>
      <c r="O782">
        <v>-4754</v>
      </c>
      <c r="P782" t="s">
        <v>45</v>
      </c>
      <c r="Q782">
        <v>-4754</v>
      </c>
      <c r="R782" t="s">
        <v>45</v>
      </c>
      <c r="U782" t="s">
        <v>226</v>
      </c>
      <c r="V782" t="s">
        <v>467</v>
      </c>
      <c r="W782" t="s">
        <v>228</v>
      </c>
      <c r="X782" t="s">
        <v>229</v>
      </c>
      <c r="Y782" t="s">
        <v>42</v>
      </c>
      <c r="AD782" t="s">
        <v>45</v>
      </c>
      <c r="AE782">
        <v>-4754</v>
      </c>
      <c r="AF782">
        <v>42250790</v>
      </c>
      <c r="AG782" s="73">
        <v>45362.619444444441</v>
      </c>
      <c r="AH782" t="s">
        <v>226</v>
      </c>
      <c r="AI782" t="s">
        <v>467</v>
      </c>
      <c r="AJ782" t="s">
        <v>228</v>
      </c>
      <c r="AK782" t="s">
        <v>229</v>
      </c>
      <c r="AL782" t="s">
        <v>42</v>
      </c>
      <c r="AP782" t="s">
        <v>230</v>
      </c>
      <c r="AQ782" t="s">
        <v>231</v>
      </c>
      <c r="AT782" t="s">
        <v>232</v>
      </c>
      <c r="AU782">
        <v>-99</v>
      </c>
      <c r="AV782" t="s">
        <v>45</v>
      </c>
      <c r="AW782">
        <v>-4754</v>
      </c>
      <c r="AX782">
        <v>42250790</v>
      </c>
      <c r="AY782" s="73">
        <v>45362.619444444441</v>
      </c>
      <c r="AZ782" t="s">
        <v>226</v>
      </c>
      <c r="BA782" t="s">
        <v>467</v>
      </c>
      <c r="BB782" t="s">
        <v>228</v>
      </c>
      <c r="BC782" t="s">
        <v>229</v>
      </c>
      <c r="BD782" t="s">
        <v>42</v>
      </c>
      <c r="BI782" t="s">
        <v>233</v>
      </c>
      <c r="BJ782" t="s">
        <v>0</v>
      </c>
      <c r="BK782">
        <v>42250774</v>
      </c>
      <c r="BN782" t="s">
        <v>45</v>
      </c>
      <c r="BR782">
        <v>-4754</v>
      </c>
      <c r="BS782">
        <v>42250790</v>
      </c>
      <c r="BT782" s="73">
        <v>45362.619444444441</v>
      </c>
      <c r="BU782" t="s">
        <v>226</v>
      </c>
      <c r="BV782" t="s">
        <v>467</v>
      </c>
      <c r="BW782" t="s">
        <v>228</v>
      </c>
      <c r="CH782" t="s">
        <v>229</v>
      </c>
      <c r="CI782" t="s">
        <v>42</v>
      </c>
      <c r="CJ782" t="s">
        <v>226</v>
      </c>
      <c r="CK782" t="s">
        <v>467</v>
      </c>
      <c r="CL782" t="s">
        <v>228</v>
      </c>
      <c r="CM782" t="s">
        <v>234</v>
      </c>
      <c r="CN782" t="s">
        <v>45</v>
      </c>
      <c r="CO782">
        <v>-4754</v>
      </c>
      <c r="CP782">
        <v>42250790</v>
      </c>
      <c r="CQ782" s="73">
        <v>45362.619444444441</v>
      </c>
      <c r="CR782" t="s">
        <v>229</v>
      </c>
      <c r="CS782" t="s">
        <v>42</v>
      </c>
      <c r="CU782" t="s">
        <v>225</v>
      </c>
    </row>
    <row r="783" spans="1:99">
      <c r="A783" t="s">
        <v>99</v>
      </c>
      <c r="B783" t="s">
        <v>98</v>
      </c>
      <c r="J783" t="s">
        <v>225</v>
      </c>
      <c r="K783" t="s">
        <v>225</v>
      </c>
      <c r="M783" s="73">
        <v>45362.619444444441</v>
      </c>
      <c r="N783">
        <v>42250789</v>
      </c>
      <c r="O783">
        <v>-237.5</v>
      </c>
      <c r="P783" t="s">
        <v>73</v>
      </c>
      <c r="Q783">
        <v>-237.5</v>
      </c>
      <c r="R783" t="s">
        <v>73</v>
      </c>
      <c r="U783" t="s">
        <v>226</v>
      </c>
      <c r="V783" t="s">
        <v>467</v>
      </c>
      <c r="W783" t="s">
        <v>228</v>
      </c>
      <c r="X783" t="s">
        <v>229</v>
      </c>
      <c r="Y783" t="s">
        <v>99</v>
      </c>
      <c r="AD783" t="s">
        <v>73</v>
      </c>
      <c r="AE783">
        <v>-237.5</v>
      </c>
      <c r="AF783">
        <v>42250789</v>
      </c>
      <c r="AG783" s="73">
        <v>45362.619444444441</v>
      </c>
      <c r="AH783" t="s">
        <v>226</v>
      </c>
      <c r="AI783" t="s">
        <v>467</v>
      </c>
      <c r="AJ783" t="s">
        <v>228</v>
      </c>
      <c r="AK783" t="s">
        <v>229</v>
      </c>
      <c r="AL783" t="s">
        <v>99</v>
      </c>
      <c r="AP783" t="s">
        <v>230</v>
      </c>
      <c r="AQ783" t="s">
        <v>231</v>
      </c>
      <c r="AT783" t="s">
        <v>232</v>
      </c>
      <c r="AU783">
        <v>-99</v>
      </c>
      <c r="AV783" t="s">
        <v>73</v>
      </c>
      <c r="AW783">
        <v>-237.5</v>
      </c>
      <c r="AX783">
        <v>42250789</v>
      </c>
      <c r="AY783" s="73">
        <v>45362.619444444441</v>
      </c>
      <c r="AZ783" t="s">
        <v>226</v>
      </c>
      <c r="BA783" t="s">
        <v>467</v>
      </c>
      <c r="BB783" t="s">
        <v>228</v>
      </c>
      <c r="BC783" t="s">
        <v>229</v>
      </c>
      <c r="BD783" t="s">
        <v>99</v>
      </c>
      <c r="BI783" t="s">
        <v>233</v>
      </c>
      <c r="BJ783" t="s">
        <v>0</v>
      </c>
      <c r="BK783">
        <v>42250774</v>
      </c>
      <c r="BN783" t="s">
        <v>73</v>
      </c>
      <c r="BR783">
        <v>-237.5</v>
      </c>
      <c r="BS783">
        <v>42250789</v>
      </c>
      <c r="BT783" s="73">
        <v>45362.619444444441</v>
      </c>
      <c r="BU783" t="s">
        <v>226</v>
      </c>
      <c r="BV783" t="s">
        <v>467</v>
      </c>
      <c r="BW783" t="s">
        <v>228</v>
      </c>
      <c r="CH783" t="s">
        <v>229</v>
      </c>
      <c r="CI783" t="s">
        <v>99</v>
      </c>
      <c r="CJ783" t="s">
        <v>226</v>
      </c>
      <c r="CK783" t="s">
        <v>467</v>
      </c>
      <c r="CL783" t="s">
        <v>228</v>
      </c>
      <c r="CM783" t="s">
        <v>234</v>
      </c>
      <c r="CN783" t="s">
        <v>73</v>
      </c>
      <c r="CO783">
        <v>-237.5</v>
      </c>
      <c r="CP783">
        <v>42250789</v>
      </c>
      <c r="CQ783" s="73">
        <v>45362.619444444441</v>
      </c>
      <c r="CR783" t="s">
        <v>229</v>
      </c>
      <c r="CS783" t="s">
        <v>99</v>
      </c>
      <c r="CU783" t="s">
        <v>225</v>
      </c>
    </row>
    <row r="784" spans="1:99">
      <c r="A784" t="s">
        <v>103</v>
      </c>
      <c r="B784" t="s">
        <v>98</v>
      </c>
      <c r="J784" t="s">
        <v>225</v>
      </c>
      <c r="K784" t="s">
        <v>225</v>
      </c>
      <c r="M784" s="73">
        <v>45362.619444444441</v>
      </c>
      <c r="N784">
        <v>42250788</v>
      </c>
      <c r="O784">
        <v>4750</v>
      </c>
      <c r="P784" t="s">
        <v>104</v>
      </c>
      <c r="Q784">
        <v>4750</v>
      </c>
      <c r="R784" t="s">
        <v>104</v>
      </c>
      <c r="S784">
        <v>237.5</v>
      </c>
      <c r="T784" t="s">
        <v>73</v>
      </c>
      <c r="U784" t="s">
        <v>226</v>
      </c>
      <c r="V784" t="s">
        <v>467</v>
      </c>
      <c r="W784" t="s">
        <v>235</v>
      </c>
      <c r="X784" t="s">
        <v>229</v>
      </c>
      <c r="Y784" t="s">
        <v>103</v>
      </c>
      <c r="AD784" t="s">
        <v>104</v>
      </c>
      <c r="AE784">
        <v>4750</v>
      </c>
      <c r="AF784">
        <v>42250788</v>
      </c>
      <c r="AG784" s="73">
        <v>45362.619444444441</v>
      </c>
      <c r="AH784" t="s">
        <v>226</v>
      </c>
      <c r="AI784" t="s">
        <v>467</v>
      </c>
      <c r="AJ784" t="s">
        <v>235</v>
      </c>
      <c r="AK784" t="s">
        <v>229</v>
      </c>
      <c r="AL784" t="s">
        <v>103</v>
      </c>
      <c r="AP784" t="s">
        <v>230</v>
      </c>
      <c r="AQ784" t="s">
        <v>231</v>
      </c>
      <c r="AT784" t="s">
        <v>232</v>
      </c>
      <c r="AU784">
        <v>-99</v>
      </c>
      <c r="AV784" t="s">
        <v>104</v>
      </c>
      <c r="AW784">
        <v>4750</v>
      </c>
      <c r="AX784">
        <v>42250788</v>
      </c>
      <c r="AY784" s="73">
        <v>45362.619444444441</v>
      </c>
      <c r="AZ784" t="s">
        <v>226</v>
      </c>
      <c r="BA784" t="s">
        <v>467</v>
      </c>
      <c r="BB784" t="s">
        <v>235</v>
      </c>
      <c r="BC784" t="s">
        <v>229</v>
      </c>
      <c r="BD784" t="s">
        <v>103</v>
      </c>
      <c r="BI784" t="s">
        <v>233</v>
      </c>
      <c r="BJ784" t="s">
        <v>0</v>
      </c>
      <c r="BK784">
        <v>42250774</v>
      </c>
      <c r="BN784" t="s">
        <v>104</v>
      </c>
      <c r="BO784">
        <v>42250780</v>
      </c>
      <c r="BR784">
        <v>4750</v>
      </c>
      <c r="BS784">
        <v>42250788</v>
      </c>
      <c r="BT784" s="73">
        <v>45362.619444444441</v>
      </c>
      <c r="BU784" t="s">
        <v>226</v>
      </c>
      <c r="BV784" t="s">
        <v>467</v>
      </c>
      <c r="BW784" t="s">
        <v>235</v>
      </c>
      <c r="CH784" t="s">
        <v>229</v>
      </c>
      <c r="CI784" t="s">
        <v>103</v>
      </c>
      <c r="CJ784" t="s">
        <v>226</v>
      </c>
      <c r="CK784" t="s">
        <v>467</v>
      </c>
      <c r="CL784" t="s">
        <v>235</v>
      </c>
      <c r="CM784" t="s">
        <v>236</v>
      </c>
      <c r="CN784" t="s">
        <v>104</v>
      </c>
      <c r="CO784">
        <v>4750</v>
      </c>
      <c r="CP784">
        <v>42250788</v>
      </c>
      <c r="CQ784" s="73">
        <v>45362.619444444441</v>
      </c>
      <c r="CR784" t="s">
        <v>229</v>
      </c>
      <c r="CS784" t="s">
        <v>103</v>
      </c>
      <c r="CU784" t="s">
        <v>225</v>
      </c>
    </row>
    <row r="785" spans="1:99">
      <c r="A785" t="s">
        <v>111</v>
      </c>
      <c r="B785" t="s">
        <v>77</v>
      </c>
      <c r="J785" t="s">
        <v>225</v>
      </c>
      <c r="K785" t="s">
        <v>225</v>
      </c>
      <c r="M785" s="73">
        <v>45362.619444444441</v>
      </c>
      <c r="N785">
        <v>42250787</v>
      </c>
      <c r="O785">
        <v>2</v>
      </c>
      <c r="P785" t="s">
        <v>45</v>
      </c>
      <c r="Q785">
        <v>2</v>
      </c>
      <c r="R785" t="s">
        <v>45</v>
      </c>
      <c r="U785" t="s">
        <v>226</v>
      </c>
      <c r="V785" t="s">
        <v>467</v>
      </c>
      <c r="W785" t="s">
        <v>237</v>
      </c>
      <c r="X785" t="s">
        <v>229</v>
      </c>
      <c r="Y785" t="s">
        <v>111</v>
      </c>
      <c r="AD785" t="s">
        <v>45</v>
      </c>
      <c r="AE785">
        <v>2</v>
      </c>
      <c r="AF785">
        <v>42250787</v>
      </c>
      <c r="AG785" s="73">
        <v>45362.619444444441</v>
      </c>
      <c r="AH785" t="s">
        <v>226</v>
      </c>
      <c r="AI785" t="s">
        <v>467</v>
      </c>
      <c r="AJ785" t="s">
        <v>237</v>
      </c>
      <c r="AK785" t="s">
        <v>229</v>
      </c>
      <c r="AL785" t="s">
        <v>111</v>
      </c>
      <c r="AP785" t="s">
        <v>230</v>
      </c>
      <c r="AQ785" t="s">
        <v>231</v>
      </c>
      <c r="AT785" t="s">
        <v>232</v>
      </c>
      <c r="AU785">
        <v>-99</v>
      </c>
      <c r="AV785" t="s">
        <v>45</v>
      </c>
      <c r="AW785">
        <v>2</v>
      </c>
      <c r="AX785">
        <v>42250787</v>
      </c>
      <c r="AY785" s="73">
        <v>45362.619444444441</v>
      </c>
      <c r="AZ785" t="s">
        <v>226</v>
      </c>
      <c r="BA785" t="s">
        <v>467</v>
      </c>
      <c r="BB785" t="s">
        <v>237</v>
      </c>
      <c r="BC785" t="s">
        <v>229</v>
      </c>
      <c r="BD785" t="s">
        <v>111</v>
      </c>
      <c r="BI785" t="s">
        <v>233</v>
      </c>
      <c r="BJ785" t="s">
        <v>0</v>
      </c>
      <c r="BK785">
        <v>42250774</v>
      </c>
      <c r="BN785" t="s">
        <v>45</v>
      </c>
      <c r="BO785">
        <v>42250782</v>
      </c>
      <c r="BR785">
        <v>2</v>
      </c>
      <c r="BS785">
        <v>42250787</v>
      </c>
      <c r="BT785" s="73">
        <v>45362.619444444441</v>
      </c>
      <c r="BU785" t="s">
        <v>226</v>
      </c>
      <c r="BV785" t="s">
        <v>467</v>
      </c>
      <c r="BW785" t="s">
        <v>237</v>
      </c>
      <c r="CH785" t="s">
        <v>229</v>
      </c>
      <c r="CI785" t="s">
        <v>111</v>
      </c>
      <c r="CJ785" t="s">
        <v>226</v>
      </c>
      <c r="CK785" t="s">
        <v>467</v>
      </c>
      <c r="CL785" t="s">
        <v>237</v>
      </c>
      <c r="CM785" t="s">
        <v>236</v>
      </c>
      <c r="CN785" t="s">
        <v>45</v>
      </c>
      <c r="CO785">
        <v>2</v>
      </c>
      <c r="CP785">
        <v>42250787</v>
      </c>
      <c r="CQ785" s="73">
        <v>45362.619444444441</v>
      </c>
      <c r="CR785" t="s">
        <v>229</v>
      </c>
      <c r="CS785" t="s">
        <v>111</v>
      </c>
      <c r="CU785" t="s">
        <v>225</v>
      </c>
    </row>
    <row r="786" spans="1:99">
      <c r="A786" t="s">
        <v>42</v>
      </c>
      <c r="B786" t="s">
        <v>92</v>
      </c>
      <c r="J786" t="s">
        <v>225</v>
      </c>
      <c r="K786" t="s">
        <v>225</v>
      </c>
      <c r="M786" s="73">
        <v>45362.618750000001</v>
      </c>
      <c r="N786">
        <v>42250751</v>
      </c>
      <c r="O786">
        <v>-9470</v>
      </c>
      <c r="P786" t="s">
        <v>45</v>
      </c>
      <c r="Q786">
        <v>-9470</v>
      </c>
      <c r="R786" t="s">
        <v>45</v>
      </c>
      <c r="U786" t="s">
        <v>226</v>
      </c>
      <c r="V786" t="s">
        <v>468</v>
      </c>
      <c r="W786" t="s">
        <v>228</v>
      </c>
      <c r="X786" t="s">
        <v>229</v>
      </c>
      <c r="Y786" t="s">
        <v>42</v>
      </c>
      <c r="AD786" t="s">
        <v>45</v>
      </c>
      <c r="AE786">
        <v>-9470</v>
      </c>
      <c r="AF786">
        <v>42250751</v>
      </c>
      <c r="AG786" s="73">
        <v>45362.618750000001</v>
      </c>
      <c r="AH786" t="s">
        <v>226</v>
      </c>
      <c r="AI786" t="s">
        <v>468</v>
      </c>
      <c r="AJ786" t="s">
        <v>228</v>
      </c>
      <c r="AK786" t="s">
        <v>229</v>
      </c>
      <c r="AL786" t="s">
        <v>42</v>
      </c>
      <c r="AP786" t="s">
        <v>230</v>
      </c>
      <c r="AQ786" t="s">
        <v>231</v>
      </c>
      <c r="AT786" t="s">
        <v>232</v>
      </c>
      <c r="AU786">
        <v>-99</v>
      </c>
      <c r="AV786" t="s">
        <v>45</v>
      </c>
      <c r="AW786">
        <v>-9470</v>
      </c>
      <c r="AX786">
        <v>42250751</v>
      </c>
      <c r="AY786" s="73">
        <v>45362.618750000001</v>
      </c>
      <c r="AZ786" t="s">
        <v>226</v>
      </c>
      <c r="BA786" t="s">
        <v>468</v>
      </c>
      <c r="BB786" t="s">
        <v>228</v>
      </c>
      <c r="BC786" t="s">
        <v>229</v>
      </c>
      <c r="BD786" t="s">
        <v>42</v>
      </c>
      <c r="BI786" t="s">
        <v>233</v>
      </c>
      <c r="BJ786" t="s">
        <v>0</v>
      </c>
      <c r="BK786">
        <v>42250735</v>
      </c>
      <c r="BN786" t="s">
        <v>45</v>
      </c>
      <c r="BR786">
        <v>-9470</v>
      </c>
      <c r="BS786">
        <v>42250751</v>
      </c>
      <c r="BT786" s="73">
        <v>45362.618750000001</v>
      </c>
      <c r="BU786" t="s">
        <v>226</v>
      </c>
      <c r="BV786" t="s">
        <v>468</v>
      </c>
      <c r="BW786" t="s">
        <v>228</v>
      </c>
      <c r="CH786" t="s">
        <v>229</v>
      </c>
      <c r="CI786" t="s">
        <v>42</v>
      </c>
      <c r="CJ786" t="s">
        <v>226</v>
      </c>
      <c r="CK786" t="s">
        <v>468</v>
      </c>
      <c r="CL786" t="s">
        <v>228</v>
      </c>
      <c r="CM786" t="s">
        <v>234</v>
      </c>
      <c r="CN786" t="s">
        <v>45</v>
      </c>
      <c r="CO786">
        <v>-9470</v>
      </c>
      <c r="CP786">
        <v>42250751</v>
      </c>
      <c r="CQ786" s="73">
        <v>45362.618750000001</v>
      </c>
      <c r="CR786" t="s">
        <v>229</v>
      </c>
      <c r="CS786" t="s">
        <v>42</v>
      </c>
      <c r="CU786" t="s">
        <v>225</v>
      </c>
    </row>
    <row r="787" spans="1:99">
      <c r="A787" t="s">
        <v>99</v>
      </c>
      <c r="B787" t="s">
        <v>98</v>
      </c>
      <c r="J787" t="s">
        <v>225</v>
      </c>
      <c r="K787" t="s">
        <v>225</v>
      </c>
      <c r="M787" s="73">
        <v>45362.618750000001</v>
      </c>
      <c r="N787">
        <v>42250750</v>
      </c>
      <c r="O787">
        <v>-473</v>
      </c>
      <c r="P787" t="s">
        <v>73</v>
      </c>
      <c r="Q787">
        <v>-473</v>
      </c>
      <c r="R787" t="s">
        <v>73</v>
      </c>
      <c r="U787" t="s">
        <v>226</v>
      </c>
      <c r="V787" t="s">
        <v>468</v>
      </c>
      <c r="W787" t="s">
        <v>228</v>
      </c>
      <c r="X787" t="s">
        <v>229</v>
      </c>
      <c r="Y787" t="s">
        <v>99</v>
      </c>
      <c r="AD787" t="s">
        <v>73</v>
      </c>
      <c r="AE787">
        <v>-473</v>
      </c>
      <c r="AF787">
        <v>42250750</v>
      </c>
      <c r="AG787" s="73">
        <v>45362.618750000001</v>
      </c>
      <c r="AH787" t="s">
        <v>226</v>
      </c>
      <c r="AI787" t="s">
        <v>468</v>
      </c>
      <c r="AJ787" t="s">
        <v>228</v>
      </c>
      <c r="AK787" t="s">
        <v>229</v>
      </c>
      <c r="AL787" t="s">
        <v>99</v>
      </c>
      <c r="AP787" t="s">
        <v>230</v>
      </c>
      <c r="AQ787" t="s">
        <v>231</v>
      </c>
      <c r="AT787" t="s">
        <v>232</v>
      </c>
      <c r="AU787">
        <v>-99</v>
      </c>
      <c r="AV787" t="s">
        <v>73</v>
      </c>
      <c r="AW787">
        <v>-473</v>
      </c>
      <c r="AX787">
        <v>42250750</v>
      </c>
      <c r="AY787" s="73">
        <v>45362.618750000001</v>
      </c>
      <c r="AZ787" t="s">
        <v>226</v>
      </c>
      <c r="BA787" t="s">
        <v>468</v>
      </c>
      <c r="BB787" t="s">
        <v>228</v>
      </c>
      <c r="BC787" t="s">
        <v>229</v>
      </c>
      <c r="BD787" t="s">
        <v>99</v>
      </c>
      <c r="BI787" t="s">
        <v>233</v>
      </c>
      <c r="BJ787" t="s">
        <v>0</v>
      </c>
      <c r="BK787">
        <v>42250735</v>
      </c>
      <c r="BN787" t="s">
        <v>73</v>
      </c>
      <c r="BR787">
        <v>-473</v>
      </c>
      <c r="BS787">
        <v>42250750</v>
      </c>
      <c r="BT787" s="73">
        <v>45362.618750000001</v>
      </c>
      <c r="BU787" t="s">
        <v>226</v>
      </c>
      <c r="BV787" t="s">
        <v>468</v>
      </c>
      <c r="BW787" t="s">
        <v>228</v>
      </c>
      <c r="CH787" t="s">
        <v>229</v>
      </c>
      <c r="CI787" t="s">
        <v>99</v>
      </c>
      <c r="CJ787" t="s">
        <v>226</v>
      </c>
      <c r="CK787" t="s">
        <v>468</v>
      </c>
      <c r="CL787" t="s">
        <v>228</v>
      </c>
      <c r="CM787" t="s">
        <v>234</v>
      </c>
      <c r="CN787" t="s">
        <v>73</v>
      </c>
      <c r="CO787">
        <v>-473</v>
      </c>
      <c r="CP787">
        <v>42250750</v>
      </c>
      <c r="CQ787" s="73">
        <v>45362.618750000001</v>
      </c>
      <c r="CR787" t="s">
        <v>229</v>
      </c>
      <c r="CS787" t="s">
        <v>99</v>
      </c>
      <c r="CU787" t="s">
        <v>225</v>
      </c>
    </row>
    <row r="788" spans="1:99">
      <c r="A788" t="s">
        <v>103</v>
      </c>
      <c r="B788" t="s">
        <v>98</v>
      </c>
      <c r="J788" t="s">
        <v>225</v>
      </c>
      <c r="K788" t="s">
        <v>225</v>
      </c>
      <c r="M788" s="73">
        <v>45362.618750000001</v>
      </c>
      <c r="N788">
        <v>42250749</v>
      </c>
      <c r="O788">
        <v>9460</v>
      </c>
      <c r="P788" t="s">
        <v>104</v>
      </c>
      <c r="Q788">
        <v>9460</v>
      </c>
      <c r="R788" t="s">
        <v>104</v>
      </c>
      <c r="S788">
        <v>473</v>
      </c>
      <c r="T788" t="s">
        <v>73</v>
      </c>
      <c r="U788" t="s">
        <v>226</v>
      </c>
      <c r="V788" t="s">
        <v>468</v>
      </c>
      <c r="W788" t="s">
        <v>235</v>
      </c>
      <c r="X788" t="s">
        <v>229</v>
      </c>
      <c r="Y788" t="s">
        <v>103</v>
      </c>
      <c r="AD788" t="s">
        <v>104</v>
      </c>
      <c r="AE788">
        <v>9460</v>
      </c>
      <c r="AF788">
        <v>42250749</v>
      </c>
      <c r="AG788" s="73">
        <v>45362.618750000001</v>
      </c>
      <c r="AH788" t="s">
        <v>226</v>
      </c>
      <c r="AI788" t="s">
        <v>468</v>
      </c>
      <c r="AJ788" t="s">
        <v>235</v>
      </c>
      <c r="AK788" t="s">
        <v>229</v>
      </c>
      <c r="AL788" t="s">
        <v>103</v>
      </c>
      <c r="AP788" t="s">
        <v>230</v>
      </c>
      <c r="AQ788" t="s">
        <v>231</v>
      </c>
      <c r="AT788" t="s">
        <v>232</v>
      </c>
      <c r="AU788">
        <v>-99</v>
      </c>
      <c r="AV788" t="s">
        <v>104</v>
      </c>
      <c r="AW788">
        <v>9460</v>
      </c>
      <c r="AX788">
        <v>42250749</v>
      </c>
      <c r="AY788" s="73">
        <v>45362.618750000001</v>
      </c>
      <c r="AZ788" t="s">
        <v>226</v>
      </c>
      <c r="BA788" t="s">
        <v>468</v>
      </c>
      <c r="BB788" t="s">
        <v>235</v>
      </c>
      <c r="BC788" t="s">
        <v>229</v>
      </c>
      <c r="BD788" t="s">
        <v>103</v>
      </c>
      <c r="BI788" t="s">
        <v>233</v>
      </c>
      <c r="BJ788" t="s">
        <v>0</v>
      </c>
      <c r="BK788">
        <v>42250735</v>
      </c>
      <c r="BN788" t="s">
        <v>104</v>
      </c>
      <c r="BO788">
        <v>42250741</v>
      </c>
      <c r="BR788">
        <v>9460</v>
      </c>
      <c r="BS788">
        <v>42250749</v>
      </c>
      <c r="BT788" s="73">
        <v>45362.618750000001</v>
      </c>
      <c r="BU788" t="s">
        <v>226</v>
      </c>
      <c r="BV788" t="s">
        <v>468</v>
      </c>
      <c r="BW788" t="s">
        <v>235</v>
      </c>
      <c r="CH788" t="s">
        <v>229</v>
      </c>
      <c r="CI788" t="s">
        <v>103</v>
      </c>
      <c r="CJ788" t="s">
        <v>226</v>
      </c>
      <c r="CK788" t="s">
        <v>468</v>
      </c>
      <c r="CL788" t="s">
        <v>235</v>
      </c>
      <c r="CM788" t="s">
        <v>236</v>
      </c>
      <c r="CN788" t="s">
        <v>104</v>
      </c>
      <c r="CO788">
        <v>9460</v>
      </c>
      <c r="CP788">
        <v>42250749</v>
      </c>
      <c r="CQ788" s="73">
        <v>45362.618750000001</v>
      </c>
      <c r="CR788" t="s">
        <v>229</v>
      </c>
      <c r="CS788" t="s">
        <v>103</v>
      </c>
      <c r="CU788" t="s">
        <v>225</v>
      </c>
    </row>
    <row r="789" spans="1:99">
      <c r="A789" t="s">
        <v>111</v>
      </c>
      <c r="B789" t="s">
        <v>77</v>
      </c>
      <c r="J789" t="s">
        <v>225</v>
      </c>
      <c r="K789" t="s">
        <v>225</v>
      </c>
      <c r="M789" s="73">
        <v>45362.618750000001</v>
      </c>
      <c r="N789">
        <v>42250748</v>
      </c>
      <c r="O789">
        <v>10</v>
      </c>
      <c r="P789" t="s">
        <v>45</v>
      </c>
      <c r="Q789">
        <v>10</v>
      </c>
      <c r="R789" t="s">
        <v>45</v>
      </c>
      <c r="U789" t="s">
        <v>226</v>
      </c>
      <c r="V789" t="s">
        <v>468</v>
      </c>
      <c r="W789" t="s">
        <v>237</v>
      </c>
      <c r="X789" t="s">
        <v>229</v>
      </c>
      <c r="Y789" t="s">
        <v>111</v>
      </c>
      <c r="AD789" t="s">
        <v>45</v>
      </c>
      <c r="AE789">
        <v>10</v>
      </c>
      <c r="AF789">
        <v>42250748</v>
      </c>
      <c r="AG789" s="73">
        <v>45362.618750000001</v>
      </c>
      <c r="AH789" t="s">
        <v>226</v>
      </c>
      <c r="AI789" t="s">
        <v>468</v>
      </c>
      <c r="AJ789" t="s">
        <v>237</v>
      </c>
      <c r="AK789" t="s">
        <v>229</v>
      </c>
      <c r="AL789" t="s">
        <v>111</v>
      </c>
      <c r="AP789" t="s">
        <v>230</v>
      </c>
      <c r="AQ789" t="s">
        <v>231</v>
      </c>
      <c r="AT789" t="s">
        <v>232</v>
      </c>
      <c r="AU789">
        <v>-99</v>
      </c>
      <c r="AV789" t="s">
        <v>45</v>
      </c>
      <c r="AW789">
        <v>10</v>
      </c>
      <c r="AX789">
        <v>42250748</v>
      </c>
      <c r="AY789" s="73">
        <v>45362.618750000001</v>
      </c>
      <c r="AZ789" t="s">
        <v>226</v>
      </c>
      <c r="BA789" t="s">
        <v>468</v>
      </c>
      <c r="BB789" t="s">
        <v>237</v>
      </c>
      <c r="BC789" t="s">
        <v>229</v>
      </c>
      <c r="BD789" t="s">
        <v>111</v>
      </c>
      <c r="BI789" t="s">
        <v>233</v>
      </c>
      <c r="BJ789" t="s">
        <v>0</v>
      </c>
      <c r="BK789">
        <v>42250735</v>
      </c>
      <c r="BN789" t="s">
        <v>45</v>
      </c>
      <c r="BO789">
        <v>42250743</v>
      </c>
      <c r="BR789">
        <v>10</v>
      </c>
      <c r="BS789">
        <v>42250748</v>
      </c>
      <c r="BT789" s="73">
        <v>45362.618750000001</v>
      </c>
      <c r="BU789" t="s">
        <v>226</v>
      </c>
      <c r="BV789" t="s">
        <v>468</v>
      </c>
      <c r="BW789" t="s">
        <v>237</v>
      </c>
      <c r="CH789" t="s">
        <v>229</v>
      </c>
      <c r="CI789" t="s">
        <v>111</v>
      </c>
      <c r="CJ789" t="s">
        <v>226</v>
      </c>
      <c r="CK789" t="s">
        <v>468</v>
      </c>
      <c r="CL789" t="s">
        <v>237</v>
      </c>
      <c r="CM789" t="s">
        <v>236</v>
      </c>
      <c r="CN789" t="s">
        <v>45</v>
      </c>
      <c r="CO789">
        <v>10</v>
      </c>
      <c r="CP789">
        <v>42250748</v>
      </c>
      <c r="CQ789" s="73">
        <v>45362.618750000001</v>
      </c>
      <c r="CR789" t="s">
        <v>229</v>
      </c>
      <c r="CS789" t="s">
        <v>111</v>
      </c>
      <c r="CU789" t="s">
        <v>225</v>
      </c>
    </row>
    <row r="790" spans="1:99">
      <c r="A790" t="s">
        <v>46</v>
      </c>
      <c r="B790" t="s">
        <v>92</v>
      </c>
      <c r="J790" t="s">
        <v>225</v>
      </c>
      <c r="K790" t="s">
        <v>225</v>
      </c>
      <c r="M790" s="73">
        <v>45362.602777777778</v>
      </c>
      <c r="N790">
        <v>42250441</v>
      </c>
      <c r="O790">
        <v>-400</v>
      </c>
      <c r="P790" t="s">
        <v>45</v>
      </c>
      <c r="Q790">
        <v>-400</v>
      </c>
      <c r="R790" t="s">
        <v>45</v>
      </c>
      <c r="U790" t="s">
        <v>226</v>
      </c>
      <c r="V790" t="s">
        <v>469</v>
      </c>
      <c r="W790" t="s">
        <v>228</v>
      </c>
      <c r="X790" t="s">
        <v>229</v>
      </c>
      <c r="Y790" t="s">
        <v>46</v>
      </c>
      <c r="AD790" t="s">
        <v>45</v>
      </c>
      <c r="AE790">
        <v>-400</v>
      </c>
      <c r="AF790">
        <v>42250441</v>
      </c>
      <c r="AG790" s="73">
        <v>45362.602777777778</v>
      </c>
      <c r="AH790" t="s">
        <v>226</v>
      </c>
      <c r="AI790" t="s">
        <v>469</v>
      </c>
      <c r="AJ790" t="s">
        <v>228</v>
      </c>
      <c r="AK790" t="s">
        <v>229</v>
      </c>
      <c r="AL790" t="s">
        <v>46</v>
      </c>
      <c r="AP790" t="s">
        <v>230</v>
      </c>
      <c r="AQ790" t="s">
        <v>231</v>
      </c>
      <c r="AT790" t="s">
        <v>232</v>
      </c>
      <c r="AU790">
        <v>-99</v>
      </c>
      <c r="AV790" t="s">
        <v>45</v>
      </c>
      <c r="AW790">
        <v>-400</v>
      </c>
      <c r="AX790">
        <v>42250441</v>
      </c>
      <c r="AY790" s="73">
        <v>45362.602777777778</v>
      </c>
      <c r="AZ790" t="s">
        <v>226</v>
      </c>
      <c r="BA790" t="s">
        <v>469</v>
      </c>
      <c r="BB790" t="s">
        <v>228</v>
      </c>
      <c r="BC790" t="s">
        <v>229</v>
      </c>
      <c r="BD790" t="s">
        <v>46</v>
      </c>
      <c r="BI790" t="s">
        <v>233</v>
      </c>
      <c r="BJ790" t="s">
        <v>0</v>
      </c>
      <c r="BK790">
        <v>42250429</v>
      </c>
      <c r="BN790" t="s">
        <v>45</v>
      </c>
      <c r="BR790">
        <v>-400</v>
      </c>
      <c r="BS790">
        <v>42250441</v>
      </c>
      <c r="BT790" s="73">
        <v>45362.602777777778</v>
      </c>
      <c r="BU790" t="s">
        <v>226</v>
      </c>
      <c r="BV790" t="s">
        <v>469</v>
      </c>
      <c r="BW790" t="s">
        <v>228</v>
      </c>
      <c r="CH790" t="s">
        <v>229</v>
      </c>
      <c r="CI790" t="s">
        <v>46</v>
      </c>
      <c r="CJ790" t="s">
        <v>226</v>
      </c>
      <c r="CK790" t="s">
        <v>469</v>
      </c>
      <c r="CL790" t="s">
        <v>228</v>
      </c>
      <c r="CM790" t="s">
        <v>234</v>
      </c>
      <c r="CN790" t="s">
        <v>45</v>
      </c>
      <c r="CO790">
        <v>-400</v>
      </c>
      <c r="CP790">
        <v>42250441</v>
      </c>
      <c r="CQ790" s="73">
        <v>45362.602777777778</v>
      </c>
      <c r="CR790" t="s">
        <v>229</v>
      </c>
      <c r="CS790" t="s">
        <v>46</v>
      </c>
      <c r="CU790" t="s">
        <v>225</v>
      </c>
    </row>
    <row r="791" spans="1:99">
      <c r="A791" t="s">
        <v>93</v>
      </c>
      <c r="B791" t="s">
        <v>98</v>
      </c>
      <c r="J791" t="s">
        <v>225</v>
      </c>
      <c r="K791" t="s">
        <v>225</v>
      </c>
      <c r="M791" s="73">
        <v>45362.602777777778</v>
      </c>
      <c r="N791">
        <v>42250440</v>
      </c>
      <c r="O791">
        <v>-20</v>
      </c>
      <c r="P791" t="s">
        <v>73</v>
      </c>
      <c r="Q791">
        <v>-20</v>
      </c>
      <c r="R791" t="s">
        <v>73</v>
      </c>
      <c r="U791" t="s">
        <v>226</v>
      </c>
      <c r="V791" t="s">
        <v>469</v>
      </c>
      <c r="W791" t="s">
        <v>228</v>
      </c>
      <c r="X791" t="s">
        <v>229</v>
      </c>
      <c r="Y791" t="s">
        <v>93</v>
      </c>
      <c r="AD791" t="s">
        <v>73</v>
      </c>
      <c r="AE791">
        <v>-20</v>
      </c>
      <c r="AF791">
        <v>42250440</v>
      </c>
      <c r="AG791" s="73">
        <v>45362.602777777778</v>
      </c>
      <c r="AH791" t="s">
        <v>226</v>
      </c>
      <c r="AI791" t="s">
        <v>469</v>
      </c>
      <c r="AJ791" t="s">
        <v>228</v>
      </c>
      <c r="AK791" t="s">
        <v>229</v>
      </c>
      <c r="AL791" t="s">
        <v>93</v>
      </c>
      <c r="AP791" t="s">
        <v>230</v>
      </c>
      <c r="AQ791" t="s">
        <v>231</v>
      </c>
      <c r="AT791" t="s">
        <v>232</v>
      </c>
      <c r="AU791">
        <v>-99</v>
      </c>
      <c r="AV791" t="s">
        <v>73</v>
      </c>
      <c r="AW791">
        <v>-20</v>
      </c>
      <c r="AX791">
        <v>42250440</v>
      </c>
      <c r="AY791" s="73">
        <v>45362.602777777778</v>
      </c>
      <c r="AZ791" t="s">
        <v>226</v>
      </c>
      <c r="BA791" t="s">
        <v>469</v>
      </c>
      <c r="BB791" t="s">
        <v>228</v>
      </c>
      <c r="BC791" t="s">
        <v>229</v>
      </c>
      <c r="BD791" t="s">
        <v>93</v>
      </c>
      <c r="BI791" t="s">
        <v>233</v>
      </c>
      <c r="BJ791" t="s">
        <v>0</v>
      </c>
      <c r="BK791">
        <v>42250429</v>
      </c>
      <c r="BN791" t="s">
        <v>73</v>
      </c>
      <c r="BR791">
        <v>-20</v>
      </c>
      <c r="BS791">
        <v>42250440</v>
      </c>
      <c r="BT791" s="73">
        <v>45362.602777777778</v>
      </c>
      <c r="BU791" t="s">
        <v>226</v>
      </c>
      <c r="BV791" t="s">
        <v>469</v>
      </c>
      <c r="BW791" t="s">
        <v>228</v>
      </c>
      <c r="CH791" t="s">
        <v>229</v>
      </c>
      <c r="CI791" t="s">
        <v>93</v>
      </c>
      <c r="CJ791" t="s">
        <v>226</v>
      </c>
      <c r="CK791" t="s">
        <v>469</v>
      </c>
      <c r="CL791" t="s">
        <v>228</v>
      </c>
      <c r="CM791" t="s">
        <v>234</v>
      </c>
      <c r="CN791" t="s">
        <v>73</v>
      </c>
      <c r="CO791">
        <v>-20</v>
      </c>
      <c r="CP791">
        <v>42250440</v>
      </c>
      <c r="CQ791" s="73">
        <v>45362.602777777778</v>
      </c>
      <c r="CR791" t="s">
        <v>229</v>
      </c>
      <c r="CS791" t="s">
        <v>93</v>
      </c>
      <c r="CU791" t="s">
        <v>225</v>
      </c>
    </row>
    <row r="792" spans="1:99">
      <c r="A792" t="s">
        <v>108</v>
      </c>
      <c r="B792" t="s">
        <v>98</v>
      </c>
      <c r="J792" t="s">
        <v>225</v>
      </c>
      <c r="K792" t="s">
        <v>225</v>
      </c>
      <c r="M792" s="73">
        <v>45362.602777777778</v>
      </c>
      <c r="N792">
        <v>42250439</v>
      </c>
      <c r="O792">
        <v>400</v>
      </c>
      <c r="P792" t="s">
        <v>104</v>
      </c>
      <c r="Q792">
        <v>400</v>
      </c>
      <c r="R792" t="s">
        <v>104</v>
      </c>
      <c r="S792">
        <v>20</v>
      </c>
      <c r="T792" t="s">
        <v>73</v>
      </c>
      <c r="U792" t="s">
        <v>226</v>
      </c>
      <c r="V792" t="s">
        <v>469</v>
      </c>
      <c r="W792" t="s">
        <v>235</v>
      </c>
      <c r="X792" t="s">
        <v>229</v>
      </c>
      <c r="Y792" t="s">
        <v>108</v>
      </c>
      <c r="AD792" t="s">
        <v>104</v>
      </c>
      <c r="AE792">
        <v>400</v>
      </c>
      <c r="AF792">
        <v>42250439</v>
      </c>
      <c r="AG792" s="73">
        <v>45362.602777777778</v>
      </c>
      <c r="AH792" t="s">
        <v>226</v>
      </c>
      <c r="AI792" t="s">
        <v>469</v>
      </c>
      <c r="AJ792" t="s">
        <v>235</v>
      </c>
      <c r="AK792" t="s">
        <v>229</v>
      </c>
      <c r="AL792" t="s">
        <v>108</v>
      </c>
      <c r="AP792" t="s">
        <v>230</v>
      </c>
      <c r="AQ792" t="s">
        <v>231</v>
      </c>
      <c r="AT792" t="s">
        <v>232</v>
      </c>
      <c r="AU792">
        <v>-99</v>
      </c>
      <c r="AV792" t="s">
        <v>104</v>
      </c>
      <c r="AW792">
        <v>400</v>
      </c>
      <c r="AX792">
        <v>42250439</v>
      </c>
      <c r="AY792" s="73">
        <v>45362.602777777778</v>
      </c>
      <c r="AZ792" t="s">
        <v>226</v>
      </c>
      <c r="BA792" t="s">
        <v>469</v>
      </c>
      <c r="BB792" t="s">
        <v>235</v>
      </c>
      <c r="BC792" t="s">
        <v>229</v>
      </c>
      <c r="BD792" t="s">
        <v>108</v>
      </c>
      <c r="BI792" t="s">
        <v>233</v>
      </c>
      <c r="BJ792" t="s">
        <v>0</v>
      </c>
      <c r="BK792">
        <v>42250429</v>
      </c>
      <c r="BN792" t="s">
        <v>104</v>
      </c>
      <c r="BO792">
        <v>42250435</v>
      </c>
      <c r="BR792">
        <v>400</v>
      </c>
      <c r="BS792">
        <v>42250439</v>
      </c>
      <c r="BT792" s="73">
        <v>45362.602777777778</v>
      </c>
      <c r="BU792" t="s">
        <v>226</v>
      </c>
      <c r="BV792" t="s">
        <v>469</v>
      </c>
      <c r="BW792" t="s">
        <v>235</v>
      </c>
      <c r="CH792" t="s">
        <v>229</v>
      </c>
      <c r="CI792" t="s">
        <v>108</v>
      </c>
      <c r="CJ792" t="s">
        <v>226</v>
      </c>
      <c r="CK792" t="s">
        <v>469</v>
      </c>
      <c r="CL792" t="s">
        <v>235</v>
      </c>
      <c r="CM792" t="s">
        <v>236</v>
      </c>
      <c r="CN792" t="s">
        <v>104</v>
      </c>
      <c r="CO792">
        <v>400</v>
      </c>
      <c r="CP792">
        <v>42250439</v>
      </c>
      <c r="CQ792" s="73">
        <v>45362.602777777778</v>
      </c>
      <c r="CR792" t="s">
        <v>229</v>
      </c>
      <c r="CS792" t="s">
        <v>108</v>
      </c>
      <c r="CU792" t="s">
        <v>225</v>
      </c>
    </row>
    <row r="793" spans="1:99">
      <c r="A793" t="s">
        <v>52</v>
      </c>
      <c r="B793" t="s">
        <v>92</v>
      </c>
      <c r="J793" t="s">
        <v>225</v>
      </c>
      <c r="K793" t="s">
        <v>225</v>
      </c>
      <c r="M793" s="73">
        <v>45362.601388888892</v>
      </c>
      <c r="N793">
        <v>42250402</v>
      </c>
      <c r="O793">
        <v>-1001</v>
      </c>
      <c r="P793" t="s">
        <v>45</v>
      </c>
      <c r="Q793">
        <v>-1001</v>
      </c>
      <c r="R793" t="s">
        <v>45</v>
      </c>
      <c r="U793" t="s">
        <v>226</v>
      </c>
      <c r="V793" t="s">
        <v>470</v>
      </c>
      <c r="W793" t="s">
        <v>228</v>
      </c>
      <c r="X793" t="s">
        <v>229</v>
      </c>
      <c r="Y793" t="s">
        <v>52</v>
      </c>
      <c r="AD793" t="s">
        <v>45</v>
      </c>
      <c r="AE793">
        <v>-1001</v>
      </c>
      <c r="AF793">
        <v>42250402</v>
      </c>
      <c r="AG793" s="73">
        <v>45362.601388888892</v>
      </c>
      <c r="AH793" t="s">
        <v>226</v>
      </c>
      <c r="AI793" t="s">
        <v>470</v>
      </c>
      <c r="AJ793" t="s">
        <v>228</v>
      </c>
      <c r="AK793" t="s">
        <v>229</v>
      </c>
      <c r="AL793" t="s">
        <v>52</v>
      </c>
      <c r="AP793" t="s">
        <v>230</v>
      </c>
      <c r="AQ793" t="s">
        <v>231</v>
      </c>
      <c r="AT793" t="s">
        <v>232</v>
      </c>
      <c r="AU793">
        <v>-99</v>
      </c>
      <c r="AV793" t="s">
        <v>45</v>
      </c>
      <c r="AW793">
        <v>-1001</v>
      </c>
      <c r="AX793">
        <v>42250402</v>
      </c>
      <c r="AY793" s="73">
        <v>45362.601388888892</v>
      </c>
      <c r="AZ793" t="s">
        <v>226</v>
      </c>
      <c r="BA793" t="s">
        <v>470</v>
      </c>
      <c r="BB793" t="s">
        <v>228</v>
      </c>
      <c r="BC793" t="s">
        <v>229</v>
      </c>
      <c r="BD793" t="s">
        <v>52</v>
      </c>
      <c r="BI793" t="s">
        <v>233</v>
      </c>
      <c r="BJ793" t="s">
        <v>0</v>
      </c>
      <c r="BK793">
        <v>42250383</v>
      </c>
      <c r="BN793" t="s">
        <v>45</v>
      </c>
      <c r="BR793">
        <v>-1001</v>
      </c>
      <c r="BS793">
        <v>42250402</v>
      </c>
      <c r="BT793" s="73">
        <v>45362.601388888892</v>
      </c>
      <c r="BU793" t="s">
        <v>226</v>
      </c>
      <c r="BV793" t="s">
        <v>470</v>
      </c>
      <c r="BW793" t="s">
        <v>228</v>
      </c>
      <c r="CH793" t="s">
        <v>229</v>
      </c>
      <c r="CI793" t="s">
        <v>52</v>
      </c>
      <c r="CJ793" t="s">
        <v>226</v>
      </c>
      <c r="CK793" t="s">
        <v>470</v>
      </c>
      <c r="CL793" t="s">
        <v>228</v>
      </c>
      <c r="CM793" t="s">
        <v>234</v>
      </c>
      <c r="CN793" t="s">
        <v>45</v>
      </c>
      <c r="CO793">
        <v>-1001</v>
      </c>
      <c r="CP793">
        <v>42250402</v>
      </c>
      <c r="CQ793" s="73">
        <v>45362.601388888892</v>
      </c>
      <c r="CR793" t="s">
        <v>229</v>
      </c>
      <c r="CS793" t="s">
        <v>52</v>
      </c>
      <c r="CU793" t="s">
        <v>225</v>
      </c>
    </row>
    <row r="794" spans="1:99">
      <c r="A794" t="s">
        <v>101</v>
      </c>
      <c r="B794" t="s">
        <v>98</v>
      </c>
      <c r="J794" t="s">
        <v>225</v>
      </c>
      <c r="K794" t="s">
        <v>225</v>
      </c>
      <c r="M794" s="73">
        <v>45362.601388888892</v>
      </c>
      <c r="N794">
        <v>42250401</v>
      </c>
      <c r="O794">
        <v>-50</v>
      </c>
      <c r="P794" t="s">
        <v>73</v>
      </c>
      <c r="Q794">
        <v>-50</v>
      </c>
      <c r="R794" t="s">
        <v>73</v>
      </c>
      <c r="U794" t="s">
        <v>226</v>
      </c>
      <c r="V794" t="s">
        <v>470</v>
      </c>
      <c r="W794" t="s">
        <v>228</v>
      </c>
      <c r="X794" t="s">
        <v>229</v>
      </c>
      <c r="Y794" t="s">
        <v>101</v>
      </c>
      <c r="AD794" t="s">
        <v>73</v>
      </c>
      <c r="AE794">
        <v>-50</v>
      </c>
      <c r="AF794">
        <v>42250401</v>
      </c>
      <c r="AG794" s="73">
        <v>45362.601388888892</v>
      </c>
      <c r="AH794" t="s">
        <v>226</v>
      </c>
      <c r="AI794" t="s">
        <v>470</v>
      </c>
      <c r="AJ794" t="s">
        <v>228</v>
      </c>
      <c r="AK794" t="s">
        <v>229</v>
      </c>
      <c r="AL794" t="s">
        <v>101</v>
      </c>
      <c r="AP794" t="s">
        <v>230</v>
      </c>
      <c r="AQ794" t="s">
        <v>231</v>
      </c>
      <c r="AT794" t="s">
        <v>232</v>
      </c>
      <c r="AU794">
        <v>-99</v>
      </c>
      <c r="AV794" t="s">
        <v>73</v>
      </c>
      <c r="AW794">
        <v>-50</v>
      </c>
      <c r="AX794">
        <v>42250401</v>
      </c>
      <c r="AY794" s="73">
        <v>45362.601388888892</v>
      </c>
      <c r="AZ794" t="s">
        <v>226</v>
      </c>
      <c r="BA794" t="s">
        <v>470</v>
      </c>
      <c r="BB794" t="s">
        <v>228</v>
      </c>
      <c r="BC794" t="s">
        <v>229</v>
      </c>
      <c r="BD794" t="s">
        <v>101</v>
      </c>
      <c r="BI794" t="s">
        <v>233</v>
      </c>
      <c r="BJ794" t="s">
        <v>0</v>
      </c>
      <c r="BK794">
        <v>42250383</v>
      </c>
      <c r="BN794" t="s">
        <v>73</v>
      </c>
      <c r="BR794">
        <v>-50</v>
      </c>
      <c r="BS794">
        <v>42250401</v>
      </c>
      <c r="BT794" s="73">
        <v>45362.601388888892</v>
      </c>
      <c r="BU794" t="s">
        <v>226</v>
      </c>
      <c r="BV794" t="s">
        <v>470</v>
      </c>
      <c r="BW794" t="s">
        <v>228</v>
      </c>
      <c r="CH794" t="s">
        <v>229</v>
      </c>
      <c r="CI794" t="s">
        <v>101</v>
      </c>
      <c r="CJ794" t="s">
        <v>226</v>
      </c>
      <c r="CK794" t="s">
        <v>470</v>
      </c>
      <c r="CL794" t="s">
        <v>228</v>
      </c>
      <c r="CM794" t="s">
        <v>234</v>
      </c>
      <c r="CN794" t="s">
        <v>73</v>
      </c>
      <c r="CO794">
        <v>-50</v>
      </c>
      <c r="CP794">
        <v>42250401</v>
      </c>
      <c r="CQ794" s="73">
        <v>45362.601388888892</v>
      </c>
      <c r="CR794" t="s">
        <v>229</v>
      </c>
      <c r="CS794" t="s">
        <v>101</v>
      </c>
      <c r="CU794" t="s">
        <v>225</v>
      </c>
    </row>
    <row r="795" spans="1:99">
      <c r="A795" t="s">
        <v>107</v>
      </c>
      <c r="B795" t="s">
        <v>98</v>
      </c>
      <c r="J795" t="s">
        <v>225</v>
      </c>
      <c r="K795" t="s">
        <v>225</v>
      </c>
      <c r="M795" s="73">
        <v>45362.601388888892</v>
      </c>
      <c r="N795">
        <v>42250400</v>
      </c>
      <c r="O795">
        <v>1000</v>
      </c>
      <c r="P795" t="s">
        <v>104</v>
      </c>
      <c r="Q795">
        <v>1000</v>
      </c>
      <c r="R795" t="s">
        <v>104</v>
      </c>
      <c r="S795">
        <v>50</v>
      </c>
      <c r="T795" t="s">
        <v>73</v>
      </c>
      <c r="U795" t="s">
        <v>226</v>
      </c>
      <c r="V795" t="s">
        <v>470</v>
      </c>
      <c r="W795" t="s">
        <v>235</v>
      </c>
      <c r="X795" t="s">
        <v>229</v>
      </c>
      <c r="Y795" t="s">
        <v>107</v>
      </c>
      <c r="AD795" t="s">
        <v>104</v>
      </c>
      <c r="AE795">
        <v>1000</v>
      </c>
      <c r="AF795">
        <v>42250400</v>
      </c>
      <c r="AG795" s="73">
        <v>45362.601388888892</v>
      </c>
      <c r="AH795" t="s">
        <v>226</v>
      </c>
      <c r="AI795" t="s">
        <v>470</v>
      </c>
      <c r="AJ795" t="s">
        <v>235</v>
      </c>
      <c r="AK795" t="s">
        <v>229</v>
      </c>
      <c r="AL795" t="s">
        <v>107</v>
      </c>
      <c r="AP795" t="s">
        <v>230</v>
      </c>
      <c r="AQ795" t="s">
        <v>231</v>
      </c>
      <c r="AT795" t="s">
        <v>232</v>
      </c>
      <c r="AU795">
        <v>-99</v>
      </c>
      <c r="AV795" t="s">
        <v>104</v>
      </c>
      <c r="AW795">
        <v>1000</v>
      </c>
      <c r="AX795">
        <v>42250400</v>
      </c>
      <c r="AY795" s="73">
        <v>45362.601388888892</v>
      </c>
      <c r="AZ795" t="s">
        <v>226</v>
      </c>
      <c r="BA795" t="s">
        <v>470</v>
      </c>
      <c r="BB795" t="s">
        <v>235</v>
      </c>
      <c r="BC795" t="s">
        <v>229</v>
      </c>
      <c r="BD795" t="s">
        <v>107</v>
      </c>
      <c r="BI795" t="s">
        <v>233</v>
      </c>
      <c r="BJ795" t="s">
        <v>0</v>
      </c>
      <c r="BK795">
        <v>42250383</v>
      </c>
      <c r="BN795" t="s">
        <v>104</v>
      </c>
      <c r="BO795">
        <v>42250392</v>
      </c>
      <c r="BR795">
        <v>1000</v>
      </c>
      <c r="BS795">
        <v>42250400</v>
      </c>
      <c r="BT795" s="73">
        <v>45362.601388888892</v>
      </c>
      <c r="BU795" t="s">
        <v>226</v>
      </c>
      <c r="BV795" t="s">
        <v>470</v>
      </c>
      <c r="BW795" t="s">
        <v>235</v>
      </c>
      <c r="CH795" t="s">
        <v>229</v>
      </c>
      <c r="CI795" t="s">
        <v>107</v>
      </c>
      <c r="CJ795" t="s">
        <v>226</v>
      </c>
      <c r="CK795" t="s">
        <v>470</v>
      </c>
      <c r="CL795" t="s">
        <v>235</v>
      </c>
      <c r="CM795" t="s">
        <v>236</v>
      </c>
      <c r="CN795" t="s">
        <v>104</v>
      </c>
      <c r="CO795">
        <v>1000</v>
      </c>
      <c r="CP795">
        <v>42250400</v>
      </c>
      <c r="CQ795" s="73">
        <v>45362.601388888892</v>
      </c>
      <c r="CR795" t="s">
        <v>229</v>
      </c>
      <c r="CS795" t="s">
        <v>107</v>
      </c>
      <c r="CU795" t="s">
        <v>225</v>
      </c>
    </row>
    <row r="796" spans="1:99">
      <c r="A796" t="s">
        <v>111</v>
      </c>
      <c r="B796" t="s">
        <v>77</v>
      </c>
      <c r="J796" t="s">
        <v>225</v>
      </c>
      <c r="K796" t="s">
        <v>225</v>
      </c>
      <c r="M796" s="73">
        <v>45362.601388888892</v>
      </c>
      <c r="N796">
        <v>42250399</v>
      </c>
      <c r="O796">
        <v>1</v>
      </c>
      <c r="P796" t="s">
        <v>45</v>
      </c>
      <c r="Q796">
        <v>1</v>
      </c>
      <c r="R796" t="s">
        <v>45</v>
      </c>
      <c r="U796" t="s">
        <v>226</v>
      </c>
      <c r="V796" t="s">
        <v>470</v>
      </c>
      <c r="W796" t="s">
        <v>237</v>
      </c>
      <c r="X796" t="s">
        <v>229</v>
      </c>
      <c r="Y796" t="s">
        <v>111</v>
      </c>
      <c r="AD796" t="s">
        <v>45</v>
      </c>
      <c r="AE796">
        <v>1</v>
      </c>
      <c r="AF796">
        <v>42250399</v>
      </c>
      <c r="AG796" s="73">
        <v>45362.601388888892</v>
      </c>
      <c r="AH796" t="s">
        <v>226</v>
      </c>
      <c r="AI796" t="s">
        <v>470</v>
      </c>
      <c r="AJ796" t="s">
        <v>237</v>
      </c>
      <c r="AK796" t="s">
        <v>229</v>
      </c>
      <c r="AL796" t="s">
        <v>111</v>
      </c>
      <c r="AP796" t="s">
        <v>230</v>
      </c>
      <c r="AQ796" t="s">
        <v>231</v>
      </c>
      <c r="AT796" t="s">
        <v>232</v>
      </c>
      <c r="AU796">
        <v>-99</v>
      </c>
      <c r="AV796" t="s">
        <v>45</v>
      </c>
      <c r="AW796">
        <v>1</v>
      </c>
      <c r="AX796">
        <v>42250399</v>
      </c>
      <c r="AY796" s="73">
        <v>45362.601388888892</v>
      </c>
      <c r="AZ796" t="s">
        <v>226</v>
      </c>
      <c r="BA796" t="s">
        <v>470</v>
      </c>
      <c r="BB796" t="s">
        <v>237</v>
      </c>
      <c r="BC796" t="s">
        <v>229</v>
      </c>
      <c r="BD796" t="s">
        <v>111</v>
      </c>
      <c r="BI796" t="s">
        <v>233</v>
      </c>
      <c r="BJ796" t="s">
        <v>0</v>
      </c>
      <c r="BK796">
        <v>42250383</v>
      </c>
      <c r="BN796" t="s">
        <v>45</v>
      </c>
      <c r="BO796">
        <v>42250394</v>
      </c>
      <c r="BR796">
        <v>1</v>
      </c>
      <c r="BS796">
        <v>42250399</v>
      </c>
      <c r="BT796" s="73">
        <v>45362.601388888892</v>
      </c>
      <c r="BU796" t="s">
        <v>226</v>
      </c>
      <c r="BV796" t="s">
        <v>470</v>
      </c>
      <c r="BW796" t="s">
        <v>237</v>
      </c>
      <c r="CH796" t="s">
        <v>229</v>
      </c>
      <c r="CI796" t="s">
        <v>111</v>
      </c>
      <c r="CJ796" t="s">
        <v>226</v>
      </c>
      <c r="CK796" t="s">
        <v>470</v>
      </c>
      <c r="CL796" t="s">
        <v>237</v>
      </c>
      <c r="CM796" t="s">
        <v>236</v>
      </c>
      <c r="CN796" t="s">
        <v>45</v>
      </c>
      <c r="CO796">
        <v>1</v>
      </c>
      <c r="CP796">
        <v>42250399</v>
      </c>
      <c r="CQ796" s="73">
        <v>45362.601388888892</v>
      </c>
      <c r="CR796" t="s">
        <v>229</v>
      </c>
      <c r="CS796" t="s">
        <v>111</v>
      </c>
      <c r="CU796" t="s">
        <v>225</v>
      </c>
    </row>
    <row r="797" spans="1:99">
      <c r="A797" t="s">
        <v>42</v>
      </c>
      <c r="B797" t="s">
        <v>92</v>
      </c>
      <c r="J797" t="s">
        <v>225</v>
      </c>
      <c r="K797" t="s">
        <v>225</v>
      </c>
      <c r="M797" s="73">
        <v>45362.279861111114</v>
      </c>
      <c r="N797">
        <v>42249580</v>
      </c>
      <c r="O797">
        <v>-2408</v>
      </c>
      <c r="P797" t="s">
        <v>45</v>
      </c>
      <c r="Q797">
        <v>-2408</v>
      </c>
      <c r="R797" t="s">
        <v>45</v>
      </c>
      <c r="U797" t="s">
        <v>226</v>
      </c>
      <c r="V797" t="s">
        <v>471</v>
      </c>
      <c r="W797" t="s">
        <v>228</v>
      </c>
      <c r="X797" t="s">
        <v>229</v>
      </c>
      <c r="Y797" t="s">
        <v>42</v>
      </c>
      <c r="AD797" t="s">
        <v>45</v>
      </c>
      <c r="AE797">
        <v>-2408</v>
      </c>
      <c r="AF797">
        <v>42249580</v>
      </c>
      <c r="AG797" s="73">
        <v>45362.279861111114</v>
      </c>
      <c r="AH797" t="s">
        <v>226</v>
      </c>
      <c r="AI797" t="s">
        <v>471</v>
      </c>
      <c r="AJ797" t="s">
        <v>228</v>
      </c>
      <c r="AK797" t="s">
        <v>229</v>
      </c>
      <c r="AL797" t="s">
        <v>42</v>
      </c>
      <c r="AP797" t="s">
        <v>230</v>
      </c>
      <c r="AQ797" t="s">
        <v>231</v>
      </c>
      <c r="AT797" t="s">
        <v>232</v>
      </c>
      <c r="AU797">
        <v>-99</v>
      </c>
      <c r="AV797" t="s">
        <v>45</v>
      </c>
      <c r="AW797">
        <v>-2408</v>
      </c>
      <c r="AX797">
        <v>42249580</v>
      </c>
      <c r="AY797" s="73">
        <v>45362.279861111114</v>
      </c>
      <c r="AZ797" t="s">
        <v>226</v>
      </c>
      <c r="BA797" t="s">
        <v>471</v>
      </c>
      <c r="BB797" t="s">
        <v>228</v>
      </c>
      <c r="BC797" t="s">
        <v>229</v>
      </c>
      <c r="BD797" t="s">
        <v>42</v>
      </c>
      <c r="BI797" t="s">
        <v>233</v>
      </c>
      <c r="BJ797" t="s">
        <v>0</v>
      </c>
      <c r="BK797">
        <v>42249564</v>
      </c>
      <c r="BN797" t="s">
        <v>45</v>
      </c>
      <c r="BR797">
        <v>-2408</v>
      </c>
      <c r="BS797">
        <v>42249580</v>
      </c>
      <c r="BT797" s="73">
        <v>45362.279861111114</v>
      </c>
      <c r="BU797" t="s">
        <v>226</v>
      </c>
      <c r="BV797" t="s">
        <v>471</v>
      </c>
      <c r="BW797" t="s">
        <v>228</v>
      </c>
      <c r="CH797" t="s">
        <v>229</v>
      </c>
      <c r="CI797" t="s">
        <v>42</v>
      </c>
      <c r="CJ797" t="s">
        <v>226</v>
      </c>
      <c r="CK797" t="s">
        <v>471</v>
      </c>
      <c r="CL797" t="s">
        <v>228</v>
      </c>
      <c r="CM797" t="s">
        <v>234</v>
      </c>
      <c r="CN797" t="s">
        <v>45</v>
      </c>
      <c r="CO797">
        <v>-2408</v>
      </c>
      <c r="CP797">
        <v>42249580</v>
      </c>
      <c r="CQ797" s="73">
        <v>45362.279861111114</v>
      </c>
      <c r="CR797" t="s">
        <v>229</v>
      </c>
      <c r="CS797" t="s">
        <v>42</v>
      </c>
      <c r="CU797" t="s">
        <v>225</v>
      </c>
    </row>
    <row r="798" spans="1:99">
      <c r="A798" t="s">
        <v>99</v>
      </c>
      <c r="B798" t="s">
        <v>98</v>
      </c>
      <c r="J798" t="s">
        <v>225</v>
      </c>
      <c r="K798" t="s">
        <v>225</v>
      </c>
      <c r="M798" s="73">
        <v>45362.279861111114</v>
      </c>
      <c r="N798">
        <v>42249579</v>
      </c>
      <c r="O798">
        <v>-120</v>
      </c>
      <c r="P798" t="s">
        <v>73</v>
      </c>
      <c r="Q798">
        <v>-120</v>
      </c>
      <c r="R798" t="s">
        <v>73</v>
      </c>
      <c r="U798" t="s">
        <v>226</v>
      </c>
      <c r="V798" t="s">
        <v>471</v>
      </c>
      <c r="W798" t="s">
        <v>228</v>
      </c>
      <c r="X798" t="s">
        <v>229</v>
      </c>
      <c r="Y798" t="s">
        <v>99</v>
      </c>
      <c r="AD798" t="s">
        <v>73</v>
      </c>
      <c r="AE798">
        <v>-120</v>
      </c>
      <c r="AF798">
        <v>42249579</v>
      </c>
      <c r="AG798" s="73">
        <v>45362.279861111114</v>
      </c>
      <c r="AH798" t="s">
        <v>226</v>
      </c>
      <c r="AI798" t="s">
        <v>471</v>
      </c>
      <c r="AJ798" t="s">
        <v>228</v>
      </c>
      <c r="AK798" t="s">
        <v>229</v>
      </c>
      <c r="AL798" t="s">
        <v>99</v>
      </c>
      <c r="AP798" t="s">
        <v>230</v>
      </c>
      <c r="AQ798" t="s">
        <v>231</v>
      </c>
      <c r="AT798" t="s">
        <v>232</v>
      </c>
      <c r="AU798">
        <v>-99</v>
      </c>
      <c r="AV798" t="s">
        <v>73</v>
      </c>
      <c r="AW798">
        <v>-120</v>
      </c>
      <c r="AX798">
        <v>42249579</v>
      </c>
      <c r="AY798" s="73">
        <v>45362.279861111114</v>
      </c>
      <c r="AZ798" t="s">
        <v>226</v>
      </c>
      <c r="BA798" t="s">
        <v>471</v>
      </c>
      <c r="BB798" t="s">
        <v>228</v>
      </c>
      <c r="BC798" t="s">
        <v>229</v>
      </c>
      <c r="BD798" t="s">
        <v>99</v>
      </c>
      <c r="BI798" t="s">
        <v>233</v>
      </c>
      <c r="BJ798" t="s">
        <v>0</v>
      </c>
      <c r="BK798">
        <v>42249564</v>
      </c>
      <c r="BN798" t="s">
        <v>73</v>
      </c>
      <c r="BR798">
        <v>-120</v>
      </c>
      <c r="BS798">
        <v>42249579</v>
      </c>
      <c r="BT798" s="73">
        <v>45362.279861111114</v>
      </c>
      <c r="BU798" t="s">
        <v>226</v>
      </c>
      <c r="BV798" t="s">
        <v>471</v>
      </c>
      <c r="BW798" t="s">
        <v>228</v>
      </c>
      <c r="CH798" t="s">
        <v>229</v>
      </c>
      <c r="CI798" t="s">
        <v>99</v>
      </c>
      <c r="CJ798" t="s">
        <v>226</v>
      </c>
      <c r="CK798" t="s">
        <v>471</v>
      </c>
      <c r="CL798" t="s">
        <v>228</v>
      </c>
      <c r="CM798" t="s">
        <v>234</v>
      </c>
      <c r="CN798" t="s">
        <v>73</v>
      </c>
      <c r="CO798">
        <v>-120</v>
      </c>
      <c r="CP798">
        <v>42249579</v>
      </c>
      <c r="CQ798" s="73">
        <v>45362.279861111114</v>
      </c>
      <c r="CR798" t="s">
        <v>229</v>
      </c>
      <c r="CS798" t="s">
        <v>99</v>
      </c>
      <c r="CU798" t="s">
        <v>225</v>
      </c>
    </row>
    <row r="799" spans="1:99">
      <c r="A799" t="s">
        <v>103</v>
      </c>
      <c r="B799" t="s">
        <v>98</v>
      </c>
      <c r="J799" t="s">
        <v>225</v>
      </c>
      <c r="K799" t="s">
        <v>225</v>
      </c>
      <c r="M799" s="73">
        <v>45362.279861111114</v>
      </c>
      <c r="N799">
        <v>42249578</v>
      </c>
      <c r="O799">
        <v>2400</v>
      </c>
      <c r="P799" t="s">
        <v>104</v>
      </c>
      <c r="Q799">
        <v>2400</v>
      </c>
      <c r="R799" t="s">
        <v>104</v>
      </c>
      <c r="S799">
        <v>120</v>
      </c>
      <c r="T799" t="s">
        <v>73</v>
      </c>
      <c r="U799" t="s">
        <v>226</v>
      </c>
      <c r="V799" t="s">
        <v>471</v>
      </c>
      <c r="W799" t="s">
        <v>235</v>
      </c>
      <c r="X799" t="s">
        <v>229</v>
      </c>
      <c r="Y799" t="s">
        <v>103</v>
      </c>
      <c r="AD799" t="s">
        <v>104</v>
      </c>
      <c r="AE799">
        <v>2400</v>
      </c>
      <c r="AF799">
        <v>42249578</v>
      </c>
      <c r="AG799" s="73">
        <v>45362.279861111114</v>
      </c>
      <c r="AH799" t="s">
        <v>226</v>
      </c>
      <c r="AI799" t="s">
        <v>471</v>
      </c>
      <c r="AJ799" t="s">
        <v>235</v>
      </c>
      <c r="AK799" t="s">
        <v>229</v>
      </c>
      <c r="AL799" t="s">
        <v>103</v>
      </c>
      <c r="AP799" t="s">
        <v>230</v>
      </c>
      <c r="AQ799" t="s">
        <v>231</v>
      </c>
      <c r="AT799" t="s">
        <v>232</v>
      </c>
      <c r="AU799">
        <v>-99</v>
      </c>
      <c r="AV799" t="s">
        <v>104</v>
      </c>
      <c r="AW799">
        <v>2400</v>
      </c>
      <c r="AX799">
        <v>42249578</v>
      </c>
      <c r="AY799" s="73">
        <v>45362.279861111114</v>
      </c>
      <c r="AZ799" t="s">
        <v>226</v>
      </c>
      <c r="BA799" t="s">
        <v>471</v>
      </c>
      <c r="BB799" t="s">
        <v>235</v>
      </c>
      <c r="BC799" t="s">
        <v>229</v>
      </c>
      <c r="BD799" t="s">
        <v>103</v>
      </c>
      <c r="BI799" t="s">
        <v>233</v>
      </c>
      <c r="BJ799" t="s">
        <v>0</v>
      </c>
      <c r="BK799">
        <v>42249564</v>
      </c>
      <c r="BN799" t="s">
        <v>104</v>
      </c>
      <c r="BO799">
        <v>42249570</v>
      </c>
      <c r="BR799">
        <v>2400</v>
      </c>
      <c r="BS799">
        <v>42249578</v>
      </c>
      <c r="BT799" s="73">
        <v>45362.279861111114</v>
      </c>
      <c r="BU799" t="s">
        <v>226</v>
      </c>
      <c r="BV799" t="s">
        <v>471</v>
      </c>
      <c r="BW799" t="s">
        <v>235</v>
      </c>
      <c r="CH799" t="s">
        <v>229</v>
      </c>
      <c r="CI799" t="s">
        <v>103</v>
      </c>
      <c r="CJ799" t="s">
        <v>226</v>
      </c>
      <c r="CK799" t="s">
        <v>471</v>
      </c>
      <c r="CL799" t="s">
        <v>235</v>
      </c>
      <c r="CM799" t="s">
        <v>236</v>
      </c>
      <c r="CN799" t="s">
        <v>104</v>
      </c>
      <c r="CO799">
        <v>2400</v>
      </c>
      <c r="CP799">
        <v>42249578</v>
      </c>
      <c r="CQ799" s="73">
        <v>45362.279861111114</v>
      </c>
      <c r="CR799" t="s">
        <v>229</v>
      </c>
      <c r="CS799" t="s">
        <v>103</v>
      </c>
      <c r="CU799" t="s">
        <v>225</v>
      </c>
    </row>
    <row r="800" spans="1:99">
      <c r="A800" t="s">
        <v>111</v>
      </c>
      <c r="B800" t="s">
        <v>77</v>
      </c>
      <c r="J800" t="s">
        <v>225</v>
      </c>
      <c r="K800" t="s">
        <v>225</v>
      </c>
      <c r="M800" s="73">
        <v>45362.279861111114</v>
      </c>
      <c r="N800">
        <v>42249577</v>
      </c>
      <c r="O800">
        <v>8</v>
      </c>
      <c r="P800" t="s">
        <v>45</v>
      </c>
      <c r="Q800">
        <v>8</v>
      </c>
      <c r="R800" t="s">
        <v>45</v>
      </c>
      <c r="U800" t="s">
        <v>226</v>
      </c>
      <c r="V800" t="s">
        <v>471</v>
      </c>
      <c r="W800" t="s">
        <v>237</v>
      </c>
      <c r="X800" t="s">
        <v>229</v>
      </c>
      <c r="Y800" t="s">
        <v>111</v>
      </c>
      <c r="AD800" t="s">
        <v>45</v>
      </c>
      <c r="AE800">
        <v>8</v>
      </c>
      <c r="AF800">
        <v>42249577</v>
      </c>
      <c r="AG800" s="73">
        <v>45362.279861111114</v>
      </c>
      <c r="AH800" t="s">
        <v>226</v>
      </c>
      <c r="AI800" t="s">
        <v>471</v>
      </c>
      <c r="AJ800" t="s">
        <v>237</v>
      </c>
      <c r="AK800" t="s">
        <v>229</v>
      </c>
      <c r="AL800" t="s">
        <v>111</v>
      </c>
      <c r="AP800" t="s">
        <v>230</v>
      </c>
      <c r="AQ800" t="s">
        <v>231</v>
      </c>
      <c r="AT800" t="s">
        <v>232</v>
      </c>
      <c r="AU800">
        <v>-99</v>
      </c>
      <c r="AV800" t="s">
        <v>45</v>
      </c>
      <c r="AW800">
        <v>8</v>
      </c>
      <c r="AX800">
        <v>42249577</v>
      </c>
      <c r="AY800" s="73">
        <v>45362.279861111114</v>
      </c>
      <c r="AZ800" t="s">
        <v>226</v>
      </c>
      <c r="BA800" t="s">
        <v>471</v>
      </c>
      <c r="BB800" t="s">
        <v>237</v>
      </c>
      <c r="BC800" t="s">
        <v>229</v>
      </c>
      <c r="BD800" t="s">
        <v>111</v>
      </c>
      <c r="BI800" t="s">
        <v>233</v>
      </c>
      <c r="BJ800" t="s">
        <v>0</v>
      </c>
      <c r="BK800">
        <v>42249564</v>
      </c>
      <c r="BN800" t="s">
        <v>45</v>
      </c>
      <c r="BO800">
        <v>42249572</v>
      </c>
      <c r="BR800">
        <v>8</v>
      </c>
      <c r="BS800">
        <v>42249577</v>
      </c>
      <c r="BT800" s="73">
        <v>45362.279861111114</v>
      </c>
      <c r="BU800" t="s">
        <v>226</v>
      </c>
      <c r="BV800" t="s">
        <v>471</v>
      </c>
      <c r="BW800" t="s">
        <v>237</v>
      </c>
      <c r="CH800" t="s">
        <v>229</v>
      </c>
      <c r="CI800" t="s">
        <v>111</v>
      </c>
      <c r="CJ800" t="s">
        <v>226</v>
      </c>
      <c r="CK800" t="s">
        <v>471</v>
      </c>
      <c r="CL800" t="s">
        <v>237</v>
      </c>
      <c r="CM800" t="s">
        <v>236</v>
      </c>
      <c r="CN800" t="s">
        <v>45</v>
      </c>
      <c r="CO800">
        <v>8</v>
      </c>
      <c r="CP800">
        <v>42249577</v>
      </c>
      <c r="CQ800" s="73">
        <v>45362.279861111114</v>
      </c>
      <c r="CR800" t="s">
        <v>229</v>
      </c>
      <c r="CS800" t="s">
        <v>111</v>
      </c>
      <c r="CU800" t="s">
        <v>225</v>
      </c>
    </row>
    <row r="801" spans="1:99">
      <c r="A801" t="s">
        <v>42</v>
      </c>
      <c r="B801" t="s">
        <v>92</v>
      </c>
      <c r="J801" t="s">
        <v>225</v>
      </c>
      <c r="K801" t="s">
        <v>225</v>
      </c>
      <c r="M801" s="73">
        <v>45362.27847222222</v>
      </c>
      <c r="N801">
        <v>42249519</v>
      </c>
      <c r="O801">
        <v>-1700</v>
      </c>
      <c r="P801" t="s">
        <v>45</v>
      </c>
      <c r="Q801">
        <v>-1700</v>
      </c>
      <c r="R801" t="s">
        <v>45</v>
      </c>
      <c r="U801" t="s">
        <v>226</v>
      </c>
      <c r="V801" t="s">
        <v>472</v>
      </c>
      <c r="W801" t="s">
        <v>228</v>
      </c>
      <c r="X801" t="s">
        <v>229</v>
      </c>
      <c r="Y801" t="s">
        <v>42</v>
      </c>
      <c r="AD801" t="s">
        <v>45</v>
      </c>
      <c r="AE801">
        <v>-1700</v>
      </c>
      <c r="AF801">
        <v>42249519</v>
      </c>
      <c r="AG801" s="73">
        <v>45362.27847222222</v>
      </c>
      <c r="AH801" t="s">
        <v>226</v>
      </c>
      <c r="AI801" t="s">
        <v>472</v>
      </c>
      <c r="AJ801" t="s">
        <v>228</v>
      </c>
      <c r="AK801" t="s">
        <v>229</v>
      </c>
      <c r="AL801" t="s">
        <v>42</v>
      </c>
      <c r="AP801" t="s">
        <v>230</v>
      </c>
      <c r="AQ801" t="s">
        <v>231</v>
      </c>
      <c r="AT801" t="s">
        <v>232</v>
      </c>
      <c r="AU801">
        <v>-99</v>
      </c>
      <c r="AV801" t="s">
        <v>45</v>
      </c>
      <c r="AW801">
        <v>-1700</v>
      </c>
      <c r="AX801">
        <v>42249519</v>
      </c>
      <c r="AY801" s="73">
        <v>45362.27847222222</v>
      </c>
      <c r="AZ801" t="s">
        <v>226</v>
      </c>
      <c r="BA801" t="s">
        <v>472</v>
      </c>
      <c r="BB801" t="s">
        <v>228</v>
      </c>
      <c r="BC801" t="s">
        <v>229</v>
      </c>
      <c r="BD801" t="s">
        <v>42</v>
      </c>
      <c r="BI801" t="s">
        <v>233</v>
      </c>
      <c r="BJ801" t="s">
        <v>0</v>
      </c>
      <c r="BK801">
        <v>42249507</v>
      </c>
      <c r="BN801" t="s">
        <v>45</v>
      </c>
      <c r="BR801">
        <v>-1700</v>
      </c>
      <c r="BS801">
        <v>42249519</v>
      </c>
      <c r="BT801" s="73">
        <v>45362.27847222222</v>
      </c>
      <c r="BU801" t="s">
        <v>226</v>
      </c>
      <c r="BV801" t="s">
        <v>472</v>
      </c>
      <c r="BW801" t="s">
        <v>228</v>
      </c>
      <c r="CH801" t="s">
        <v>229</v>
      </c>
      <c r="CI801" t="s">
        <v>42</v>
      </c>
      <c r="CJ801" t="s">
        <v>226</v>
      </c>
      <c r="CK801" t="s">
        <v>472</v>
      </c>
      <c r="CL801" t="s">
        <v>228</v>
      </c>
      <c r="CM801" t="s">
        <v>234</v>
      </c>
      <c r="CN801" t="s">
        <v>45</v>
      </c>
      <c r="CO801">
        <v>-1700</v>
      </c>
      <c r="CP801">
        <v>42249519</v>
      </c>
      <c r="CQ801" s="73">
        <v>45362.27847222222</v>
      </c>
      <c r="CR801" t="s">
        <v>229</v>
      </c>
      <c r="CS801" t="s">
        <v>42</v>
      </c>
      <c r="CU801" t="s">
        <v>225</v>
      </c>
    </row>
    <row r="802" spans="1:99">
      <c r="A802" t="s">
        <v>99</v>
      </c>
      <c r="B802" t="s">
        <v>98</v>
      </c>
      <c r="J802" t="s">
        <v>225</v>
      </c>
      <c r="K802" t="s">
        <v>225</v>
      </c>
      <c r="M802" s="73">
        <v>45362.27847222222</v>
      </c>
      <c r="N802">
        <v>42249518</v>
      </c>
      <c r="O802">
        <v>-85</v>
      </c>
      <c r="P802" t="s">
        <v>73</v>
      </c>
      <c r="Q802">
        <v>-85</v>
      </c>
      <c r="R802" t="s">
        <v>73</v>
      </c>
      <c r="U802" t="s">
        <v>226</v>
      </c>
      <c r="V802" t="s">
        <v>472</v>
      </c>
      <c r="W802" t="s">
        <v>228</v>
      </c>
      <c r="X802" t="s">
        <v>229</v>
      </c>
      <c r="Y802" t="s">
        <v>99</v>
      </c>
      <c r="AD802" t="s">
        <v>73</v>
      </c>
      <c r="AE802">
        <v>-85</v>
      </c>
      <c r="AF802">
        <v>42249518</v>
      </c>
      <c r="AG802" s="73">
        <v>45362.27847222222</v>
      </c>
      <c r="AH802" t="s">
        <v>226</v>
      </c>
      <c r="AI802" t="s">
        <v>472</v>
      </c>
      <c r="AJ802" t="s">
        <v>228</v>
      </c>
      <c r="AK802" t="s">
        <v>229</v>
      </c>
      <c r="AL802" t="s">
        <v>99</v>
      </c>
      <c r="AP802" t="s">
        <v>230</v>
      </c>
      <c r="AQ802" t="s">
        <v>231</v>
      </c>
      <c r="AT802" t="s">
        <v>232</v>
      </c>
      <c r="AU802">
        <v>-99</v>
      </c>
      <c r="AV802" t="s">
        <v>73</v>
      </c>
      <c r="AW802">
        <v>-85</v>
      </c>
      <c r="AX802">
        <v>42249518</v>
      </c>
      <c r="AY802" s="73">
        <v>45362.27847222222</v>
      </c>
      <c r="AZ802" t="s">
        <v>226</v>
      </c>
      <c r="BA802" t="s">
        <v>472</v>
      </c>
      <c r="BB802" t="s">
        <v>228</v>
      </c>
      <c r="BC802" t="s">
        <v>229</v>
      </c>
      <c r="BD802" t="s">
        <v>99</v>
      </c>
      <c r="BI802" t="s">
        <v>233</v>
      </c>
      <c r="BJ802" t="s">
        <v>0</v>
      </c>
      <c r="BK802">
        <v>42249507</v>
      </c>
      <c r="BN802" t="s">
        <v>73</v>
      </c>
      <c r="BR802">
        <v>-85</v>
      </c>
      <c r="BS802">
        <v>42249518</v>
      </c>
      <c r="BT802" s="73">
        <v>45362.27847222222</v>
      </c>
      <c r="BU802" t="s">
        <v>226</v>
      </c>
      <c r="BV802" t="s">
        <v>472</v>
      </c>
      <c r="BW802" t="s">
        <v>228</v>
      </c>
      <c r="CH802" t="s">
        <v>229</v>
      </c>
      <c r="CI802" t="s">
        <v>99</v>
      </c>
      <c r="CJ802" t="s">
        <v>226</v>
      </c>
      <c r="CK802" t="s">
        <v>472</v>
      </c>
      <c r="CL802" t="s">
        <v>228</v>
      </c>
      <c r="CM802" t="s">
        <v>234</v>
      </c>
      <c r="CN802" t="s">
        <v>73</v>
      </c>
      <c r="CO802">
        <v>-85</v>
      </c>
      <c r="CP802">
        <v>42249518</v>
      </c>
      <c r="CQ802" s="73">
        <v>45362.27847222222</v>
      </c>
      <c r="CR802" t="s">
        <v>229</v>
      </c>
      <c r="CS802" t="s">
        <v>99</v>
      </c>
      <c r="CU802" t="s">
        <v>225</v>
      </c>
    </row>
    <row r="803" spans="1:99">
      <c r="A803" t="s">
        <v>103</v>
      </c>
      <c r="B803" t="s">
        <v>98</v>
      </c>
      <c r="J803" t="s">
        <v>225</v>
      </c>
      <c r="K803" t="s">
        <v>225</v>
      </c>
      <c r="M803" s="73">
        <v>45362.27847222222</v>
      </c>
      <c r="N803">
        <v>42249517</v>
      </c>
      <c r="O803">
        <v>1700</v>
      </c>
      <c r="P803" t="s">
        <v>104</v>
      </c>
      <c r="Q803">
        <v>1700</v>
      </c>
      <c r="R803" t="s">
        <v>104</v>
      </c>
      <c r="S803">
        <v>85</v>
      </c>
      <c r="T803" t="s">
        <v>73</v>
      </c>
      <c r="U803" t="s">
        <v>226</v>
      </c>
      <c r="V803" t="s">
        <v>472</v>
      </c>
      <c r="W803" t="s">
        <v>235</v>
      </c>
      <c r="X803" t="s">
        <v>229</v>
      </c>
      <c r="Y803" t="s">
        <v>103</v>
      </c>
      <c r="AD803" t="s">
        <v>104</v>
      </c>
      <c r="AE803">
        <v>1700</v>
      </c>
      <c r="AF803">
        <v>42249517</v>
      </c>
      <c r="AG803" s="73">
        <v>45362.27847222222</v>
      </c>
      <c r="AH803" t="s">
        <v>226</v>
      </c>
      <c r="AI803" t="s">
        <v>472</v>
      </c>
      <c r="AJ803" t="s">
        <v>235</v>
      </c>
      <c r="AK803" t="s">
        <v>229</v>
      </c>
      <c r="AL803" t="s">
        <v>103</v>
      </c>
      <c r="AP803" t="s">
        <v>230</v>
      </c>
      <c r="AQ803" t="s">
        <v>231</v>
      </c>
      <c r="AT803" t="s">
        <v>232</v>
      </c>
      <c r="AU803">
        <v>-99</v>
      </c>
      <c r="AV803" t="s">
        <v>104</v>
      </c>
      <c r="AW803">
        <v>1700</v>
      </c>
      <c r="AX803">
        <v>42249517</v>
      </c>
      <c r="AY803" s="73">
        <v>45362.27847222222</v>
      </c>
      <c r="AZ803" t="s">
        <v>226</v>
      </c>
      <c r="BA803" t="s">
        <v>472</v>
      </c>
      <c r="BB803" t="s">
        <v>235</v>
      </c>
      <c r="BC803" t="s">
        <v>229</v>
      </c>
      <c r="BD803" t="s">
        <v>103</v>
      </c>
      <c r="BI803" t="s">
        <v>233</v>
      </c>
      <c r="BJ803" t="s">
        <v>0</v>
      </c>
      <c r="BK803">
        <v>42249507</v>
      </c>
      <c r="BN803" t="s">
        <v>104</v>
      </c>
      <c r="BO803">
        <v>42249513</v>
      </c>
      <c r="BR803">
        <v>1700</v>
      </c>
      <c r="BS803">
        <v>42249517</v>
      </c>
      <c r="BT803" s="73">
        <v>45362.27847222222</v>
      </c>
      <c r="BU803" t="s">
        <v>226</v>
      </c>
      <c r="BV803" t="s">
        <v>472</v>
      </c>
      <c r="BW803" t="s">
        <v>235</v>
      </c>
      <c r="CH803" t="s">
        <v>229</v>
      </c>
      <c r="CI803" t="s">
        <v>103</v>
      </c>
      <c r="CJ803" t="s">
        <v>226</v>
      </c>
      <c r="CK803" t="s">
        <v>472</v>
      </c>
      <c r="CL803" t="s">
        <v>235</v>
      </c>
      <c r="CM803" t="s">
        <v>236</v>
      </c>
      <c r="CN803" t="s">
        <v>104</v>
      </c>
      <c r="CO803">
        <v>1700</v>
      </c>
      <c r="CP803">
        <v>42249517</v>
      </c>
      <c r="CQ803" s="73">
        <v>45362.27847222222</v>
      </c>
      <c r="CR803" t="s">
        <v>229</v>
      </c>
      <c r="CS803" t="s">
        <v>103</v>
      </c>
      <c r="CU803" t="s">
        <v>225</v>
      </c>
    </row>
    <row r="804" spans="1:99">
      <c r="A804" t="s">
        <v>52</v>
      </c>
      <c r="B804" t="s">
        <v>92</v>
      </c>
      <c r="J804" t="s">
        <v>225</v>
      </c>
      <c r="K804" t="s">
        <v>225</v>
      </c>
      <c r="M804" s="73">
        <v>45362.277083333334</v>
      </c>
      <c r="N804">
        <v>42249473</v>
      </c>
      <c r="O804">
        <v>-600</v>
      </c>
      <c r="P804" t="s">
        <v>45</v>
      </c>
      <c r="Q804">
        <v>-600</v>
      </c>
      <c r="R804" t="s">
        <v>45</v>
      </c>
      <c r="U804" t="s">
        <v>226</v>
      </c>
      <c r="V804" t="s">
        <v>473</v>
      </c>
      <c r="W804" t="s">
        <v>228</v>
      </c>
      <c r="X804" t="s">
        <v>229</v>
      </c>
      <c r="Y804" t="s">
        <v>52</v>
      </c>
      <c r="AD804" t="s">
        <v>45</v>
      </c>
      <c r="AE804">
        <v>-600</v>
      </c>
      <c r="AF804">
        <v>42249473</v>
      </c>
      <c r="AG804" s="73">
        <v>45362.277083333334</v>
      </c>
      <c r="AH804" t="s">
        <v>226</v>
      </c>
      <c r="AI804" t="s">
        <v>473</v>
      </c>
      <c r="AJ804" t="s">
        <v>228</v>
      </c>
      <c r="AK804" t="s">
        <v>229</v>
      </c>
      <c r="AL804" t="s">
        <v>52</v>
      </c>
      <c r="AP804" t="s">
        <v>230</v>
      </c>
      <c r="AQ804" t="s">
        <v>231</v>
      </c>
      <c r="AT804" t="s">
        <v>232</v>
      </c>
      <c r="AU804">
        <v>-99</v>
      </c>
      <c r="AV804" t="s">
        <v>45</v>
      </c>
      <c r="AW804">
        <v>-600</v>
      </c>
      <c r="AX804">
        <v>42249473</v>
      </c>
      <c r="AY804" s="73">
        <v>45362.277083333334</v>
      </c>
      <c r="AZ804" t="s">
        <v>226</v>
      </c>
      <c r="BA804" t="s">
        <v>473</v>
      </c>
      <c r="BB804" t="s">
        <v>228</v>
      </c>
      <c r="BC804" t="s">
        <v>229</v>
      </c>
      <c r="BD804" t="s">
        <v>52</v>
      </c>
      <c r="BI804" t="s">
        <v>233</v>
      </c>
      <c r="BJ804" t="s">
        <v>0</v>
      </c>
      <c r="BK804">
        <v>42249456</v>
      </c>
      <c r="BN804" t="s">
        <v>45</v>
      </c>
      <c r="BR804">
        <v>-600</v>
      </c>
      <c r="BS804">
        <v>42249473</v>
      </c>
      <c r="BT804" s="73">
        <v>45362.277083333334</v>
      </c>
      <c r="BU804" t="s">
        <v>226</v>
      </c>
      <c r="BV804" t="s">
        <v>473</v>
      </c>
      <c r="BW804" t="s">
        <v>228</v>
      </c>
      <c r="CH804" t="s">
        <v>229</v>
      </c>
      <c r="CI804" t="s">
        <v>52</v>
      </c>
      <c r="CJ804" t="s">
        <v>226</v>
      </c>
      <c r="CK804" t="s">
        <v>473</v>
      </c>
      <c r="CL804" t="s">
        <v>228</v>
      </c>
      <c r="CM804" t="s">
        <v>234</v>
      </c>
      <c r="CN804" t="s">
        <v>45</v>
      </c>
      <c r="CO804">
        <v>-600</v>
      </c>
      <c r="CP804">
        <v>42249473</v>
      </c>
      <c r="CQ804" s="73">
        <v>45362.277083333334</v>
      </c>
      <c r="CR804" t="s">
        <v>229</v>
      </c>
      <c r="CS804" t="s">
        <v>52</v>
      </c>
      <c r="CU804" t="s">
        <v>225</v>
      </c>
    </row>
    <row r="805" spans="1:99">
      <c r="A805" t="s">
        <v>101</v>
      </c>
      <c r="B805" t="s">
        <v>98</v>
      </c>
      <c r="J805" t="s">
        <v>225</v>
      </c>
      <c r="K805" t="s">
        <v>225</v>
      </c>
      <c r="M805" s="73">
        <v>45362.277083333334</v>
      </c>
      <c r="N805">
        <v>42249472</v>
      </c>
      <c r="O805">
        <v>-30</v>
      </c>
      <c r="P805" t="s">
        <v>73</v>
      </c>
      <c r="Q805">
        <v>-30</v>
      </c>
      <c r="R805" t="s">
        <v>73</v>
      </c>
      <c r="U805" t="s">
        <v>226</v>
      </c>
      <c r="V805" t="s">
        <v>473</v>
      </c>
      <c r="W805" t="s">
        <v>228</v>
      </c>
      <c r="X805" t="s">
        <v>229</v>
      </c>
      <c r="Y805" t="s">
        <v>101</v>
      </c>
      <c r="AD805" t="s">
        <v>73</v>
      </c>
      <c r="AE805">
        <v>-30</v>
      </c>
      <c r="AF805">
        <v>42249472</v>
      </c>
      <c r="AG805" s="73">
        <v>45362.277083333334</v>
      </c>
      <c r="AH805" t="s">
        <v>226</v>
      </c>
      <c r="AI805" t="s">
        <v>473</v>
      </c>
      <c r="AJ805" t="s">
        <v>228</v>
      </c>
      <c r="AK805" t="s">
        <v>229</v>
      </c>
      <c r="AL805" t="s">
        <v>101</v>
      </c>
      <c r="AP805" t="s">
        <v>230</v>
      </c>
      <c r="AQ805" t="s">
        <v>231</v>
      </c>
      <c r="AT805" t="s">
        <v>232</v>
      </c>
      <c r="AU805">
        <v>-99</v>
      </c>
      <c r="AV805" t="s">
        <v>73</v>
      </c>
      <c r="AW805">
        <v>-30</v>
      </c>
      <c r="AX805">
        <v>42249472</v>
      </c>
      <c r="AY805" s="73">
        <v>45362.277083333334</v>
      </c>
      <c r="AZ805" t="s">
        <v>226</v>
      </c>
      <c r="BA805" t="s">
        <v>473</v>
      </c>
      <c r="BB805" t="s">
        <v>228</v>
      </c>
      <c r="BC805" t="s">
        <v>229</v>
      </c>
      <c r="BD805" t="s">
        <v>101</v>
      </c>
      <c r="BI805" t="s">
        <v>233</v>
      </c>
      <c r="BJ805" t="s">
        <v>0</v>
      </c>
      <c r="BK805">
        <v>42249456</v>
      </c>
      <c r="BN805" t="s">
        <v>73</v>
      </c>
      <c r="BR805">
        <v>-30</v>
      </c>
      <c r="BS805">
        <v>42249472</v>
      </c>
      <c r="BT805" s="73">
        <v>45362.277083333334</v>
      </c>
      <c r="BU805" t="s">
        <v>226</v>
      </c>
      <c r="BV805" t="s">
        <v>473</v>
      </c>
      <c r="BW805" t="s">
        <v>228</v>
      </c>
      <c r="CH805" t="s">
        <v>229</v>
      </c>
      <c r="CI805" t="s">
        <v>101</v>
      </c>
      <c r="CJ805" t="s">
        <v>226</v>
      </c>
      <c r="CK805" t="s">
        <v>473</v>
      </c>
      <c r="CL805" t="s">
        <v>228</v>
      </c>
      <c r="CM805" t="s">
        <v>234</v>
      </c>
      <c r="CN805" t="s">
        <v>73</v>
      </c>
      <c r="CO805">
        <v>-30</v>
      </c>
      <c r="CP805">
        <v>42249472</v>
      </c>
      <c r="CQ805" s="73">
        <v>45362.277083333334</v>
      </c>
      <c r="CR805" t="s">
        <v>229</v>
      </c>
      <c r="CS805" t="s">
        <v>101</v>
      </c>
      <c r="CU805" t="s">
        <v>225</v>
      </c>
    </row>
    <row r="806" spans="1:99">
      <c r="A806" t="s">
        <v>107</v>
      </c>
      <c r="B806" t="s">
        <v>98</v>
      </c>
      <c r="J806" t="s">
        <v>225</v>
      </c>
      <c r="K806" t="s">
        <v>225</v>
      </c>
      <c r="M806" s="73">
        <v>45362.277083333334</v>
      </c>
      <c r="N806">
        <v>42249471</v>
      </c>
      <c r="O806">
        <v>600</v>
      </c>
      <c r="P806" t="s">
        <v>104</v>
      </c>
      <c r="Q806">
        <v>600</v>
      </c>
      <c r="R806" t="s">
        <v>104</v>
      </c>
      <c r="S806">
        <v>30</v>
      </c>
      <c r="T806" t="s">
        <v>73</v>
      </c>
      <c r="U806" t="s">
        <v>226</v>
      </c>
      <c r="V806" t="s">
        <v>473</v>
      </c>
      <c r="W806" t="s">
        <v>235</v>
      </c>
      <c r="X806" t="s">
        <v>229</v>
      </c>
      <c r="Y806" t="s">
        <v>107</v>
      </c>
      <c r="AD806" t="s">
        <v>104</v>
      </c>
      <c r="AE806">
        <v>600</v>
      </c>
      <c r="AF806">
        <v>42249471</v>
      </c>
      <c r="AG806" s="73">
        <v>45362.277083333334</v>
      </c>
      <c r="AH806" t="s">
        <v>226</v>
      </c>
      <c r="AI806" t="s">
        <v>473</v>
      </c>
      <c r="AJ806" t="s">
        <v>235</v>
      </c>
      <c r="AK806" t="s">
        <v>229</v>
      </c>
      <c r="AL806" t="s">
        <v>107</v>
      </c>
      <c r="AP806" t="s">
        <v>230</v>
      </c>
      <c r="AQ806" t="s">
        <v>231</v>
      </c>
      <c r="AT806" t="s">
        <v>232</v>
      </c>
      <c r="AU806">
        <v>-99</v>
      </c>
      <c r="AV806" t="s">
        <v>104</v>
      </c>
      <c r="AW806">
        <v>600</v>
      </c>
      <c r="AX806">
        <v>42249471</v>
      </c>
      <c r="AY806" s="73">
        <v>45362.277083333334</v>
      </c>
      <c r="AZ806" t="s">
        <v>226</v>
      </c>
      <c r="BA806" t="s">
        <v>473</v>
      </c>
      <c r="BB806" t="s">
        <v>235</v>
      </c>
      <c r="BC806" t="s">
        <v>229</v>
      </c>
      <c r="BD806" t="s">
        <v>107</v>
      </c>
      <c r="BI806" t="s">
        <v>233</v>
      </c>
      <c r="BJ806" t="s">
        <v>0</v>
      </c>
      <c r="BK806">
        <v>42249456</v>
      </c>
      <c r="BN806" t="s">
        <v>104</v>
      </c>
      <c r="BO806">
        <v>42249467</v>
      </c>
      <c r="BR806">
        <v>600</v>
      </c>
      <c r="BS806">
        <v>42249471</v>
      </c>
      <c r="BT806" s="73">
        <v>45362.277083333334</v>
      </c>
      <c r="BU806" t="s">
        <v>226</v>
      </c>
      <c r="BV806" t="s">
        <v>473</v>
      </c>
      <c r="BW806" t="s">
        <v>235</v>
      </c>
      <c r="CH806" t="s">
        <v>229</v>
      </c>
      <c r="CI806" t="s">
        <v>107</v>
      </c>
      <c r="CJ806" t="s">
        <v>226</v>
      </c>
      <c r="CK806" t="s">
        <v>473</v>
      </c>
      <c r="CL806" t="s">
        <v>235</v>
      </c>
      <c r="CM806" t="s">
        <v>236</v>
      </c>
      <c r="CN806" t="s">
        <v>104</v>
      </c>
      <c r="CO806">
        <v>600</v>
      </c>
      <c r="CP806">
        <v>42249471</v>
      </c>
      <c r="CQ806" s="73">
        <v>45362.277083333334</v>
      </c>
      <c r="CR806" t="s">
        <v>229</v>
      </c>
      <c r="CS806" t="s">
        <v>107</v>
      </c>
      <c r="CU806" t="s">
        <v>225</v>
      </c>
    </row>
    <row r="807" spans="1:99">
      <c r="A807" t="s">
        <v>42</v>
      </c>
      <c r="B807" t="s">
        <v>92</v>
      </c>
      <c r="J807" t="s">
        <v>225</v>
      </c>
      <c r="K807" t="s">
        <v>225</v>
      </c>
      <c r="M807" s="73">
        <v>45361.95208333333</v>
      </c>
      <c r="N807">
        <v>42234100</v>
      </c>
      <c r="O807">
        <v>-10862</v>
      </c>
      <c r="P807" t="s">
        <v>45</v>
      </c>
      <c r="Q807">
        <v>-10862</v>
      </c>
      <c r="R807" t="s">
        <v>45</v>
      </c>
      <c r="U807" t="s">
        <v>226</v>
      </c>
      <c r="V807" t="s">
        <v>474</v>
      </c>
      <c r="W807" t="s">
        <v>228</v>
      </c>
      <c r="X807" t="s">
        <v>229</v>
      </c>
      <c r="Y807" t="s">
        <v>42</v>
      </c>
      <c r="AD807" t="s">
        <v>45</v>
      </c>
      <c r="AE807">
        <v>-10862</v>
      </c>
      <c r="AF807">
        <v>42234100</v>
      </c>
      <c r="AG807" s="73">
        <v>45361.95208333333</v>
      </c>
      <c r="AH807" t="s">
        <v>226</v>
      </c>
      <c r="AI807" t="s">
        <v>474</v>
      </c>
      <c r="AJ807" t="s">
        <v>228</v>
      </c>
      <c r="AK807" t="s">
        <v>229</v>
      </c>
      <c r="AL807" t="s">
        <v>42</v>
      </c>
      <c r="AP807" t="s">
        <v>230</v>
      </c>
      <c r="AQ807" t="s">
        <v>231</v>
      </c>
      <c r="AT807" t="s">
        <v>232</v>
      </c>
      <c r="AU807">
        <v>-99</v>
      </c>
      <c r="AV807" t="s">
        <v>45</v>
      </c>
      <c r="AW807">
        <v>-10862</v>
      </c>
      <c r="AX807">
        <v>42234100</v>
      </c>
      <c r="AY807" s="73">
        <v>45361.95208333333</v>
      </c>
      <c r="AZ807" t="s">
        <v>226</v>
      </c>
      <c r="BA807" t="s">
        <v>474</v>
      </c>
      <c r="BB807" t="s">
        <v>228</v>
      </c>
      <c r="BC807" t="s">
        <v>229</v>
      </c>
      <c r="BD807" t="s">
        <v>42</v>
      </c>
      <c r="BI807" t="s">
        <v>233</v>
      </c>
      <c r="BJ807" t="s">
        <v>0</v>
      </c>
      <c r="BK807">
        <v>42234084</v>
      </c>
      <c r="BN807" t="s">
        <v>45</v>
      </c>
      <c r="BR807">
        <v>-10862</v>
      </c>
      <c r="BS807">
        <v>42234100</v>
      </c>
      <c r="BT807" s="73">
        <v>45361.95208333333</v>
      </c>
      <c r="BU807" t="s">
        <v>226</v>
      </c>
      <c r="BV807" t="s">
        <v>474</v>
      </c>
      <c r="BW807" t="s">
        <v>228</v>
      </c>
      <c r="CH807" t="s">
        <v>229</v>
      </c>
      <c r="CI807" t="s">
        <v>42</v>
      </c>
      <c r="CJ807" t="s">
        <v>226</v>
      </c>
      <c r="CK807" t="s">
        <v>474</v>
      </c>
      <c r="CL807" t="s">
        <v>228</v>
      </c>
      <c r="CM807" t="s">
        <v>234</v>
      </c>
      <c r="CN807" t="s">
        <v>45</v>
      </c>
      <c r="CO807">
        <v>-10862</v>
      </c>
      <c r="CP807">
        <v>42234100</v>
      </c>
      <c r="CQ807" s="73">
        <v>45361.95208333333</v>
      </c>
      <c r="CR807" t="s">
        <v>229</v>
      </c>
      <c r="CS807" t="s">
        <v>42</v>
      </c>
      <c r="CU807" t="s">
        <v>225</v>
      </c>
    </row>
    <row r="808" spans="1:99">
      <c r="A808" t="s">
        <v>99</v>
      </c>
      <c r="B808" t="s">
        <v>98</v>
      </c>
      <c r="J808" t="s">
        <v>225</v>
      </c>
      <c r="K808" t="s">
        <v>225</v>
      </c>
      <c r="M808" s="73">
        <v>45361.95208333333</v>
      </c>
      <c r="N808">
        <v>42234099</v>
      </c>
      <c r="O808">
        <v>-542.5</v>
      </c>
      <c r="P808" t="s">
        <v>73</v>
      </c>
      <c r="Q808">
        <v>-542.5</v>
      </c>
      <c r="R808" t="s">
        <v>73</v>
      </c>
      <c r="U808" t="s">
        <v>226</v>
      </c>
      <c r="V808" t="s">
        <v>474</v>
      </c>
      <c r="W808" t="s">
        <v>228</v>
      </c>
      <c r="X808" t="s">
        <v>229</v>
      </c>
      <c r="Y808" t="s">
        <v>99</v>
      </c>
      <c r="AD808" t="s">
        <v>73</v>
      </c>
      <c r="AE808">
        <v>-542.5</v>
      </c>
      <c r="AF808">
        <v>42234099</v>
      </c>
      <c r="AG808" s="73">
        <v>45361.95208333333</v>
      </c>
      <c r="AH808" t="s">
        <v>226</v>
      </c>
      <c r="AI808" t="s">
        <v>474</v>
      </c>
      <c r="AJ808" t="s">
        <v>228</v>
      </c>
      <c r="AK808" t="s">
        <v>229</v>
      </c>
      <c r="AL808" t="s">
        <v>99</v>
      </c>
      <c r="AP808" t="s">
        <v>230</v>
      </c>
      <c r="AQ808" t="s">
        <v>231</v>
      </c>
      <c r="AT808" t="s">
        <v>232</v>
      </c>
      <c r="AU808">
        <v>-99</v>
      </c>
      <c r="AV808" t="s">
        <v>73</v>
      </c>
      <c r="AW808">
        <v>-542.5</v>
      </c>
      <c r="AX808">
        <v>42234099</v>
      </c>
      <c r="AY808" s="73">
        <v>45361.95208333333</v>
      </c>
      <c r="AZ808" t="s">
        <v>226</v>
      </c>
      <c r="BA808" t="s">
        <v>474</v>
      </c>
      <c r="BB808" t="s">
        <v>228</v>
      </c>
      <c r="BC808" t="s">
        <v>229</v>
      </c>
      <c r="BD808" t="s">
        <v>99</v>
      </c>
      <c r="BI808" t="s">
        <v>233</v>
      </c>
      <c r="BJ808" t="s">
        <v>0</v>
      </c>
      <c r="BK808">
        <v>42234084</v>
      </c>
      <c r="BN808" t="s">
        <v>73</v>
      </c>
      <c r="BR808">
        <v>-542.5</v>
      </c>
      <c r="BS808">
        <v>42234099</v>
      </c>
      <c r="BT808" s="73">
        <v>45361.95208333333</v>
      </c>
      <c r="BU808" t="s">
        <v>226</v>
      </c>
      <c r="BV808" t="s">
        <v>474</v>
      </c>
      <c r="BW808" t="s">
        <v>228</v>
      </c>
      <c r="CH808" t="s">
        <v>229</v>
      </c>
      <c r="CI808" t="s">
        <v>99</v>
      </c>
      <c r="CJ808" t="s">
        <v>226</v>
      </c>
      <c r="CK808" t="s">
        <v>474</v>
      </c>
      <c r="CL808" t="s">
        <v>228</v>
      </c>
      <c r="CM808" t="s">
        <v>234</v>
      </c>
      <c r="CN808" t="s">
        <v>73</v>
      </c>
      <c r="CO808">
        <v>-542.5</v>
      </c>
      <c r="CP808">
        <v>42234099</v>
      </c>
      <c r="CQ808" s="73">
        <v>45361.95208333333</v>
      </c>
      <c r="CR808" t="s">
        <v>229</v>
      </c>
      <c r="CS808" t="s">
        <v>99</v>
      </c>
      <c r="CU808" t="s">
        <v>225</v>
      </c>
    </row>
    <row r="809" spans="1:99">
      <c r="A809" t="s">
        <v>103</v>
      </c>
      <c r="B809" t="s">
        <v>98</v>
      </c>
      <c r="J809" t="s">
        <v>225</v>
      </c>
      <c r="K809" t="s">
        <v>225</v>
      </c>
      <c r="M809" s="73">
        <v>45361.95208333333</v>
      </c>
      <c r="N809">
        <v>42234098</v>
      </c>
      <c r="O809">
        <v>10850</v>
      </c>
      <c r="P809" t="s">
        <v>104</v>
      </c>
      <c r="Q809">
        <v>10850</v>
      </c>
      <c r="R809" t="s">
        <v>104</v>
      </c>
      <c r="S809">
        <v>542.5</v>
      </c>
      <c r="T809" t="s">
        <v>73</v>
      </c>
      <c r="U809" t="s">
        <v>226</v>
      </c>
      <c r="V809" t="s">
        <v>474</v>
      </c>
      <c r="W809" t="s">
        <v>235</v>
      </c>
      <c r="X809" t="s">
        <v>229</v>
      </c>
      <c r="Y809" t="s">
        <v>103</v>
      </c>
      <c r="AD809" t="s">
        <v>104</v>
      </c>
      <c r="AE809">
        <v>10850</v>
      </c>
      <c r="AF809">
        <v>42234098</v>
      </c>
      <c r="AG809" s="73">
        <v>45361.95208333333</v>
      </c>
      <c r="AH809" t="s">
        <v>226</v>
      </c>
      <c r="AI809" t="s">
        <v>474</v>
      </c>
      <c r="AJ809" t="s">
        <v>235</v>
      </c>
      <c r="AK809" t="s">
        <v>229</v>
      </c>
      <c r="AL809" t="s">
        <v>103</v>
      </c>
      <c r="AP809" t="s">
        <v>230</v>
      </c>
      <c r="AQ809" t="s">
        <v>231</v>
      </c>
      <c r="AT809" t="s">
        <v>232</v>
      </c>
      <c r="AU809">
        <v>-99</v>
      </c>
      <c r="AV809" t="s">
        <v>104</v>
      </c>
      <c r="AW809">
        <v>10850</v>
      </c>
      <c r="AX809">
        <v>42234098</v>
      </c>
      <c r="AY809" s="73">
        <v>45361.95208333333</v>
      </c>
      <c r="AZ809" t="s">
        <v>226</v>
      </c>
      <c r="BA809" t="s">
        <v>474</v>
      </c>
      <c r="BB809" t="s">
        <v>235</v>
      </c>
      <c r="BC809" t="s">
        <v>229</v>
      </c>
      <c r="BD809" t="s">
        <v>103</v>
      </c>
      <c r="BI809" t="s">
        <v>233</v>
      </c>
      <c r="BJ809" t="s">
        <v>0</v>
      </c>
      <c r="BK809">
        <v>42234084</v>
      </c>
      <c r="BN809" t="s">
        <v>104</v>
      </c>
      <c r="BO809">
        <v>42234090</v>
      </c>
      <c r="BR809">
        <v>10850</v>
      </c>
      <c r="BS809">
        <v>42234098</v>
      </c>
      <c r="BT809" s="73">
        <v>45361.95208333333</v>
      </c>
      <c r="BU809" t="s">
        <v>226</v>
      </c>
      <c r="BV809" t="s">
        <v>474</v>
      </c>
      <c r="BW809" t="s">
        <v>235</v>
      </c>
      <c r="CH809" t="s">
        <v>229</v>
      </c>
      <c r="CI809" t="s">
        <v>103</v>
      </c>
      <c r="CJ809" t="s">
        <v>226</v>
      </c>
      <c r="CK809" t="s">
        <v>474</v>
      </c>
      <c r="CL809" t="s">
        <v>235</v>
      </c>
      <c r="CM809" t="s">
        <v>236</v>
      </c>
      <c r="CN809" t="s">
        <v>104</v>
      </c>
      <c r="CO809">
        <v>10850</v>
      </c>
      <c r="CP809">
        <v>42234098</v>
      </c>
      <c r="CQ809" s="73">
        <v>45361.95208333333</v>
      </c>
      <c r="CR809" t="s">
        <v>229</v>
      </c>
      <c r="CS809" t="s">
        <v>103</v>
      </c>
      <c r="CU809" t="s">
        <v>225</v>
      </c>
    </row>
    <row r="810" spans="1:99">
      <c r="A810" t="s">
        <v>111</v>
      </c>
      <c r="B810" t="s">
        <v>77</v>
      </c>
      <c r="J810" t="s">
        <v>225</v>
      </c>
      <c r="K810" t="s">
        <v>225</v>
      </c>
      <c r="M810" s="73">
        <v>45361.95208333333</v>
      </c>
      <c r="N810">
        <v>42234097</v>
      </c>
      <c r="O810">
        <v>12</v>
      </c>
      <c r="P810" t="s">
        <v>45</v>
      </c>
      <c r="Q810">
        <v>12</v>
      </c>
      <c r="R810" t="s">
        <v>45</v>
      </c>
      <c r="U810" t="s">
        <v>226</v>
      </c>
      <c r="V810" t="s">
        <v>474</v>
      </c>
      <c r="W810" t="s">
        <v>237</v>
      </c>
      <c r="X810" t="s">
        <v>229</v>
      </c>
      <c r="Y810" t="s">
        <v>111</v>
      </c>
      <c r="AD810" t="s">
        <v>45</v>
      </c>
      <c r="AE810">
        <v>12</v>
      </c>
      <c r="AF810">
        <v>42234097</v>
      </c>
      <c r="AG810" s="73">
        <v>45361.95208333333</v>
      </c>
      <c r="AH810" t="s">
        <v>226</v>
      </c>
      <c r="AI810" t="s">
        <v>474</v>
      </c>
      <c r="AJ810" t="s">
        <v>237</v>
      </c>
      <c r="AK810" t="s">
        <v>229</v>
      </c>
      <c r="AL810" t="s">
        <v>111</v>
      </c>
      <c r="AP810" t="s">
        <v>230</v>
      </c>
      <c r="AQ810" t="s">
        <v>231</v>
      </c>
      <c r="AT810" t="s">
        <v>232</v>
      </c>
      <c r="AU810">
        <v>-99</v>
      </c>
      <c r="AV810" t="s">
        <v>45</v>
      </c>
      <c r="AW810">
        <v>12</v>
      </c>
      <c r="AX810">
        <v>42234097</v>
      </c>
      <c r="AY810" s="73">
        <v>45361.95208333333</v>
      </c>
      <c r="AZ810" t="s">
        <v>226</v>
      </c>
      <c r="BA810" t="s">
        <v>474</v>
      </c>
      <c r="BB810" t="s">
        <v>237</v>
      </c>
      <c r="BC810" t="s">
        <v>229</v>
      </c>
      <c r="BD810" t="s">
        <v>111</v>
      </c>
      <c r="BI810" t="s">
        <v>233</v>
      </c>
      <c r="BJ810" t="s">
        <v>0</v>
      </c>
      <c r="BK810">
        <v>42234084</v>
      </c>
      <c r="BN810" t="s">
        <v>45</v>
      </c>
      <c r="BO810">
        <v>42234092</v>
      </c>
      <c r="BR810">
        <v>12</v>
      </c>
      <c r="BS810">
        <v>42234097</v>
      </c>
      <c r="BT810" s="73">
        <v>45361.95208333333</v>
      </c>
      <c r="BU810" t="s">
        <v>226</v>
      </c>
      <c r="BV810" t="s">
        <v>474</v>
      </c>
      <c r="BW810" t="s">
        <v>237</v>
      </c>
      <c r="CH810" t="s">
        <v>229</v>
      </c>
      <c r="CI810" t="s">
        <v>111</v>
      </c>
      <c r="CJ810" t="s">
        <v>226</v>
      </c>
      <c r="CK810" t="s">
        <v>474</v>
      </c>
      <c r="CL810" t="s">
        <v>237</v>
      </c>
      <c r="CM810" t="s">
        <v>236</v>
      </c>
      <c r="CN810" t="s">
        <v>45</v>
      </c>
      <c r="CO810">
        <v>12</v>
      </c>
      <c r="CP810">
        <v>42234097</v>
      </c>
      <c r="CQ810" s="73">
        <v>45361.95208333333</v>
      </c>
      <c r="CR810" t="s">
        <v>229</v>
      </c>
      <c r="CS810" t="s">
        <v>111</v>
      </c>
      <c r="CU810" t="s">
        <v>225</v>
      </c>
    </row>
    <row r="811" spans="1:99">
      <c r="A811" t="s">
        <v>46</v>
      </c>
      <c r="B811" t="s">
        <v>92</v>
      </c>
      <c r="J811" t="s">
        <v>225</v>
      </c>
      <c r="K811" t="s">
        <v>225</v>
      </c>
      <c r="M811" s="73">
        <v>45361.946527777778</v>
      </c>
      <c r="N811">
        <v>42233991</v>
      </c>
      <c r="O811">
        <v>-201</v>
      </c>
      <c r="P811" t="s">
        <v>45</v>
      </c>
      <c r="Q811">
        <v>-201</v>
      </c>
      <c r="R811" t="s">
        <v>45</v>
      </c>
      <c r="U811" t="s">
        <v>226</v>
      </c>
      <c r="V811" t="s">
        <v>475</v>
      </c>
      <c r="W811" t="s">
        <v>228</v>
      </c>
      <c r="X811" t="s">
        <v>229</v>
      </c>
      <c r="Y811" t="s">
        <v>46</v>
      </c>
      <c r="AD811" t="s">
        <v>45</v>
      </c>
      <c r="AE811">
        <v>-201</v>
      </c>
      <c r="AF811">
        <v>42233991</v>
      </c>
      <c r="AG811" s="73">
        <v>45361.946527777778</v>
      </c>
      <c r="AH811" t="s">
        <v>226</v>
      </c>
      <c r="AI811" t="s">
        <v>475</v>
      </c>
      <c r="AJ811" t="s">
        <v>228</v>
      </c>
      <c r="AK811" t="s">
        <v>229</v>
      </c>
      <c r="AL811" t="s">
        <v>46</v>
      </c>
      <c r="AP811" t="s">
        <v>230</v>
      </c>
      <c r="AQ811" t="s">
        <v>231</v>
      </c>
      <c r="AT811" t="s">
        <v>232</v>
      </c>
      <c r="AU811">
        <v>-99</v>
      </c>
      <c r="AV811" t="s">
        <v>45</v>
      </c>
      <c r="AW811">
        <v>-201</v>
      </c>
      <c r="AX811">
        <v>42233991</v>
      </c>
      <c r="AY811" s="73">
        <v>45361.946527777778</v>
      </c>
      <c r="AZ811" t="s">
        <v>226</v>
      </c>
      <c r="BA811" t="s">
        <v>475</v>
      </c>
      <c r="BB811" t="s">
        <v>228</v>
      </c>
      <c r="BC811" t="s">
        <v>229</v>
      </c>
      <c r="BD811" t="s">
        <v>46</v>
      </c>
      <c r="BI811" t="s">
        <v>233</v>
      </c>
      <c r="BJ811" t="s">
        <v>0</v>
      </c>
      <c r="BK811">
        <v>42233968</v>
      </c>
      <c r="BN811" t="s">
        <v>45</v>
      </c>
      <c r="BR811">
        <v>-201</v>
      </c>
      <c r="BS811">
        <v>42233991</v>
      </c>
      <c r="BT811" s="73">
        <v>45361.946527777778</v>
      </c>
      <c r="BU811" t="s">
        <v>226</v>
      </c>
      <c r="BV811" t="s">
        <v>475</v>
      </c>
      <c r="BW811" t="s">
        <v>228</v>
      </c>
      <c r="CH811" t="s">
        <v>229</v>
      </c>
      <c r="CI811" t="s">
        <v>46</v>
      </c>
      <c r="CJ811" t="s">
        <v>226</v>
      </c>
      <c r="CK811" t="s">
        <v>475</v>
      </c>
      <c r="CL811" t="s">
        <v>228</v>
      </c>
      <c r="CM811" t="s">
        <v>234</v>
      </c>
      <c r="CN811" t="s">
        <v>45</v>
      </c>
      <c r="CO811">
        <v>-201</v>
      </c>
      <c r="CP811">
        <v>42233991</v>
      </c>
      <c r="CQ811" s="73">
        <v>45361.946527777778</v>
      </c>
      <c r="CR811" t="s">
        <v>229</v>
      </c>
      <c r="CS811" t="s">
        <v>46</v>
      </c>
      <c r="CU811" t="s">
        <v>225</v>
      </c>
    </row>
    <row r="812" spans="1:99">
      <c r="A812" t="s">
        <v>93</v>
      </c>
      <c r="B812" t="s">
        <v>98</v>
      </c>
      <c r="J812" t="s">
        <v>225</v>
      </c>
      <c r="K812" t="s">
        <v>225</v>
      </c>
      <c r="M812" s="73">
        <v>45361.946527777778</v>
      </c>
      <c r="N812">
        <v>42233990</v>
      </c>
      <c r="O812">
        <v>-10</v>
      </c>
      <c r="P812" t="s">
        <v>73</v>
      </c>
      <c r="Q812">
        <v>-10</v>
      </c>
      <c r="R812" t="s">
        <v>73</v>
      </c>
      <c r="U812" t="s">
        <v>226</v>
      </c>
      <c r="V812" t="s">
        <v>475</v>
      </c>
      <c r="W812" t="s">
        <v>228</v>
      </c>
      <c r="X812" t="s">
        <v>229</v>
      </c>
      <c r="Y812" t="s">
        <v>93</v>
      </c>
      <c r="AD812" t="s">
        <v>73</v>
      </c>
      <c r="AE812">
        <v>-10</v>
      </c>
      <c r="AF812">
        <v>42233990</v>
      </c>
      <c r="AG812" s="73">
        <v>45361.946527777778</v>
      </c>
      <c r="AH812" t="s">
        <v>226</v>
      </c>
      <c r="AI812" t="s">
        <v>475</v>
      </c>
      <c r="AJ812" t="s">
        <v>228</v>
      </c>
      <c r="AK812" t="s">
        <v>229</v>
      </c>
      <c r="AL812" t="s">
        <v>93</v>
      </c>
      <c r="AP812" t="s">
        <v>230</v>
      </c>
      <c r="AQ812" t="s">
        <v>231</v>
      </c>
      <c r="AT812" t="s">
        <v>232</v>
      </c>
      <c r="AU812">
        <v>-99</v>
      </c>
      <c r="AV812" t="s">
        <v>73</v>
      </c>
      <c r="AW812">
        <v>-10</v>
      </c>
      <c r="AX812">
        <v>42233990</v>
      </c>
      <c r="AY812" s="73">
        <v>45361.946527777778</v>
      </c>
      <c r="AZ812" t="s">
        <v>226</v>
      </c>
      <c r="BA812" t="s">
        <v>475</v>
      </c>
      <c r="BB812" t="s">
        <v>228</v>
      </c>
      <c r="BC812" t="s">
        <v>229</v>
      </c>
      <c r="BD812" t="s">
        <v>93</v>
      </c>
      <c r="BI812" t="s">
        <v>233</v>
      </c>
      <c r="BJ812" t="s">
        <v>0</v>
      </c>
      <c r="BK812">
        <v>42233968</v>
      </c>
      <c r="BN812" t="s">
        <v>73</v>
      </c>
      <c r="BR812">
        <v>-10</v>
      </c>
      <c r="BS812">
        <v>42233990</v>
      </c>
      <c r="BT812" s="73">
        <v>45361.946527777778</v>
      </c>
      <c r="BU812" t="s">
        <v>226</v>
      </c>
      <c r="BV812" t="s">
        <v>475</v>
      </c>
      <c r="BW812" t="s">
        <v>228</v>
      </c>
      <c r="CH812" t="s">
        <v>229</v>
      </c>
      <c r="CI812" t="s">
        <v>93</v>
      </c>
      <c r="CJ812" t="s">
        <v>226</v>
      </c>
      <c r="CK812" t="s">
        <v>475</v>
      </c>
      <c r="CL812" t="s">
        <v>228</v>
      </c>
      <c r="CM812" t="s">
        <v>234</v>
      </c>
      <c r="CN812" t="s">
        <v>73</v>
      </c>
      <c r="CO812">
        <v>-10</v>
      </c>
      <c r="CP812">
        <v>42233990</v>
      </c>
      <c r="CQ812" s="73">
        <v>45361.946527777778</v>
      </c>
      <c r="CR812" t="s">
        <v>229</v>
      </c>
      <c r="CS812" t="s">
        <v>93</v>
      </c>
      <c r="CU812" t="s">
        <v>225</v>
      </c>
    </row>
    <row r="813" spans="1:99">
      <c r="A813" t="s">
        <v>108</v>
      </c>
      <c r="B813" t="s">
        <v>98</v>
      </c>
      <c r="J813" t="s">
        <v>225</v>
      </c>
      <c r="K813" t="s">
        <v>225</v>
      </c>
      <c r="M813" s="73">
        <v>45361.946527777778</v>
      </c>
      <c r="N813">
        <v>42233989</v>
      </c>
      <c r="O813">
        <v>200</v>
      </c>
      <c r="P813" t="s">
        <v>104</v>
      </c>
      <c r="Q813">
        <v>200</v>
      </c>
      <c r="R813" t="s">
        <v>104</v>
      </c>
      <c r="S813">
        <v>10</v>
      </c>
      <c r="T813" t="s">
        <v>73</v>
      </c>
      <c r="U813" t="s">
        <v>226</v>
      </c>
      <c r="V813" t="s">
        <v>475</v>
      </c>
      <c r="W813" t="s">
        <v>235</v>
      </c>
      <c r="X813" t="s">
        <v>229</v>
      </c>
      <c r="Y813" t="s">
        <v>108</v>
      </c>
      <c r="AD813" t="s">
        <v>104</v>
      </c>
      <c r="AE813">
        <v>200</v>
      </c>
      <c r="AF813">
        <v>42233989</v>
      </c>
      <c r="AG813" s="73">
        <v>45361.946527777778</v>
      </c>
      <c r="AH813" t="s">
        <v>226</v>
      </c>
      <c r="AI813" t="s">
        <v>475</v>
      </c>
      <c r="AJ813" t="s">
        <v>235</v>
      </c>
      <c r="AK813" t="s">
        <v>229</v>
      </c>
      <c r="AL813" t="s">
        <v>108</v>
      </c>
      <c r="AP813" t="s">
        <v>230</v>
      </c>
      <c r="AQ813" t="s">
        <v>231</v>
      </c>
      <c r="AT813" t="s">
        <v>232</v>
      </c>
      <c r="AU813">
        <v>-99</v>
      </c>
      <c r="AV813" t="s">
        <v>104</v>
      </c>
      <c r="AW813">
        <v>200</v>
      </c>
      <c r="AX813">
        <v>42233989</v>
      </c>
      <c r="AY813" s="73">
        <v>45361.946527777778</v>
      </c>
      <c r="AZ813" t="s">
        <v>226</v>
      </c>
      <c r="BA813" t="s">
        <v>475</v>
      </c>
      <c r="BB813" t="s">
        <v>235</v>
      </c>
      <c r="BC813" t="s">
        <v>229</v>
      </c>
      <c r="BD813" t="s">
        <v>108</v>
      </c>
      <c r="BI813" t="s">
        <v>233</v>
      </c>
      <c r="BJ813" t="s">
        <v>0</v>
      </c>
      <c r="BK813">
        <v>42233968</v>
      </c>
      <c r="BN813" t="s">
        <v>104</v>
      </c>
      <c r="BO813">
        <v>42233981</v>
      </c>
      <c r="BR813">
        <v>200</v>
      </c>
      <c r="BS813">
        <v>42233989</v>
      </c>
      <c r="BT813" s="73">
        <v>45361.946527777778</v>
      </c>
      <c r="BU813" t="s">
        <v>226</v>
      </c>
      <c r="BV813" t="s">
        <v>475</v>
      </c>
      <c r="BW813" t="s">
        <v>235</v>
      </c>
      <c r="CH813" t="s">
        <v>229</v>
      </c>
      <c r="CI813" t="s">
        <v>108</v>
      </c>
      <c r="CJ813" t="s">
        <v>226</v>
      </c>
      <c r="CK813" t="s">
        <v>475</v>
      </c>
      <c r="CL813" t="s">
        <v>235</v>
      </c>
      <c r="CM813" t="s">
        <v>236</v>
      </c>
      <c r="CN813" t="s">
        <v>104</v>
      </c>
      <c r="CO813">
        <v>200</v>
      </c>
      <c r="CP813">
        <v>42233989</v>
      </c>
      <c r="CQ813" s="73">
        <v>45361.946527777778</v>
      </c>
      <c r="CR813" t="s">
        <v>229</v>
      </c>
      <c r="CS813" t="s">
        <v>108</v>
      </c>
      <c r="CU813" t="s">
        <v>225</v>
      </c>
    </row>
    <row r="814" spans="1:99">
      <c r="A814" t="s">
        <v>111</v>
      </c>
      <c r="B814" t="s">
        <v>77</v>
      </c>
      <c r="J814" t="s">
        <v>225</v>
      </c>
      <c r="K814" t="s">
        <v>225</v>
      </c>
      <c r="M814" s="73">
        <v>45361.946527777778</v>
      </c>
      <c r="N814">
        <v>42233988</v>
      </c>
      <c r="O814">
        <v>1</v>
      </c>
      <c r="P814" t="s">
        <v>45</v>
      </c>
      <c r="Q814">
        <v>1</v>
      </c>
      <c r="R814" t="s">
        <v>45</v>
      </c>
      <c r="U814" t="s">
        <v>226</v>
      </c>
      <c r="V814" t="s">
        <v>475</v>
      </c>
      <c r="W814" t="s">
        <v>237</v>
      </c>
      <c r="X814" t="s">
        <v>229</v>
      </c>
      <c r="Y814" t="s">
        <v>111</v>
      </c>
      <c r="AD814" t="s">
        <v>45</v>
      </c>
      <c r="AE814">
        <v>1</v>
      </c>
      <c r="AF814">
        <v>42233988</v>
      </c>
      <c r="AG814" s="73">
        <v>45361.946527777778</v>
      </c>
      <c r="AH814" t="s">
        <v>226</v>
      </c>
      <c r="AI814" t="s">
        <v>475</v>
      </c>
      <c r="AJ814" t="s">
        <v>237</v>
      </c>
      <c r="AK814" t="s">
        <v>229</v>
      </c>
      <c r="AL814" t="s">
        <v>111</v>
      </c>
      <c r="AP814" t="s">
        <v>230</v>
      </c>
      <c r="AQ814" t="s">
        <v>231</v>
      </c>
      <c r="AT814" t="s">
        <v>232</v>
      </c>
      <c r="AU814">
        <v>-99</v>
      </c>
      <c r="AV814" t="s">
        <v>45</v>
      </c>
      <c r="AW814">
        <v>1</v>
      </c>
      <c r="AX814">
        <v>42233988</v>
      </c>
      <c r="AY814" s="73">
        <v>45361.946527777778</v>
      </c>
      <c r="AZ814" t="s">
        <v>226</v>
      </c>
      <c r="BA814" t="s">
        <v>475</v>
      </c>
      <c r="BB814" t="s">
        <v>237</v>
      </c>
      <c r="BC814" t="s">
        <v>229</v>
      </c>
      <c r="BD814" t="s">
        <v>111</v>
      </c>
      <c r="BI814" t="s">
        <v>233</v>
      </c>
      <c r="BJ814" t="s">
        <v>0</v>
      </c>
      <c r="BK814">
        <v>42233968</v>
      </c>
      <c r="BN814" t="s">
        <v>45</v>
      </c>
      <c r="BO814">
        <v>42233983</v>
      </c>
      <c r="BR814">
        <v>1</v>
      </c>
      <c r="BS814">
        <v>42233988</v>
      </c>
      <c r="BT814" s="73">
        <v>45361.946527777778</v>
      </c>
      <c r="BU814" t="s">
        <v>226</v>
      </c>
      <c r="BV814" t="s">
        <v>475</v>
      </c>
      <c r="BW814" t="s">
        <v>237</v>
      </c>
      <c r="CH814" t="s">
        <v>229</v>
      </c>
      <c r="CI814" t="s">
        <v>111</v>
      </c>
      <c r="CJ814" t="s">
        <v>226</v>
      </c>
      <c r="CK814" t="s">
        <v>475</v>
      </c>
      <c r="CL814" t="s">
        <v>237</v>
      </c>
      <c r="CM814" t="s">
        <v>236</v>
      </c>
      <c r="CN814" t="s">
        <v>45</v>
      </c>
      <c r="CO814">
        <v>1</v>
      </c>
      <c r="CP814">
        <v>42233988</v>
      </c>
      <c r="CQ814" s="73">
        <v>45361.946527777778</v>
      </c>
      <c r="CR814" t="s">
        <v>229</v>
      </c>
      <c r="CS814" t="s">
        <v>111</v>
      </c>
      <c r="CU814" t="s">
        <v>225</v>
      </c>
    </row>
    <row r="815" spans="1:99">
      <c r="A815" t="s">
        <v>42</v>
      </c>
      <c r="B815" t="s">
        <v>92</v>
      </c>
      <c r="J815" t="s">
        <v>225</v>
      </c>
      <c r="K815" t="s">
        <v>225</v>
      </c>
      <c r="M815" s="73">
        <v>45361.940972222219</v>
      </c>
      <c r="N815">
        <v>42234492</v>
      </c>
      <c r="O815">
        <v>-7365</v>
      </c>
      <c r="P815" t="s">
        <v>45</v>
      </c>
      <c r="Q815">
        <v>-7365</v>
      </c>
      <c r="R815" t="s">
        <v>45</v>
      </c>
      <c r="U815" t="s">
        <v>226</v>
      </c>
      <c r="V815" t="s">
        <v>476</v>
      </c>
      <c r="W815" t="s">
        <v>228</v>
      </c>
      <c r="X815" t="s">
        <v>229</v>
      </c>
      <c r="Y815" t="s">
        <v>42</v>
      </c>
      <c r="AD815" t="s">
        <v>45</v>
      </c>
      <c r="AE815">
        <v>-7365</v>
      </c>
      <c r="AF815">
        <v>42234492</v>
      </c>
      <c r="AG815" s="73">
        <v>45361.940972222219</v>
      </c>
      <c r="AH815" t="s">
        <v>226</v>
      </c>
      <c r="AI815" t="s">
        <v>476</v>
      </c>
      <c r="AJ815" t="s">
        <v>228</v>
      </c>
      <c r="AK815" t="s">
        <v>229</v>
      </c>
      <c r="AL815" t="s">
        <v>42</v>
      </c>
      <c r="AP815" t="s">
        <v>230</v>
      </c>
      <c r="AQ815" t="s">
        <v>231</v>
      </c>
      <c r="AT815" t="s">
        <v>232</v>
      </c>
      <c r="AU815">
        <v>-99</v>
      </c>
      <c r="AV815" t="s">
        <v>45</v>
      </c>
      <c r="AW815">
        <v>-7365</v>
      </c>
      <c r="AX815">
        <v>42234492</v>
      </c>
      <c r="AY815" s="73">
        <v>45361.940972222219</v>
      </c>
      <c r="AZ815" t="s">
        <v>226</v>
      </c>
      <c r="BA815" t="s">
        <v>476</v>
      </c>
      <c r="BB815" t="s">
        <v>228</v>
      </c>
      <c r="BC815" t="s">
        <v>229</v>
      </c>
      <c r="BD815" t="s">
        <v>42</v>
      </c>
      <c r="BI815" t="s">
        <v>233</v>
      </c>
      <c r="BJ815" t="s">
        <v>0</v>
      </c>
      <c r="BK815">
        <v>42234476</v>
      </c>
      <c r="BN815" t="s">
        <v>45</v>
      </c>
      <c r="BR815">
        <v>-7365</v>
      </c>
      <c r="BS815">
        <v>42234492</v>
      </c>
      <c r="BT815" s="73">
        <v>45361.940972222219</v>
      </c>
      <c r="BU815" t="s">
        <v>226</v>
      </c>
      <c r="BV815" t="s">
        <v>476</v>
      </c>
      <c r="BW815" t="s">
        <v>228</v>
      </c>
      <c r="CH815" t="s">
        <v>229</v>
      </c>
      <c r="CI815" t="s">
        <v>42</v>
      </c>
      <c r="CJ815" t="s">
        <v>226</v>
      </c>
      <c r="CK815" t="s">
        <v>476</v>
      </c>
      <c r="CL815" t="s">
        <v>228</v>
      </c>
      <c r="CM815" t="s">
        <v>234</v>
      </c>
      <c r="CN815" t="s">
        <v>45</v>
      </c>
      <c r="CO815">
        <v>-7365</v>
      </c>
      <c r="CP815">
        <v>42234492</v>
      </c>
      <c r="CQ815" s="73">
        <v>45361.940972222219</v>
      </c>
      <c r="CR815" t="s">
        <v>229</v>
      </c>
      <c r="CS815" t="s">
        <v>42</v>
      </c>
      <c r="CU815" t="s">
        <v>225</v>
      </c>
    </row>
    <row r="816" spans="1:99">
      <c r="A816" t="s">
        <v>99</v>
      </c>
      <c r="B816" t="s">
        <v>98</v>
      </c>
      <c r="J816" t="s">
        <v>225</v>
      </c>
      <c r="K816" t="s">
        <v>225</v>
      </c>
      <c r="M816" s="73">
        <v>45361.940972222219</v>
      </c>
      <c r="N816">
        <v>42234491</v>
      </c>
      <c r="O816">
        <v>-368</v>
      </c>
      <c r="P816" t="s">
        <v>73</v>
      </c>
      <c r="Q816">
        <v>-368</v>
      </c>
      <c r="R816" t="s">
        <v>73</v>
      </c>
      <c r="U816" t="s">
        <v>226</v>
      </c>
      <c r="V816" t="s">
        <v>476</v>
      </c>
      <c r="W816" t="s">
        <v>228</v>
      </c>
      <c r="X816" t="s">
        <v>229</v>
      </c>
      <c r="Y816" t="s">
        <v>99</v>
      </c>
      <c r="AD816" t="s">
        <v>73</v>
      </c>
      <c r="AE816">
        <v>-368</v>
      </c>
      <c r="AF816">
        <v>42234491</v>
      </c>
      <c r="AG816" s="73">
        <v>45361.940972222219</v>
      </c>
      <c r="AH816" t="s">
        <v>226</v>
      </c>
      <c r="AI816" t="s">
        <v>476</v>
      </c>
      <c r="AJ816" t="s">
        <v>228</v>
      </c>
      <c r="AK816" t="s">
        <v>229</v>
      </c>
      <c r="AL816" t="s">
        <v>99</v>
      </c>
      <c r="AP816" t="s">
        <v>230</v>
      </c>
      <c r="AQ816" t="s">
        <v>231</v>
      </c>
      <c r="AT816" t="s">
        <v>232</v>
      </c>
      <c r="AU816">
        <v>-99</v>
      </c>
      <c r="AV816" t="s">
        <v>73</v>
      </c>
      <c r="AW816">
        <v>-368</v>
      </c>
      <c r="AX816">
        <v>42234491</v>
      </c>
      <c r="AY816" s="73">
        <v>45361.940972222219</v>
      </c>
      <c r="AZ816" t="s">
        <v>226</v>
      </c>
      <c r="BA816" t="s">
        <v>476</v>
      </c>
      <c r="BB816" t="s">
        <v>228</v>
      </c>
      <c r="BC816" t="s">
        <v>229</v>
      </c>
      <c r="BD816" t="s">
        <v>99</v>
      </c>
      <c r="BI816" t="s">
        <v>233</v>
      </c>
      <c r="BJ816" t="s">
        <v>0</v>
      </c>
      <c r="BK816">
        <v>42234476</v>
      </c>
      <c r="BN816" t="s">
        <v>73</v>
      </c>
      <c r="BR816">
        <v>-368</v>
      </c>
      <c r="BS816">
        <v>42234491</v>
      </c>
      <c r="BT816" s="73">
        <v>45361.940972222219</v>
      </c>
      <c r="BU816" t="s">
        <v>226</v>
      </c>
      <c r="BV816" t="s">
        <v>476</v>
      </c>
      <c r="BW816" t="s">
        <v>228</v>
      </c>
      <c r="CH816" t="s">
        <v>229</v>
      </c>
      <c r="CI816" t="s">
        <v>99</v>
      </c>
      <c r="CJ816" t="s">
        <v>226</v>
      </c>
      <c r="CK816" t="s">
        <v>476</v>
      </c>
      <c r="CL816" t="s">
        <v>228</v>
      </c>
      <c r="CM816" t="s">
        <v>234</v>
      </c>
      <c r="CN816" t="s">
        <v>73</v>
      </c>
      <c r="CO816">
        <v>-368</v>
      </c>
      <c r="CP816">
        <v>42234491</v>
      </c>
      <c r="CQ816" s="73">
        <v>45361.940972222219</v>
      </c>
      <c r="CR816" t="s">
        <v>229</v>
      </c>
      <c r="CS816" t="s">
        <v>99</v>
      </c>
      <c r="CU816" t="s">
        <v>225</v>
      </c>
    </row>
    <row r="817" spans="1:99">
      <c r="A817" t="s">
        <v>103</v>
      </c>
      <c r="B817" t="s">
        <v>98</v>
      </c>
      <c r="J817" t="s">
        <v>225</v>
      </c>
      <c r="K817" t="s">
        <v>225</v>
      </c>
      <c r="M817" s="73">
        <v>45361.940972222219</v>
      </c>
      <c r="N817">
        <v>42234490</v>
      </c>
      <c r="O817">
        <v>7360</v>
      </c>
      <c r="P817" t="s">
        <v>104</v>
      </c>
      <c r="Q817">
        <v>7360</v>
      </c>
      <c r="R817" t="s">
        <v>104</v>
      </c>
      <c r="S817">
        <v>368</v>
      </c>
      <c r="T817" t="s">
        <v>73</v>
      </c>
      <c r="U817" t="s">
        <v>226</v>
      </c>
      <c r="V817" t="s">
        <v>476</v>
      </c>
      <c r="W817" t="s">
        <v>235</v>
      </c>
      <c r="X817" t="s">
        <v>229</v>
      </c>
      <c r="Y817" t="s">
        <v>103</v>
      </c>
      <c r="AD817" t="s">
        <v>104</v>
      </c>
      <c r="AE817">
        <v>7360</v>
      </c>
      <c r="AF817">
        <v>42234490</v>
      </c>
      <c r="AG817" s="73">
        <v>45361.940972222219</v>
      </c>
      <c r="AH817" t="s">
        <v>226</v>
      </c>
      <c r="AI817" t="s">
        <v>476</v>
      </c>
      <c r="AJ817" t="s">
        <v>235</v>
      </c>
      <c r="AK817" t="s">
        <v>229</v>
      </c>
      <c r="AL817" t="s">
        <v>103</v>
      </c>
      <c r="AP817" t="s">
        <v>230</v>
      </c>
      <c r="AQ817" t="s">
        <v>231</v>
      </c>
      <c r="AT817" t="s">
        <v>232</v>
      </c>
      <c r="AU817">
        <v>-99</v>
      </c>
      <c r="AV817" t="s">
        <v>104</v>
      </c>
      <c r="AW817">
        <v>7360</v>
      </c>
      <c r="AX817">
        <v>42234490</v>
      </c>
      <c r="AY817" s="73">
        <v>45361.940972222219</v>
      </c>
      <c r="AZ817" t="s">
        <v>226</v>
      </c>
      <c r="BA817" t="s">
        <v>476</v>
      </c>
      <c r="BB817" t="s">
        <v>235</v>
      </c>
      <c r="BC817" t="s">
        <v>229</v>
      </c>
      <c r="BD817" t="s">
        <v>103</v>
      </c>
      <c r="BI817" t="s">
        <v>233</v>
      </c>
      <c r="BJ817" t="s">
        <v>0</v>
      </c>
      <c r="BK817">
        <v>42234476</v>
      </c>
      <c r="BN817" t="s">
        <v>104</v>
      </c>
      <c r="BO817">
        <v>42234482</v>
      </c>
      <c r="BR817">
        <v>7360</v>
      </c>
      <c r="BS817">
        <v>42234490</v>
      </c>
      <c r="BT817" s="73">
        <v>45361.940972222219</v>
      </c>
      <c r="BU817" t="s">
        <v>226</v>
      </c>
      <c r="BV817" t="s">
        <v>476</v>
      </c>
      <c r="BW817" t="s">
        <v>235</v>
      </c>
      <c r="CH817" t="s">
        <v>229</v>
      </c>
      <c r="CI817" t="s">
        <v>103</v>
      </c>
      <c r="CJ817" t="s">
        <v>226</v>
      </c>
      <c r="CK817" t="s">
        <v>476</v>
      </c>
      <c r="CL817" t="s">
        <v>235</v>
      </c>
      <c r="CM817" t="s">
        <v>236</v>
      </c>
      <c r="CN817" t="s">
        <v>104</v>
      </c>
      <c r="CO817">
        <v>7360</v>
      </c>
      <c r="CP817">
        <v>42234490</v>
      </c>
      <c r="CQ817" s="73">
        <v>45361.940972222219</v>
      </c>
      <c r="CR817" t="s">
        <v>229</v>
      </c>
      <c r="CS817" t="s">
        <v>103</v>
      </c>
      <c r="CU817" t="s">
        <v>225</v>
      </c>
    </row>
    <row r="818" spans="1:99">
      <c r="A818" t="s">
        <v>111</v>
      </c>
      <c r="B818" t="s">
        <v>77</v>
      </c>
      <c r="J818" t="s">
        <v>225</v>
      </c>
      <c r="K818" t="s">
        <v>225</v>
      </c>
      <c r="M818" s="73">
        <v>45361.940972222219</v>
      </c>
      <c r="N818">
        <v>42234489</v>
      </c>
      <c r="O818">
        <v>5</v>
      </c>
      <c r="P818" t="s">
        <v>45</v>
      </c>
      <c r="Q818">
        <v>5</v>
      </c>
      <c r="R818" t="s">
        <v>45</v>
      </c>
      <c r="U818" t="s">
        <v>226</v>
      </c>
      <c r="V818" t="s">
        <v>476</v>
      </c>
      <c r="W818" t="s">
        <v>237</v>
      </c>
      <c r="X818" t="s">
        <v>229</v>
      </c>
      <c r="Y818" t="s">
        <v>111</v>
      </c>
      <c r="AD818" t="s">
        <v>45</v>
      </c>
      <c r="AE818">
        <v>5</v>
      </c>
      <c r="AF818">
        <v>42234489</v>
      </c>
      <c r="AG818" s="73">
        <v>45361.940972222219</v>
      </c>
      <c r="AH818" t="s">
        <v>226</v>
      </c>
      <c r="AI818" t="s">
        <v>476</v>
      </c>
      <c r="AJ818" t="s">
        <v>237</v>
      </c>
      <c r="AK818" t="s">
        <v>229</v>
      </c>
      <c r="AL818" t="s">
        <v>111</v>
      </c>
      <c r="AP818" t="s">
        <v>230</v>
      </c>
      <c r="AQ818" t="s">
        <v>231</v>
      </c>
      <c r="AT818" t="s">
        <v>232</v>
      </c>
      <c r="AU818">
        <v>-99</v>
      </c>
      <c r="AV818" t="s">
        <v>45</v>
      </c>
      <c r="AW818">
        <v>5</v>
      </c>
      <c r="AX818">
        <v>42234489</v>
      </c>
      <c r="AY818" s="73">
        <v>45361.940972222219</v>
      </c>
      <c r="AZ818" t="s">
        <v>226</v>
      </c>
      <c r="BA818" t="s">
        <v>476</v>
      </c>
      <c r="BB818" t="s">
        <v>237</v>
      </c>
      <c r="BC818" t="s">
        <v>229</v>
      </c>
      <c r="BD818" t="s">
        <v>111</v>
      </c>
      <c r="BI818" t="s">
        <v>233</v>
      </c>
      <c r="BJ818" t="s">
        <v>0</v>
      </c>
      <c r="BK818">
        <v>42234476</v>
      </c>
      <c r="BN818" t="s">
        <v>45</v>
      </c>
      <c r="BO818">
        <v>42234484</v>
      </c>
      <c r="BR818">
        <v>5</v>
      </c>
      <c r="BS818">
        <v>42234489</v>
      </c>
      <c r="BT818" s="73">
        <v>45361.940972222219</v>
      </c>
      <c r="BU818" t="s">
        <v>226</v>
      </c>
      <c r="BV818" t="s">
        <v>476</v>
      </c>
      <c r="BW818" t="s">
        <v>237</v>
      </c>
      <c r="CH818" t="s">
        <v>229</v>
      </c>
      <c r="CI818" t="s">
        <v>111</v>
      </c>
      <c r="CJ818" t="s">
        <v>226</v>
      </c>
      <c r="CK818" t="s">
        <v>476</v>
      </c>
      <c r="CL818" t="s">
        <v>237</v>
      </c>
      <c r="CM818" t="s">
        <v>236</v>
      </c>
      <c r="CN818" t="s">
        <v>45</v>
      </c>
      <c r="CO818">
        <v>5</v>
      </c>
      <c r="CP818">
        <v>42234489</v>
      </c>
      <c r="CQ818" s="73">
        <v>45361.940972222219</v>
      </c>
      <c r="CR818" t="s">
        <v>229</v>
      </c>
      <c r="CS818" t="s">
        <v>111</v>
      </c>
      <c r="CU818" t="s">
        <v>225</v>
      </c>
    </row>
    <row r="819" spans="1:99">
      <c r="A819" t="s">
        <v>52</v>
      </c>
      <c r="B819" t="s">
        <v>92</v>
      </c>
      <c r="J819" t="s">
        <v>225</v>
      </c>
      <c r="K819" t="s">
        <v>225</v>
      </c>
      <c r="M819" s="73">
        <v>45361.94027777778</v>
      </c>
      <c r="N819">
        <v>42234467</v>
      </c>
      <c r="O819">
        <v>-3554</v>
      </c>
      <c r="P819" t="s">
        <v>45</v>
      </c>
      <c r="Q819">
        <v>-3554</v>
      </c>
      <c r="R819" t="s">
        <v>45</v>
      </c>
      <c r="U819" t="s">
        <v>226</v>
      </c>
      <c r="V819" t="s">
        <v>477</v>
      </c>
      <c r="W819" t="s">
        <v>228</v>
      </c>
      <c r="X819" t="s">
        <v>229</v>
      </c>
      <c r="Y819" t="s">
        <v>52</v>
      </c>
      <c r="AD819" t="s">
        <v>45</v>
      </c>
      <c r="AE819">
        <v>-3554</v>
      </c>
      <c r="AF819">
        <v>42234467</v>
      </c>
      <c r="AG819" s="73">
        <v>45361.94027777778</v>
      </c>
      <c r="AH819" t="s">
        <v>226</v>
      </c>
      <c r="AI819" t="s">
        <v>477</v>
      </c>
      <c r="AJ819" t="s">
        <v>228</v>
      </c>
      <c r="AK819" t="s">
        <v>229</v>
      </c>
      <c r="AL819" t="s">
        <v>52</v>
      </c>
      <c r="AP819" t="s">
        <v>230</v>
      </c>
      <c r="AQ819" t="s">
        <v>231</v>
      </c>
      <c r="AT819" t="s">
        <v>232</v>
      </c>
      <c r="AU819">
        <v>-99</v>
      </c>
      <c r="AV819" t="s">
        <v>45</v>
      </c>
      <c r="AW819">
        <v>-3554</v>
      </c>
      <c r="AX819">
        <v>42234467</v>
      </c>
      <c r="AY819" s="73">
        <v>45361.94027777778</v>
      </c>
      <c r="AZ819" t="s">
        <v>226</v>
      </c>
      <c r="BA819" t="s">
        <v>477</v>
      </c>
      <c r="BB819" t="s">
        <v>228</v>
      </c>
      <c r="BC819" t="s">
        <v>229</v>
      </c>
      <c r="BD819" t="s">
        <v>52</v>
      </c>
      <c r="BI819" t="s">
        <v>233</v>
      </c>
      <c r="BJ819" t="s">
        <v>0</v>
      </c>
      <c r="BK819">
        <v>42234444</v>
      </c>
      <c r="BN819" t="s">
        <v>45</v>
      </c>
      <c r="BR819">
        <v>-3554</v>
      </c>
      <c r="BS819">
        <v>42234467</v>
      </c>
      <c r="BT819" s="73">
        <v>45361.94027777778</v>
      </c>
      <c r="BU819" t="s">
        <v>226</v>
      </c>
      <c r="BV819" t="s">
        <v>477</v>
      </c>
      <c r="BW819" t="s">
        <v>228</v>
      </c>
      <c r="CH819" t="s">
        <v>229</v>
      </c>
      <c r="CI819" t="s">
        <v>52</v>
      </c>
      <c r="CJ819" t="s">
        <v>226</v>
      </c>
      <c r="CK819" t="s">
        <v>477</v>
      </c>
      <c r="CL819" t="s">
        <v>228</v>
      </c>
      <c r="CM819" t="s">
        <v>234</v>
      </c>
      <c r="CN819" t="s">
        <v>45</v>
      </c>
      <c r="CO819">
        <v>-3554</v>
      </c>
      <c r="CP819">
        <v>42234467</v>
      </c>
      <c r="CQ819" s="73">
        <v>45361.94027777778</v>
      </c>
      <c r="CR819" t="s">
        <v>229</v>
      </c>
      <c r="CS819" t="s">
        <v>52</v>
      </c>
      <c r="CU819" t="s">
        <v>225</v>
      </c>
    </row>
    <row r="820" spans="1:99">
      <c r="A820" t="s">
        <v>101</v>
      </c>
      <c r="B820" t="s">
        <v>98</v>
      </c>
      <c r="J820" t="s">
        <v>225</v>
      </c>
      <c r="K820" t="s">
        <v>225</v>
      </c>
      <c r="M820" s="73">
        <v>45361.94027777778</v>
      </c>
      <c r="N820">
        <v>42234466</v>
      </c>
      <c r="O820">
        <v>-177.5</v>
      </c>
      <c r="P820" t="s">
        <v>73</v>
      </c>
      <c r="Q820">
        <v>-177.5</v>
      </c>
      <c r="R820" t="s">
        <v>73</v>
      </c>
      <c r="U820" t="s">
        <v>226</v>
      </c>
      <c r="V820" t="s">
        <v>477</v>
      </c>
      <c r="W820" t="s">
        <v>228</v>
      </c>
      <c r="X820" t="s">
        <v>229</v>
      </c>
      <c r="Y820" t="s">
        <v>101</v>
      </c>
      <c r="AD820" t="s">
        <v>73</v>
      </c>
      <c r="AE820">
        <v>-177.5</v>
      </c>
      <c r="AF820">
        <v>42234466</v>
      </c>
      <c r="AG820" s="73">
        <v>45361.94027777778</v>
      </c>
      <c r="AH820" t="s">
        <v>226</v>
      </c>
      <c r="AI820" t="s">
        <v>477</v>
      </c>
      <c r="AJ820" t="s">
        <v>228</v>
      </c>
      <c r="AK820" t="s">
        <v>229</v>
      </c>
      <c r="AL820" t="s">
        <v>101</v>
      </c>
      <c r="AP820" t="s">
        <v>230</v>
      </c>
      <c r="AQ820" t="s">
        <v>231</v>
      </c>
      <c r="AT820" t="s">
        <v>232</v>
      </c>
      <c r="AU820">
        <v>-99</v>
      </c>
      <c r="AV820" t="s">
        <v>73</v>
      </c>
      <c r="AW820">
        <v>-177.5</v>
      </c>
      <c r="AX820">
        <v>42234466</v>
      </c>
      <c r="AY820" s="73">
        <v>45361.94027777778</v>
      </c>
      <c r="AZ820" t="s">
        <v>226</v>
      </c>
      <c r="BA820" t="s">
        <v>477</v>
      </c>
      <c r="BB820" t="s">
        <v>228</v>
      </c>
      <c r="BC820" t="s">
        <v>229</v>
      </c>
      <c r="BD820" t="s">
        <v>101</v>
      </c>
      <c r="BI820" t="s">
        <v>233</v>
      </c>
      <c r="BJ820" t="s">
        <v>0</v>
      </c>
      <c r="BK820">
        <v>42234444</v>
      </c>
      <c r="BN820" t="s">
        <v>73</v>
      </c>
      <c r="BR820">
        <v>-177.5</v>
      </c>
      <c r="BS820">
        <v>42234466</v>
      </c>
      <c r="BT820" s="73">
        <v>45361.94027777778</v>
      </c>
      <c r="BU820" t="s">
        <v>226</v>
      </c>
      <c r="BV820" t="s">
        <v>477</v>
      </c>
      <c r="BW820" t="s">
        <v>228</v>
      </c>
      <c r="CH820" t="s">
        <v>229</v>
      </c>
      <c r="CI820" t="s">
        <v>101</v>
      </c>
      <c r="CJ820" t="s">
        <v>226</v>
      </c>
      <c r="CK820" t="s">
        <v>477</v>
      </c>
      <c r="CL820" t="s">
        <v>228</v>
      </c>
      <c r="CM820" t="s">
        <v>234</v>
      </c>
      <c r="CN820" t="s">
        <v>73</v>
      </c>
      <c r="CO820">
        <v>-177.5</v>
      </c>
      <c r="CP820">
        <v>42234466</v>
      </c>
      <c r="CQ820" s="73">
        <v>45361.94027777778</v>
      </c>
      <c r="CR820" t="s">
        <v>229</v>
      </c>
      <c r="CS820" t="s">
        <v>101</v>
      </c>
      <c r="CU820" t="s">
        <v>225</v>
      </c>
    </row>
    <row r="821" spans="1:99">
      <c r="A821" t="s">
        <v>107</v>
      </c>
      <c r="B821" t="s">
        <v>98</v>
      </c>
      <c r="J821" t="s">
        <v>225</v>
      </c>
      <c r="K821" t="s">
        <v>225</v>
      </c>
      <c r="M821" s="73">
        <v>45361.94027777778</v>
      </c>
      <c r="N821">
        <v>42234465</v>
      </c>
      <c r="O821">
        <v>3550</v>
      </c>
      <c r="P821" t="s">
        <v>104</v>
      </c>
      <c r="Q821">
        <v>3550</v>
      </c>
      <c r="R821" t="s">
        <v>104</v>
      </c>
      <c r="S821">
        <v>177.5</v>
      </c>
      <c r="T821" t="s">
        <v>73</v>
      </c>
      <c r="U821" t="s">
        <v>226</v>
      </c>
      <c r="V821" t="s">
        <v>477</v>
      </c>
      <c r="W821" t="s">
        <v>235</v>
      </c>
      <c r="X821" t="s">
        <v>229</v>
      </c>
      <c r="Y821" t="s">
        <v>107</v>
      </c>
      <c r="AD821" t="s">
        <v>104</v>
      </c>
      <c r="AE821">
        <v>3550</v>
      </c>
      <c r="AF821">
        <v>42234465</v>
      </c>
      <c r="AG821" s="73">
        <v>45361.94027777778</v>
      </c>
      <c r="AH821" t="s">
        <v>226</v>
      </c>
      <c r="AI821" t="s">
        <v>477</v>
      </c>
      <c r="AJ821" t="s">
        <v>235</v>
      </c>
      <c r="AK821" t="s">
        <v>229</v>
      </c>
      <c r="AL821" t="s">
        <v>107</v>
      </c>
      <c r="AP821" t="s">
        <v>230</v>
      </c>
      <c r="AQ821" t="s">
        <v>231</v>
      </c>
      <c r="AT821" t="s">
        <v>232</v>
      </c>
      <c r="AU821">
        <v>-99</v>
      </c>
      <c r="AV821" t="s">
        <v>104</v>
      </c>
      <c r="AW821">
        <v>3550</v>
      </c>
      <c r="AX821">
        <v>42234465</v>
      </c>
      <c r="AY821" s="73">
        <v>45361.94027777778</v>
      </c>
      <c r="AZ821" t="s">
        <v>226</v>
      </c>
      <c r="BA821" t="s">
        <v>477</v>
      </c>
      <c r="BB821" t="s">
        <v>235</v>
      </c>
      <c r="BC821" t="s">
        <v>229</v>
      </c>
      <c r="BD821" t="s">
        <v>107</v>
      </c>
      <c r="BI821" t="s">
        <v>233</v>
      </c>
      <c r="BJ821" t="s">
        <v>0</v>
      </c>
      <c r="BK821">
        <v>42234444</v>
      </c>
      <c r="BN821" t="s">
        <v>104</v>
      </c>
      <c r="BO821">
        <v>42234457</v>
      </c>
      <c r="BR821">
        <v>3550</v>
      </c>
      <c r="BS821">
        <v>42234465</v>
      </c>
      <c r="BT821" s="73">
        <v>45361.94027777778</v>
      </c>
      <c r="BU821" t="s">
        <v>226</v>
      </c>
      <c r="BV821" t="s">
        <v>477</v>
      </c>
      <c r="BW821" t="s">
        <v>235</v>
      </c>
      <c r="CH821" t="s">
        <v>229</v>
      </c>
      <c r="CI821" t="s">
        <v>107</v>
      </c>
      <c r="CJ821" t="s">
        <v>226</v>
      </c>
      <c r="CK821" t="s">
        <v>477</v>
      </c>
      <c r="CL821" t="s">
        <v>235</v>
      </c>
      <c r="CM821" t="s">
        <v>236</v>
      </c>
      <c r="CN821" t="s">
        <v>104</v>
      </c>
      <c r="CO821">
        <v>3550</v>
      </c>
      <c r="CP821">
        <v>42234465</v>
      </c>
      <c r="CQ821" s="73">
        <v>45361.94027777778</v>
      </c>
      <c r="CR821" t="s">
        <v>229</v>
      </c>
      <c r="CS821" t="s">
        <v>107</v>
      </c>
      <c r="CU821" t="s">
        <v>225</v>
      </c>
    </row>
    <row r="822" spans="1:99">
      <c r="A822" t="s">
        <v>111</v>
      </c>
      <c r="B822" t="s">
        <v>77</v>
      </c>
      <c r="J822" t="s">
        <v>225</v>
      </c>
      <c r="K822" t="s">
        <v>225</v>
      </c>
      <c r="M822" s="73">
        <v>45361.94027777778</v>
      </c>
      <c r="N822">
        <v>42234464</v>
      </c>
      <c r="O822">
        <v>4</v>
      </c>
      <c r="P822" t="s">
        <v>45</v>
      </c>
      <c r="Q822">
        <v>4</v>
      </c>
      <c r="R822" t="s">
        <v>45</v>
      </c>
      <c r="U822" t="s">
        <v>226</v>
      </c>
      <c r="V822" t="s">
        <v>477</v>
      </c>
      <c r="W822" t="s">
        <v>237</v>
      </c>
      <c r="X822" t="s">
        <v>229</v>
      </c>
      <c r="Y822" t="s">
        <v>111</v>
      </c>
      <c r="AD822" t="s">
        <v>45</v>
      </c>
      <c r="AE822">
        <v>4</v>
      </c>
      <c r="AF822">
        <v>42234464</v>
      </c>
      <c r="AG822" s="73">
        <v>45361.94027777778</v>
      </c>
      <c r="AH822" t="s">
        <v>226</v>
      </c>
      <c r="AI822" t="s">
        <v>477</v>
      </c>
      <c r="AJ822" t="s">
        <v>237</v>
      </c>
      <c r="AK822" t="s">
        <v>229</v>
      </c>
      <c r="AL822" t="s">
        <v>111</v>
      </c>
      <c r="AP822" t="s">
        <v>230</v>
      </c>
      <c r="AQ822" t="s">
        <v>231</v>
      </c>
      <c r="AT822" t="s">
        <v>232</v>
      </c>
      <c r="AU822">
        <v>-99</v>
      </c>
      <c r="AV822" t="s">
        <v>45</v>
      </c>
      <c r="AW822">
        <v>4</v>
      </c>
      <c r="AX822">
        <v>42234464</v>
      </c>
      <c r="AY822" s="73">
        <v>45361.94027777778</v>
      </c>
      <c r="AZ822" t="s">
        <v>226</v>
      </c>
      <c r="BA822" t="s">
        <v>477</v>
      </c>
      <c r="BB822" t="s">
        <v>237</v>
      </c>
      <c r="BC822" t="s">
        <v>229</v>
      </c>
      <c r="BD822" t="s">
        <v>111</v>
      </c>
      <c r="BI822" t="s">
        <v>233</v>
      </c>
      <c r="BJ822" t="s">
        <v>0</v>
      </c>
      <c r="BK822">
        <v>42234444</v>
      </c>
      <c r="BN822" t="s">
        <v>45</v>
      </c>
      <c r="BO822">
        <v>42234459</v>
      </c>
      <c r="BR822">
        <v>4</v>
      </c>
      <c r="BS822">
        <v>42234464</v>
      </c>
      <c r="BT822" s="73">
        <v>45361.94027777778</v>
      </c>
      <c r="BU822" t="s">
        <v>226</v>
      </c>
      <c r="BV822" t="s">
        <v>477</v>
      </c>
      <c r="BW822" t="s">
        <v>237</v>
      </c>
      <c r="CH822" t="s">
        <v>229</v>
      </c>
      <c r="CI822" t="s">
        <v>111</v>
      </c>
      <c r="CJ822" t="s">
        <v>226</v>
      </c>
      <c r="CK822" t="s">
        <v>477</v>
      </c>
      <c r="CL822" t="s">
        <v>237</v>
      </c>
      <c r="CM822" t="s">
        <v>236</v>
      </c>
      <c r="CN822" t="s">
        <v>45</v>
      </c>
      <c r="CO822">
        <v>4</v>
      </c>
      <c r="CP822">
        <v>42234464</v>
      </c>
      <c r="CQ822" s="73">
        <v>45361.94027777778</v>
      </c>
      <c r="CR822" t="s">
        <v>229</v>
      </c>
      <c r="CS822" t="s">
        <v>111</v>
      </c>
      <c r="CU822" t="s">
        <v>225</v>
      </c>
    </row>
    <row r="823" spans="1:99">
      <c r="A823" t="s">
        <v>93</v>
      </c>
      <c r="B823" t="s">
        <v>98</v>
      </c>
      <c r="J823" t="s">
        <v>225</v>
      </c>
      <c r="K823" t="s">
        <v>225</v>
      </c>
      <c r="M823" s="73">
        <v>45361.923611111109</v>
      </c>
      <c r="N823">
        <v>42228207</v>
      </c>
      <c r="O823">
        <v>494.33</v>
      </c>
      <c r="P823" t="s">
        <v>73</v>
      </c>
      <c r="Q823">
        <v>494.33</v>
      </c>
      <c r="R823" t="s">
        <v>73</v>
      </c>
      <c r="U823" t="s">
        <v>226</v>
      </c>
      <c r="V823" t="s">
        <v>478</v>
      </c>
      <c r="W823" t="s">
        <v>235</v>
      </c>
      <c r="X823" t="s">
        <v>229</v>
      </c>
      <c r="Y823" t="s">
        <v>93</v>
      </c>
      <c r="AD823" t="s">
        <v>73</v>
      </c>
      <c r="AE823">
        <v>494.33</v>
      </c>
      <c r="AF823">
        <v>42228207</v>
      </c>
      <c r="AG823" s="73">
        <v>45361.923611111109</v>
      </c>
      <c r="AH823" t="s">
        <v>226</v>
      </c>
      <c r="AI823" t="s">
        <v>478</v>
      </c>
      <c r="AJ823" t="s">
        <v>235</v>
      </c>
      <c r="AK823" t="s">
        <v>229</v>
      </c>
      <c r="AL823" t="s">
        <v>93</v>
      </c>
      <c r="AP823" t="s">
        <v>230</v>
      </c>
      <c r="AQ823" t="s">
        <v>231</v>
      </c>
      <c r="AT823" t="s">
        <v>232</v>
      </c>
      <c r="AU823">
        <v>-99</v>
      </c>
      <c r="AV823" t="s">
        <v>73</v>
      </c>
      <c r="AW823">
        <v>494.33</v>
      </c>
      <c r="AX823">
        <v>42228207</v>
      </c>
      <c r="AY823" s="73">
        <v>45361.923611111109</v>
      </c>
      <c r="AZ823" t="s">
        <v>226</v>
      </c>
      <c r="BA823" t="s">
        <v>478</v>
      </c>
      <c r="BB823" t="s">
        <v>235</v>
      </c>
      <c r="BC823" t="s">
        <v>229</v>
      </c>
      <c r="BD823" t="s">
        <v>93</v>
      </c>
      <c r="BI823" t="s">
        <v>233</v>
      </c>
      <c r="BJ823" t="s">
        <v>0</v>
      </c>
      <c r="BK823">
        <v>42228203</v>
      </c>
      <c r="BN823" t="s">
        <v>73</v>
      </c>
      <c r="BO823">
        <v>42228205</v>
      </c>
      <c r="BR823">
        <v>494.33</v>
      </c>
      <c r="BS823">
        <v>42228207</v>
      </c>
      <c r="BT823" s="73">
        <v>45361.923611111109</v>
      </c>
      <c r="BU823" t="s">
        <v>226</v>
      </c>
      <c r="BV823" t="s">
        <v>478</v>
      </c>
      <c r="BW823" t="s">
        <v>235</v>
      </c>
      <c r="CH823" t="s">
        <v>229</v>
      </c>
      <c r="CI823" t="s">
        <v>93</v>
      </c>
      <c r="CJ823" t="s">
        <v>226</v>
      </c>
      <c r="CK823" t="s">
        <v>478</v>
      </c>
      <c r="CL823" t="s">
        <v>235</v>
      </c>
      <c r="CM823" t="s">
        <v>236</v>
      </c>
      <c r="CN823" t="s">
        <v>73</v>
      </c>
      <c r="CO823">
        <v>494.33</v>
      </c>
      <c r="CP823">
        <v>42228207</v>
      </c>
      <c r="CQ823" s="73">
        <v>45361.923611111109</v>
      </c>
      <c r="CR823" t="s">
        <v>229</v>
      </c>
      <c r="CS823" t="s">
        <v>93</v>
      </c>
      <c r="CU823" t="s">
        <v>225</v>
      </c>
    </row>
    <row r="824" spans="1:99">
      <c r="A824" t="s">
        <v>71</v>
      </c>
      <c r="B824" t="s">
        <v>77</v>
      </c>
      <c r="J824" t="s">
        <v>225</v>
      </c>
      <c r="K824" t="s">
        <v>225</v>
      </c>
      <c r="M824" s="73">
        <v>45361.923611111109</v>
      </c>
      <c r="N824">
        <v>42228200</v>
      </c>
      <c r="O824">
        <v>0.2</v>
      </c>
      <c r="P824" t="s">
        <v>73</v>
      </c>
      <c r="Q824">
        <v>0.2</v>
      </c>
      <c r="R824" t="s">
        <v>73</v>
      </c>
      <c r="U824" t="s">
        <v>226</v>
      </c>
      <c r="V824" t="s">
        <v>478</v>
      </c>
      <c r="W824" t="s">
        <v>237</v>
      </c>
      <c r="X824" t="s">
        <v>229</v>
      </c>
      <c r="Y824" t="s">
        <v>71</v>
      </c>
      <c r="AD824" t="s">
        <v>73</v>
      </c>
      <c r="AE824">
        <v>0.2</v>
      </c>
      <c r="AF824">
        <v>42228200</v>
      </c>
      <c r="AG824" s="73">
        <v>45361.923611111109</v>
      </c>
      <c r="AH824" t="s">
        <v>226</v>
      </c>
      <c r="AI824" t="s">
        <v>478</v>
      </c>
      <c r="AJ824" t="s">
        <v>237</v>
      </c>
      <c r="AK824" t="s">
        <v>229</v>
      </c>
      <c r="AL824" t="s">
        <v>71</v>
      </c>
      <c r="AP824" t="s">
        <v>230</v>
      </c>
      <c r="AQ824" t="s">
        <v>231</v>
      </c>
      <c r="AT824" t="s">
        <v>232</v>
      </c>
      <c r="AU824">
        <v>-99</v>
      </c>
      <c r="AV824" t="s">
        <v>73</v>
      </c>
      <c r="AW824">
        <v>0.2</v>
      </c>
      <c r="AX824">
        <v>42228200</v>
      </c>
      <c r="AY824" s="73">
        <v>45361.923611111109</v>
      </c>
      <c r="AZ824" t="s">
        <v>226</v>
      </c>
      <c r="BA824" t="s">
        <v>478</v>
      </c>
      <c r="BB824" t="s">
        <v>237</v>
      </c>
      <c r="BC824" t="s">
        <v>229</v>
      </c>
      <c r="BD824" t="s">
        <v>71</v>
      </c>
      <c r="BI824" t="s">
        <v>233</v>
      </c>
      <c r="BJ824" t="s">
        <v>0</v>
      </c>
      <c r="BK824">
        <v>42228196</v>
      </c>
      <c r="BN824" t="s">
        <v>73</v>
      </c>
      <c r="BO824">
        <v>42228198</v>
      </c>
      <c r="BR824">
        <v>0.2</v>
      </c>
      <c r="BS824">
        <v>42228200</v>
      </c>
      <c r="BT824" s="73">
        <v>45361.923611111109</v>
      </c>
      <c r="BU824" t="s">
        <v>226</v>
      </c>
      <c r="BV824" t="s">
        <v>478</v>
      </c>
      <c r="BW824" t="s">
        <v>237</v>
      </c>
      <c r="CH824" t="s">
        <v>229</v>
      </c>
      <c r="CI824" t="s">
        <v>71</v>
      </c>
      <c r="CJ824" t="s">
        <v>226</v>
      </c>
      <c r="CK824" t="s">
        <v>478</v>
      </c>
      <c r="CL824" t="s">
        <v>237</v>
      </c>
      <c r="CM824" t="s">
        <v>236</v>
      </c>
      <c r="CN824" t="s">
        <v>73</v>
      </c>
      <c r="CO824">
        <v>0.2</v>
      </c>
      <c r="CP824">
        <v>42228200</v>
      </c>
      <c r="CQ824" s="73">
        <v>45361.923611111109</v>
      </c>
      <c r="CR824" t="s">
        <v>229</v>
      </c>
      <c r="CS824" t="s">
        <v>71</v>
      </c>
      <c r="CU824" t="s">
        <v>225</v>
      </c>
    </row>
    <row r="825" spans="1:99">
      <c r="A825" t="s">
        <v>131</v>
      </c>
      <c r="B825" t="s">
        <v>90</v>
      </c>
      <c r="J825" t="s">
        <v>225</v>
      </c>
      <c r="K825" t="s">
        <v>225</v>
      </c>
      <c r="M825" s="73">
        <v>45361.923611111109</v>
      </c>
      <c r="N825">
        <v>42228193</v>
      </c>
      <c r="O825">
        <v>-25.1</v>
      </c>
      <c r="P825" t="s">
        <v>73</v>
      </c>
      <c r="Q825">
        <v>-25.1</v>
      </c>
      <c r="R825" t="s">
        <v>73</v>
      </c>
      <c r="U825" t="s">
        <v>226</v>
      </c>
      <c r="V825" t="s">
        <v>478</v>
      </c>
      <c r="W825" t="s">
        <v>228</v>
      </c>
      <c r="X825" t="s">
        <v>229</v>
      </c>
      <c r="Y825" t="s">
        <v>131</v>
      </c>
      <c r="AD825" t="s">
        <v>73</v>
      </c>
      <c r="AE825">
        <v>-25.1</v>
      </c>
      <c r="AF825">
        <v>42228193</v>
      </c>
      <c r="AG825" s="73">
        <v>45361.923611111109</v>
      </c>
      <c r="AH825" t="s">
        <v>226</v>
      </c>
      <c r="AI825" t="s">
        <v>478</v>
      </c>
      <c r="AJ825" t="s">
        <v>228</v>
      </c>
      <c r="AK825" t="s">
        <v>229</v>
      </c>
      <c r="AL825" t="s">
        <v>131</v>
      </c>
      <c r="AP825" t="s">
        <v>230</v>
      </c>
      <c r="AQ825" t="s">
        <v>231</v>
      </c>
      <c r="AT825" t="s">
        <v>232</v>
      </c>
      <c r="AU825">
        <v>-99</v>
      </c>
      <c r="AV825" t="s">
        <v>73</v>
      </c>
      <c r="AW825">
        <v>-25.1</v>
      </c>
      <c r="AX825">
        <v>42228193</v>
      </c>
      <c r="AY825" s="73">
        <v>45361.923611111109</v>
      </c>
      <c r="AZ825" t="s">
        <v>226</v>
      </c>
      <c r="BA825" t="s">
        <v>478</v>
      </c>
      <c r="BB825" t="s">
        <v>228</v>
      </c>
      <c r="BC825" t="s">
        <v>229</v>
      </c>
      <c r="BD825" t="s">
        <v>131</v>
      </c>
      <c r="BI825" t="s">
        <v>233</v>
      </c>
      <c r="BJ825" t="s">
        <v>0</v>
      </c>
      <c r="BK825">
        <v>42228189</v>
      </c>
      <c r="BN825" t="s">
        <v>73</v>
      </c>
      <c r="BR825">
        <v>-25.1</v>
      </c>
      <c r="BS825">
        <v>42228193</v>
      </c>
      <c r="BT825" s="73">
        <v>45361.923611111109</v>
      </c>
      <c r="BU825" t="s">
        <v>226</v>
      </c>
      <c r="BV825" t="s">
        <v>478</v>
      </c>
      <c r="BW825" t="s">
        <v>228</v>
      </c>
      <c r="CH825" t="s">
        <v>229</v>
      </c>
      <c r="CI825" t="s">
        <v>131</v>
      </c>
      <c r="CJ825" t="s">
        <v>226</v>
      </c>
      <c r="CK825" t="s">
        <v>478</v>
      </c>
      <c r="CL825" t="s">
        <v>228</v>
      </c>
      <c r="CM825" t="s">
        <v>234</v>
      </c>
      <c r="CN825" t="s">
        <v>73</v>
      </c>
      <c r="CO825">
        <v>-25.1</v>
      </c>
      <c r="CP825">
        <v>42228193</v>
      </c>
      <c r="CQ825" s="73">
        <v>45361.923611111109</v>
      </c>
      <c r="CR825" t="s">
        <v>229</v>
      </c>
      <c r="CS825" t="s">
        <v>131</v>
      </c>
      <c r="CU825" t="s">
        <v>225</v>
      </c>
    </row>
    <row r="826" spans="1:99">
      <c r="A826" t="s">
        <v>133</v>
      </c>
      <c r="B826" t="s">
        <v>90</v>
      </c>
      <c r="J826" t="s">
        <v>225</v>
      </c>
      <c r="K826" t="s">
        <v>225</v>
      </c>
      <c r="M826" s="73">
        <v>45361.923611111109</v>
      </c>
      <c r="N826">
        <v>42228186</v>
      </c>
      <c r="O826">
        <v>-100.4</v>
      </c>
      <c r="P826" t="s">
        <v>73</v>
      </c>
      <c r="Q826">
        <v>-100.4</v>
      </c>
      <c r="R826" t="s">
        <v>73</v>
      </c>
      <c r="U826" t="s">
        <v>226</v>
      </c>
      <c r="V826" t="s">
        <v>478</v>
      </c>
      <c r="W826" t="s">
        <v>228</v>
      </c>
      <c r="X826" t="s">
        <v>229</v>
      </c>
      <c r="Y826" t="s">
        <v>133</v>
      </c>
      <c r="AD826" t="s">
        <v>73</v>
      </c>
      <c r="AE826">
        <v>-100.4</v>
      </c>
      <c r="AF826">
        <v>42228186</v>
      </c>
      <c r="AG826" s="73">
        <v>45361.923611111109</v>
      </c>
      <c r="AH826" t="s">
        <v>226</v>
      </c>
      <c r="AI826" t="s">
        <v>478</v>
      </c>
      <c r="AJ826" t="s">
        <v>228</v>
      </c>
      <c r="AK826" t="s">
        <v>229</v>
      </c>
      <c r="AL826" t="s">
        <v>133</v>
      </c>
      <c r="AP826" t="s">
        <v>230</v>
      </c>
      <c r="AQ826" t="s">
        <v>231</v>
      </c>
      <c r="AT826" t="s">
        <v>232</v>
      </c>
      <c r="AU826">
        <v>-99</v>
      </c>
      <c r="AV826" t="s">
        <v>73</v>
      </c>
      <c r="AW826">
        <v>-100.4</v>
      </c>
      <c r="AX826">
        <v>42228186</v>
      </c>
      <c r="AY826" s="73">
        <v>45361.923611111109</v>
      </c>
      <c r="AZ826" t="s">
        <v>226</v>
      </c>
      <c r="BA826" t="s">
        <v>478</v>
      </c>
      <c r="BB826" t="s">
        <v>228</v>
      </c>
      <c r="BC826" t="s">
        <v>229</v>
      </c>
      <c r="BD826" t="s">
        <v>133</v>
      </c>
      <c r="BI826" t="s">
        <v>233</v>
      </c>
      <c r="BJ826" t="s">
        <v>0</v>
      </c>
      <c r="BK826">
        <v>42228182</v>
      </c>
      <c r="BN826" t="s">
        <v>73</v>
      </c>
      <c r="BR826">
        <v>-100.4</v>
      </c>
      <c r="BS826">
        <v>42228186</v>
      </c>
      <c r="BT826" s="73">
        <v>45361.923611111109</v>
      </c>
      <c r="BU826" t="s">
        <v>226</v>
      </c>
      <c r="BV826" t="s">
        <v>478</v>
      </c>
      <c r="BW826" t="s">
        <v>228</v>
      </c>
      <c r="CH826" t="s">
        <v>229</v>
      </c>
      <c r="CI826" t="s">
        <v>133</v>
      </c>
      <c r="CJ826" t="s">
        <v>226</v>
      </c>
      <c r="CK826" t="s">
        <v>478</v>
      </c>
      <c r="CL826" t="s">
        <v>228</v>
      </c>
      <c r="CM826" t="s">
        <v>234</v>
      </c>
      <c r="CN826" t="s">
        <v>73</v>
      </c>
      <c r="CO826">
        <v>-100.4</v>
      </c>
      <c r="CP826">
        <v>42228186</v>
      </c>
      <c r="CQ826" s="73">
        <v>45361.923611111109</v>
      </c>
      <c r="CR826" t="s">
        <v>229</v>
      </c>
      <c r="CS826" t="s">
        <v>133</v>
      </c>
      <c r="CU826" t="s">
        <v>225</v>
      </c>
    </row>
    <row r="827" spans="1:99">
      <c r="A827" t="s">
        <v>87</v>
      </c>
      <c r="B827" t="s">
        <v>90</v>
      </c>
      <c r="J827" t="s">
        <v>225</v>
      </c>
      <c r="K827" t="s">
        <v>225</v>
      </c>
      <c r="M827" s="73">
        <v>45361.923611111109</v>
      </c>
      <c r="N827">
        <v>42228179</v>
      </c>
      <c r="O827">
        <v>-25.1</v>
      </c>
      <c r="P827" t="s">
        <v>73</v>
      </c>
      <c r="Q827">
        <v>-25.1</v>
      </c>
      <c r="R827" t="s">
        <v>73</v>
      </c>
      <c r="U827" t="s">
        <v>226</v>
      </c>
      <c r="V827" t="s">
        <v>478</v>
      </c>
      <c r="W827" t="s">
        <v>228</v>
      </c>
      <c r="X827" t="s">
        <v>229</v>
      </c>
      <c r="Y827" t="s">
        <v>87</v>
      </c>
      <c r="AD827" t="s">
        <v>73</v>
      </c>
      <c r="AE827">
        <v>-25.1</v>
      </c>
      <c r="AF827">
        <v>42228179</v>
      </c>
      <c r="AG827" s="73">
        <v>45361.923611111109</v>
      </c>
      <c r="AH827" t="s">
        <v>226</v>
      </c>
      <c r="AI827" t="s">
        <v>478</v>
      </c>
      <c r="AJ827" t="s">
        <v>228</v>
      </c>
      <c r="AK827" t="s">
        <v>229</v>
      </c>
      <c r="AL827" t="s">
        <v>87</v>
      </c>
      <c r="AP827" t="s">
        <v>230</v>
      </c>
      <c r="AQ827" t="s">
        <v>231</v>
      </c>
      <c r="AT827" t="s">
        <v>232</v>
      </c>
      <c r="AU827">
        <v>-99</v>
      </c>
      <c r="AV827" t="s">
        <v>73</v>
      </c>
      <c r="AW827">
        <v>-25.1</v>
      </c>
      <c r="AX827">
        <v>42228179</v>
      </c>
      <c r="AY827" s="73">
        <v>45361.923611111109</v>
      </c>
      <c r="AZ827" t="s">
        <v>226</v>
      </c>
      <c r="BA827" t="s">
        <v>478</v>
      </c>
      <c r="BB827" t="s">
        <v>228</v>
      </c>
      <c r="BC827" t="s">
        <v>229</v>
      </c>
      <c r="BD827" t="s">
        <v>87</v>
      </c>
      <c r="BI827" t="s">
        <v>233</v>
      </c>
      <c r="BJ827" t="s">
        <v>0</v>
      </c>
      <c r="BK827">
        <v>42228175</v>
      </c>
      <c r="BN827" t="s">
        <v>73</v>
      </c>
      <c r="BR827">
        <v>-25.1</v>
      </c>
      <c r="BS827">
        <v>42228179</v>
      </c>
      <c r="BT827" s="73">
        <v>45361.923611111109</v>
      </c>
      <c r="BU827" t="s">
        <v>226</v>
      </c>
      <c r="BV827" t="s">
        <v>478</v>
      </c>
      <c r="BW827" t="s">
        <v>228</v>
      </c>
      <c r="CH827" t="s">
        <v>229</v>
      </c>
      <c r="CI827" t="s">
        <v>87</v>
      </c>
      <c r="CJ827" t="s">
        <v>226</v>
      </c>
      <c r="CK827" t="s">
        <v>478</v>
      </c>
      <c r="CL827" t="s">
        <v>228</v>
      </c>
      <c r="CM827" t="s">
        <v>234</v>
      </c>
      <c r="CN827" t="s">
        <v>73</v>
      </c>
      <c r="CO827">
        <v>-25.1</v>
      </c>
      <c r="CP827">
        <v>42228179</v>
      </c>
      <c r="CQ827" s="73">
        <v>45361.923611111109</v>
      </c>
      <c r="CR827" t="s">
        <v>229</v>
      </c>
      <c r="CS827" t="s">
        <v>87</v>
      </c>
      <c r="CU827" t="s">
        <v>225</v>
      </c>
    </row>
    <row r="828" spans="1:99">
      <c r="A828" t="s">
        <v>127</v>
      </c>
      <c r="B828" t="s">
        <v>90</v>
      </c>
      <c r="J828" t="s">
        <v>225</v>
      </c>
      <c r="K828" t="s">
        <v>225</v>
      </c>
      <c r="M828" s="73">
        <v>45361.923611111109</v>
      </c>
      <c r="N828">
        <v>42228172</v>
      </c>
      <c r="O828">
        <v>-351.6</v>
      </c>
      <c r="P828" t="s">
        <v>73</v>
      </c>
      <c r="Q828">
        <v>-351.6</v>
      </c>
      <c r="R828" t="s">
        <v>73</v>
      </c>
      <c r="U828" t="s">
        <v>226</v>
      </c>
      <c r="V828" t="s">
        <v>478</v>
      </c>
      <c r="W828" t="s">
        <v>228</v>
      </c>
      <c r="X828" t="s">
        <v>229</v>
      </c>
      <c r="Y828" t="s">
        <v>127</v>
      </c>
      <c r="AD828" t="s">
        <v>73</v>
      </c>
      <c r="AE828">
        <v>-351.6</v>
      </c>
      <c r="AF828">
        <v>42228172</v>
      </c>
      <c r="AG828" s="73">
        <v>45361.923611111109</v>
      </c>
      <c r="AH828" t="s">
        <v>226</v>
      </c>
      <c r="AI828" t="s">
        <v>478</v>
      </c>
      <c r="AJ828" t="s">
        <v>228</v>
      </c>
      <c r="AK828" t="s">
        <v>229</v>
      </c>
      <c r="AL828" t="s">
        <v>127</v>
      </c>
      <c r="AP828" t="s">
        <v>230</v>
      </c>
      <c r="AQ828" t="s">
        <v>231</v>
      </c>
      <c r="AT828" t="s">
        <v>232</v>
      </c>
      <c r="AU828">
        <v>-99</v>
      </c>
      <c r="AV828" t="s">
        <v>73</v>
      </c>
      <c r="AW828">
        <v>-351.6</v>
      </c>
      <c r="AX828">
        <v>42228172</v>
      </c>
      <c r="AY828" s="73">
        <v>45361.923611111109</v>
      </c>
      <c r="AZ828" t="s">
        <v>226</v>
      </c>
      <c r="BA828" t="s">
        <v>478</v>
      </c>
      <c r="BB828" t="s">
        <v>228</v>
      </c>
      <c r="BC828" t="s">
        <v>229</v>
      </c>
      <c r="BD828" t="s">
        <v>127</v>
      </c>
      <c r="BI828" t="s">
        <v>233</v>
      </c>
      <c r="BJ828" t="s">
        <v>0</v>
      </c>
      <c r="BK828">
        <v>42228168</v>
      </c>
      <c r="BN828" t="s">
        <v>73</v>
      </c>
      <c r="BR828">
        <v>-351.6</v>
      </c>
      <c r="BS828">
        <v>42228172</v>
      </c>
      <c r="BT828" s="73">
        <v>45361.923611111109</v>
      </c>
      <c r="BU828" t="s">
        <v>226</v>
      </c>
      <c r="BV828" t="s">
        <v>478</v>
      </c>
      <c r="BW828" t="s">
        <v>228</v>
      </c>
      <c r="CH828" t="s">
        <v>229</v>
      </c>
      <c r="CI828" t="s">
        <v>127</v>
      </c>
      <c r="CJ828" t="s">
        <v>226</v>
      </c>
      <c r="CK828" t="s">
        <v>478</v>
      </c>
      <c r="CL828" t="s">
        <v>228</v>
      </c>
      <c r="CM828" t="s">
        <v>234</v>
      </c>
      <c r="CN828" t="s">
        <v>73</v>
      </c>
      <c r="CO828">
        <v>-351.6</v>
      </c>
      <c r="CP828">
        <v>42228172</v>
      </c>
      <c r="CQ828" s="73">
        <v>45361.923611111109</v>
      </c>
      <c r="CR828" t="s">
        <v>229</v>
      </c>
      <c r="CS828" t="s">
        <v>127</v>
      </c>
      <c r="CU828" t="s">
        <v>225</v>
      </c>
    </row>
    <row r="829" spans="1:99">
      <c r="A829" t="s">
        <v>42</v>
      </c>
      <c r="B829" t="s">
        <v>92</v>
      </c>
      <c r="J829" t="s">
        <v>225</v>
      </c>
      <c r="K829" t="s">
        <v>225</v>
      </c>
      <c r="M829" s="73">
        <v>45361.602083333331</v>
      </c>
      <c r="N829">
        <v>42233800</v>
      </c>
      <c r="O829">
        <v>-9990</v>
      </c>
      <c r="P829" t="s">
        <v>45</v>
      </c>
      <c r="Q829">
        <v>-9990</v>
      </c>
      <c r="R829" t="s">
        <v>45</v>
      </c>
      <c r="U829" t="s">
        <v>226</v>
      </c>
      <c r="V829" t="s">
        <v>479</v>
      </c>
      <c r="W829" t="s">
        <v>228</v>
      </c>
      <c r="X829" t="s">
        <v>229</v>
      </c>
      <c r="Y829" t="s">
        <v>42</v>
      </c>
      <c r="AD829" t="s">
        <v>45</v>
      </c>
      <c r="AE829">
        <v>-9990</v>
      </c>
      <c r="AF829">
        <v>42233800</v>
      </c>
      <c r="AG829" s="73">
        <v>45361.602083333331</v>
      </c>
      <c r="AH829" t="s">
        <v>226</v>
      </c>
      <c r="AI829" t="s">
        <v>479</v>
      </c>
      <c r="AJ829" t="s">
        <v>228</v>
      </c>
      <c r="AK829" t="s">
        <v>229</v>
      </c>
      <c r="AL829" t="s">
        <v>42</v>
      </c>
      <c r="AP829" t="s">
        <v>230</v>
      </c>
      <c r="AQ829" t="s">
        <v>231</v>
      </c>
      <c r="AT829" t="s">
        <v>232</v>
      </c>
      <c r="AU829">
        <v>-99</v>
      </c>
      <c r="AV829" t="s">
        <v>45</v>
      </c>
      <c r="AW829">
        <v>-9990</v>
      </c>
      <c r="AX829">
        <v>42233800</v>
      </c>
      <c r="AY829" s="73">
        <v>45361.602083333331</v>
      </c>
      <c r="AZ829" t="s">
        <v>226</v>
      </c>
      <c r="BA829" t="s">
        <v>479</v>
      </c>
      <c r="BB829" t="s">
        <v>228</v>
      </c>
      <c r="BC829" t="s">
        <v>229</v>
      </c>
      <c r="BD829" t="s">
        <v>42</v>
      </c>
      <c r="BI829" t="s">
        <v>233</v>
      </c>
      <c r="BJ829" t="s">
        <v>0</v>
      </c>
      <c r="BK829">
        <v>42233784</v>
      </c>
      <c r="BN829" t="s">
        <v>45</v>
      </c>
      <c r="BR829">
        <v>-9990</v>
      </c>
      <c r="BS829">
        <v>42233800</v>
      </c>
      <c r="BT829" s="73">
        <v>45361.602083333331</v>
      </c>
      <c r="BU829" t="s">
        <v>226</v>
      </c>
      <c r="BV829" t="s">
        <v>479</v>
      </c>
      <c r="BW829" t="s">
        <v>228</v>
      </c>
      <c r="CH829" t="s">
        <v>229</v>
      </c>
      <c r="CI829" t="s">
        <v>42</v>
      </c>
      <c r="CJ829" t="s">
        <v>226</v>
      </c>
      <c r="CK829" t="s">
        <v>479</v>
      </c>
      <c r="CL829" t="s">
        <v>228</v>
      </c>
      <c r="CM829" t="s">
        <v>234</v>
      </c>
      <c r="CN829" t="s">
        <v>45</v>
      </c>
      <c r="CO829">
        <v>-9990</v>
      </c>
      <c r="CP829">
        <v>42233800</v>
      </c>
      <c r="CQ829" s="73">
        <v>45361.602083333331</v>
      </c>
      <c r="CR829" t="s">
        <v>229</v>
      </c>
      <c r="CS829" t="s">
        <v>42</v>
      </c>
      <c r="CU829" t="s">
        <v>225</v>
      </c>
    </row>
    <row r="830" spans="1:99">
      <c r="A830" t="s">
        <v>99</v>
      </c>
      <c r="B830" t="s">
        <v>98</v>
      </c>
      <c r="J830" t="s">
        <v>225</v>
      </c>
      <c r="K830" t="s">
        <v>225</v>
      </c>
      <c r="M830" s="73">
        <v>45361.602083333331</v>
      </c>
      <c r="N830">
        <v>42233799</v>
      </c>
      <c r="O830">
        <v>-499</v>
      </c>
      <c r="P830" t="s">
        <v>73</v>
      </c>
      <c r="Q830">
        <v>-499</v>
      </c>
      <c r="R830" t="s">
        <v>73</v>
      </c>
      <c r="U830" t="s">
        <v>226</v>
      </c>
      <c r="V830" t="s">
        <v>479</v>
      </c>
      <c r="W830" t="s">
        <v>228</v>
      </c>
      <c r="X830" t="s">
        <v>229</v>
      </c>
      <c r="Y830" t="s">
        <v>99</v>
      </c>
      <c r="AD830" t="s">
        <v>73</v>
      </c>
      <c r="AE830">
        <v>-499</v>
      </c>
      <c r="AF830">
        <v>42233799</v>
      </c>
      <c r="AG830" s="73">
        <v>45361.602083333331</v>
      </c>
      <c r="AH830" t="s">
        <v>226</v>
      </c>
      <c r="AI830" t="s">
        <v>479</v>
      </c>
      <c r="AJ830" t="s">
        <v>228</v>
      </c>
      <c r="AK830" t="s">
        <v>229</v>
      </c>
      <c r="AL830" t="s">
        <v>99</v>
      </c>
      <c r="AP830" t="s">
        <v>230</v>
      </c>
      <c r="AQ830" t="s">
        <v>231</v>
      </c>
      <c r="AT830" t="s">
        <v>232</v>
      </c>
      <c r="AU830">
        <v>-99</v>
      </c>
      <c r="AV830" t="s">
        <v>73</v>
      </c>
      <c r="AW830">
        <v>-499</v>
      </c>
      <c r="AX830">
        <v>42233799</v>
      </c>
      <c r="AY830" s="73">
        <v>45361.602083333331</v>
      </c>
      <c r="AZ830" t="s">
        <v>226</v>
      </c>
      <c r="BA830" t="s">
        <v>479</v>
      </c>
      <c r="BB830" t="s">
        <v>228</v>
      </c>
      <c r="BC830" t="s">
        <v>229</v>
      </c>
      <c r="BD830" t="s">
        <v>99</v>
      </c>
      <c r="BI830" t="s">
        <v>233</v>
      </c>
      <c r="BJ830" t="s">
        <v>0</v>
      </c>
      <c r="BK830">
        <v>42233784</v>
      </c>
      <c r="BN830" t="s">
        <v>73</v>
      </c>
      <c r="BR830">
        <v>-499</v>
      </c>
      <c r="BS830">
        <v>42233799</v>
      </c>
      <c r="BT830" s="73">
        <v>45361.602083333331</v>
      </c>
      <c r="BU830" t="s">
        <v>226</v>
      </c>
      <c r="BV830" t="s">
        <v>479</v>
      </c>
      <c r="BW830" t="s">
        <v>228</v>
      </c>
      <c r="CH830" t="s">
        <v>229</v>
      </c>
      <c r="CI830" t="s">
        <v>99</v>
      </c>
      <c r="CJ830" t="s">
        <v>226</v>
      </c>
      <c r="CK830" t="s">
        <v>479</v>
      </c>
      <c r="CL830" t="s">
        <v>228</v>
      </c>
      <c r="CM830" t="s">
        <v>234</v>
      </c>
      <c r="CN830" t="s">
        <v>73</v>
      </c>
      <c r="CO830">
        <v>-499</v>
      </c>
      <c r="CP830">
        <v>42233799</v>
      </c>
      <c r="CQ830" s="73">
        <v>45361.602083333331</v>
      </c>
      <c r="CR830" t="s">
        <v>229</v>
      </c>
      <c r="CS830" t="s">
        <v>99</v>
      </c>
      <c r="CU830" t="s">
        <v>225</v>
      </c>
    </row>
    <row r="831" spans="1:99">
      <c r="A831" t="s">
        <v>103</v>
      </c>
      <c r="B831" t="s">
        <v>98</v>
      </c>
      <c r="J831" t="s">
        <v>225</v>
      </c>
      <c r="K831" t="s">
        <v>225</v>
      </c>
      <c r="M831" s="73">
        <v>45361.602083333331</v>
      </c>
      <c r="N831">
        <v>42233798</v>
      </c>
      <c r="O831">
        <v>9980</v>
      </c>
      <c r="P831" t="s">
        <v>104</v>
      </c>
      <c r="Q831">
        <v>9980</v>
      </c>
      <c r="R831" t="s">
        <v>104</v>
      </c>
      <c r="S831">
        <v>499</v>
      </c>
      <c r="T831" t="s">
        <v>73</v>
      </c>
      <c r="U831" t="s">
        <v>226</v>
      </c>
      <c r="V831" t="s">
        <v>479</v>
      </c>
      <c r="W831" t="s">
        <v>235</v>
      </c>
      <c r="X831" t="s">
        <v>229</v>
      </c>
      <c r="Y831" t="s">
        <v>103</v>
      </c>
      <c r="AD831" t="s">
        <v>104</v>
      </c>
      <c r="AE831">
        <v>9980</v>
      </c>
      <c r="AF831">
        <v>42233798</v>
      </c>
      <c r="AG831" s="73">
        <v>45361.602083333331</v>
      </c>
      <c r="AH831" t="s">
        <v>226</v>
      </c>
      <c r="AI831" t="s">
        <v>479</v>
      </c>
      <c r="AJ831" t="s">
        <v>235</v>
      </c>
      <c r="AK831" t="s">
        <v>229</v>
      </c>
      <c r="AL831" t="s">
        <v>103</v>
      </c>
      <c r="AP831" t="s">
        <v>230</v>
      </c>
      <c r="AQ831" t="s">
        <v>231</v>
      </c>
      <c r="AT831" t="s">
        <v>232</v>
      </c>
      <c r="AU831">
        <v>-99</v>
      </c>
      <c r="AV831" t="s">
        <v>104</v>
      </c>
      <c r="AW831">
        <v>9980</v>
      </c>
      <c r="AX831">
        <v>42233798</v>
      </c>
      <c r="AY831" s="73">
        <v>45361.602083333331</v>
      </c>
      <c r="AZ831" t="s">
        <v>226</v>
      </c>
      <c r="BA831" t="s">
        <v>479</v>
      </c>
      <c r="BB831" t="s">
        <v>235</v>
      </c>
      <c r="BC831" t="s">
        <v>229</v>
      </c>
      <c r="BD831" t="s">
        <v>103</v>
      </c>
      <c r="BI831" t="s">
        <v>233</v>
      </c>
      <c r="BJ831" t="s">
        <v>0</v>
      </c>
      <c r="BK831">
        <v>42233784</v>
      </c>
      <c r="BN831" t="s">
        <v>104</v>
      </c>
      <c r="BO831">
        <v>42233790</v>
      </c>
      <c r="BR831">
        <v>9980</v>
      </c>
      <c r="BS831">
        <v>42233798</v>
      </c>
      <c r="BT831" s="73">
        <v>45361.602083333331</v>
      </c>
      <c r="BU831" t="s">
        <v>226</v>
      </c>
      <c r="BV831" t="s">
        <v>479</v>
      </c>
      <c r="BW831" t="s">
        <v>235</v>
      </c>
      <c r="CH831" t="s">
        <v>229</v>
      </c>
      <c r="CI831" t="s">
        <v>103</v>
      </c>
      <c r="CJ831" t="s">
        <v>226</v>
      </c>
      <c r="CK831" t="s">
        <v>479</v>
      </c>
      <c r="CL831" t="s">
        <v>235</v>
      </c>
      <c r="CM831" t="s">
        <v>236</v>
      </c>
      <c r="CN831" t="s">
        <v>104</v>
      </c>
      <c r="CO831">
        <v>9980</v>
      </c>
      <c r="CP831">
        <v>42233798</v>
      </c>
      <c r="CQ831" s="73">
        <v>45361.602083333331</v>
      </c>
      <c r="CR831" t="s">
        <v>229</v>
      </c>
      <c r="CS831" t="s">
        <v>103</v>
      </c>
      <c r="CU831" t="s">
        <v>225</v>
      </c>
    </row>
    <row r="832" spans="1:99">
      <c r="A832" t="s">
        <v>111</v>
      </c>
      <c r="B832" t="s">
        <v>77</v>
      </c>
      <c r="J832" t="s">
        <v>225</v>
      </c>
      <c r="K832" t="s">
        <v>225</v>
      </c>
      <c r="M832" s="73">
        <v>45361.602083333331</v>
      </c>
      <c r="N832">
        <v>42233797</v>
      </c>
      <c r="O832">
        <v>10</v>
      </c>
      <c r="P832" t="s">
        <v>45</v>
      </c>
      <c r="Q832">
        <v>10</v>
      </c>
      <c r="R832" t="s">
        <v>45</v>
      </c>
      <c r="U832" t="s">
        <v>226</v>
      </c>
      <c r="V832" t="s">
        <v>479</v>
      </c>
      <c r="W832" t="s">
        <v>237</v>
      </c>
      <c r="X832" t="s">
        <v>229</v>
      </c>
      <c r="Y832" t="s">
        <v>111</v>
      </c>
      <c r="AD832" t="s">
        <v>45</v>
      </c>
      <c r="AE832">
        <v>10</v>
      </c>
      <c r="AF832">
        <v>42233797</v>
      </c>
      <c r="AG832" s="73">
        <v>45361.602083333331</v>
      </c>
      <c r="AH832" t="s">
        <v>226</v>
      </c>
      <c r="AI832" t="s">
        <v>479</v>
      </c>
      <c r="AJ832" t="s">
        <v>237</v>
      </c>
      <c r="AK832" t="s">
        <v>229</v>
      </c>
      <c r="AL832" t="s">
        <v>111</v>
      </c>
      <c r="AP832" t="s">
        <v>230</v>
      </c>
      <c r="AQ832" t="s">
        <v>231</v>
      </c>
      <c r="AT832" t="s">
        <v>232</v>
      </c>
      <c r="AU832">
        <v>-99</v>
      </c>
      <c r="AV832" t="s">
        <v>45</v>
      </c>
      <c r="AW832">
        <v>10</v>
      </c>
      <c r="AX832">
        <v>42233797</v>
      </c>
      <c r="AY832" s="73">
        <v>45361.602083333331</v>
      </c>
      <c r="AZ832" t="s">
        <v>226</v>
      </c>
      <c r="BA832" t="s">
        <v>479</v>
      </c>
      <c r="BB832" t="s">
        <v>237</v>
      </c>
      <c r="BC832" t="s">
        <v>229</v>
      </c>
      <c r="BD832" t="s">
        <v>111</v>
      </c>
      <c r="BI832" t="s">
        <v>233</v>
      </c>
      <c r="BJ832" t="s">
        <v>0</v>
      </c>
      <c r="BK832">
        <v>42233784</v>
      </c>
      <c r="BN832" t="s">
        <v>45</v>
      </c>
      <c r="BO832">
        <v>42233792</v>
      </c>
      <c r="BR832">
        <v>10</v>
      </c>
      <c r="BS832">
        <v>42233797</v>
      </c>
      <c r="BT832" s="73">
        <v>45361.602083333331</v>
      </c>
      <c r="BU832" t="s">
        <v>226</v>
      </c>
      <c r="BV832" t="s">
        <v>479</v>
      </c>
      <c r="BW832" t="s">
        <v>237</v>
      </c>
      <c r="CH832" t="s">
        <v>229</v>
      </c>
      <c r="CI832" t="s">
        <v>111</v>
      </c>
      <c r="CJ832" t="s">
        <v>226</v>
      </c>
      <c r="CK832" t="s">
        <v>479</v>
      </c>
      <c r="CL832" t="s">
        <v>237</v>
      </c>
      <c r="CM832" t="s">
        <v>236</v>
      </c>
      <c r="CN832" t="s">
        <v>45</v>
      </c>
      <c r="CO832">
        <v>10</v>
      </c>
      <c r="CP832">
        <v>42233797</v>
      </c>
      <c r="CQ832" s="73">
        <v>45361.602083333331</v>
      </c>
      <c r="CR832" t="s">
        <v>229</v>
      </c>
      <c r="CS832" t="s">
        <v>111</v>
      </c>
      <c r="CU832" t="s">
        <v>225</v>
      </c>
    </row>
    <row r="833" spans="1:99">
      <c r="A833" t="s">
        <v>42</v>
      </c>
      <c r="B833" t="s">
        <v>92</v>
      </c>
      <c r="J833" t="s">
        <v>225</v>
      </c>
      <c r="K833" t="s">
        <v>225</v>
      </c>
      <c r="M833" s="73">
        <v>45361.601388888892</v>
      </c>
      <c r="N833">
        <v>42233770</v>
      </c>
      <c r="O833">
        <v>-4128</v>
      </c>
      <c r="P833" t="s">
        <v>45</v>
      </c>
      <c r="Q833">
        <v>-4128</v>
      </c>
      <c r="R833" t="s">
        <v>45</v>
      </c>
      <c r="U833" t="s">
        <v>226</v>
      </c>
      <c r="V833" t="s">
        <v>480</v>
      </c>
      <c r="W833" t="s">
        <v>228</v>
      </c>
      <c r="X833" t="s">
        <v>229</v>
      </c>
      <c r="Y833" t="s">
        <v>42</v>
      </c>
      <c r="AD833" t="s">
        <v>45</v>
      </c>
      <c r="AE833">
        <v>-4128</v>
      </c>
      <c r="AF833">
        <v>42233770</v>
      </c>
      <c r="AG833" s="73">
        <v>45361.601388888892</v>
      </c>
      <c r="AH833" t="s">
        <v>226</v>
      </c>
      <c r="AI833" t="s">
        <v>480</v>
      </c>
      <c r="AJ833" t="s">
        <v>228</v>
      </c>
      <c r="AK833" t="s">
        <v>229</v>
      </c>
      <c r="AL833" t="s">
        <v>42</v>
      </c>
      <c r="AP833" t="s">
        <v>230</v>
      </c>
      <c r="AQ833" t="s">
        <v>231</v>
      </c>
      <c r="AT833" t="s">
        <v>232</v>
      </c>
      <c r="AU833">
        <v>-99</v>
      </c>
      <c r="AV833" t="s">
        <v>45</v>
      </c>
      <c r="AW833">
        <v>-4128</v>
      </c>
      <c r="AX833">
        <v>42233770</v>
      </c>
      <c r="AY833" s="73">
        <v>45361.601388888892</v>
      </c>
      <c r="AZ833" t="s">
        <v>226</v>
      </c>
      <c r="BA833" t="s">
        <v>480</v>
      </c>
      <c r="BB833" t="s">
        <v>228</v>
      </c>
      <c r="BC833" t="s">
        <v>229</v>
      </c>
      <c r="BD833" t="s">
        <v>42</v>
      </c>
      <c r="BI833" t="s">
        <v>233</v>
      </c>
      <c r="BJ833" t="s">
        <v>0</v>
      </c>
      <c r="BK833">
        <v>42233732</v>
      </c>
      <c r="BN833" t="s">
        <v>45</v>
      </c>
      <c r="BR833">
        <v>-4128</v>
      </c>
      <c r="BS833">
        <v>42233770</v>
      </c>
      <c r="BT833" s="73">
        <v>45361.601388888892</v>
      </c>
      <c r="BU833" t="s">
        <v>226</v>
      </c>
      <c r="BV833" t="s">
        <v>480</v>
      </c>
      <c r="BW833" t="s">
        <v>228</v>
      </c>
      <c r="CH833" t="s">
        <v>229</v>
      </c>
      <c r="CI833" t="s">
        <v>42</v>
      </c>
      <c r="CJ833" t="s">
        <v>226</v>
      </c>
      <c r="CK833" t="s">
        <v>480</v>
      </c>
      <c r="CL833" t="s">
        <v>228</v>
      </c>
      <c r="CM833" t="s">
        <v>234</v>
      </c>
      <c r="CN833" t="s">
        <v>45</v>
      </c>
      <c r="CO833">
        <v>-4128</v>
      </c>
      <c r="CP833">
        <v>42233770</v>
      </c>
      <c r="CQ833" s="73">
        <v>45361.601388888892</v>
      </c>
      <c r="CR833" t="s">
        <v>229</v>
      </c>
      <c r="CS833" t="s">
        <v>42</v>
      </c>
      <c r="CU833" t="s">
        <v>225</v>
      </c>
    </row>
    <row r="834" spans="1:99">
      <c r="A834" t="s">
        <v>99</v>
      </c>
      <c r="B834" t="s">
        <v>98</v>
      </c>
      <c r="J834" t="s">
        <v>225</v>
      </c>
      <c r="K834" t="s">
        <v>225</v>
      </c>
      <c r="M834" s="73">
        <v>45361.601388888892</v>
      </c>
      <c r="N834">
        <v>42233769</v>
      </c>
      <c r="O834">
        <v>-206.4</v>
      </c>
      <c r="P834" t="s">
        <v>73</v>
      </c>
      <c r="Q834">
        <v>-206.4</v>
      </c>
      <c r="R834" t="s">
        <v>73</v>
      </c>
      <c r="U834" t="s">
        <v>226</v>
      </c>
      <c r="V834" t="s">
        <v>480</v>
      </c>
      <c r="W834" t="s">
        <v>228</v>
      </c>
      <c r="X834" t="s">
        <v>229</v>
      </c>
      <c r="Y834" t="s">
        <v>99</v>
      </c>
      <c r="AD834" t="s">
        <v>73</v>
      </c>
      <c r="AE834">
        <v>-206.4</v>
      </c>
      <c r="AF834">
        <v>42233769</v>
      </c>
      <c r="AG834" s="73">
        <v>45361.601388888892</v>
      </c>
      <c r="AH834" t="s">
        <v>226</v>
      </c>
      <c r="AI834" t="s">
        <v>480</v>
      </c>
      <c r="AJ834" t="s">
        <v>228</v>
      </c>
      <c r="AK834" t="s">
        <v>229</v>
      </c>
      <c r="AL834" t="s">
        <v>99</v>
      </c>
      <c r="AP834" t="s">
        <v>230</v>
      </c>
      <c r="AQ834" t="s">
        <v>231</v>
      </c>
      <c r="AT834" t="s">
        <v>232</v>
      </c>
      <c r="AU834">
        <v>-99</v>
      </c>
      <c r="AV834" t="s">
        <v>73</v>
      </c>
      <c r="AW834">
        <v>-206.4</v>
      </c>
      <c r="AX834">
        <v>42233769</v>
      </c>
      <c r="AY834" s="73">
        <v>45361.601388888892</v>
      </c>
      <c r="AZ834" t="s">
        <v>226</v>
      </c>
      <c r="BA834" t="s">
        <v>480</v>
      </c>
      <c r="BB834" t="s">
        <v>228</v>
      </c>
      <c r="BC834" t="s">
        <v>229</v>
      </c>
      <c r="BD834" t="s">
        <v>99</v>
      </c>
      <c r="BI834" t="s">
        <v>233</v>
      </c>
      <c r="BJ834" t="s">
        <v>0</v>
      </c>
      <c r="BK834">
        <v>42233732</v>
      </c>
      <c r="BN834" t="s">
        <v>73</v>
      </c>
      <c r="BR834">
        <v>-206.4</v>
      </c>
      <c r="BS834">
        <v>42233769</v>
      </c>
      <c r="BT834" s="73">
        <v>45361.601388888892</v>
      </c>
      <c r="BU834" t="s">
        <v>226</v>
      </c>
      <c r="BV834" t="s">
        <v>480</v>
      </c>
      <c r="BW834" t="s">
        <v>228</v>
      </c>
      <c r="CH834" t="s">
        <v>229</v>
      </c>
      <c r="CI834" t="s">
        <v>99</v>
      </c>
      <c r="CJ834" t="s">
        <v>226</v>
      </c>
      <c r="CK834" t="s">
        <v>480</v>
      </c>
      <c r="CL834" t="s">
        <v>228</v>
      </c>
      <c r="CM834" t="s">
        <v>234</v>
      </c>
      <c r="CN834" t="s">
        <v>73</v>
      </c>
      <c r="CO834">
        <v>-206.4</v>
      </c>
      <c r="CP834">
        <v>42233769</v>
      </c>
      <c r="CQ834" s="73">
        <v>45361.601388888892</v>
      </c>
      <c r="CR834" t="s">
        <v>229</v>
      </c>
      <c r="CS834" t="s">
        <v>99</v>
      </c>
      <c r="CU834" t="s">
        <v>225</v>
      </c>
    </row>
    <row r="835" spans="1:99">
      <c r="A835" t="s">
        <v>103</v>
      </c>
      <c r="B835" t="s">
        <v>98</v>
      </c>
      <c r="J835" t="s">
        <v>225</v>
      </c>
      <c r="K835" t="s">
        <v>225</v>
      </c>
      <c r="M835" s="73">
        <v>45361.601388888892</v>
      </c>
      <c r="N835">
        <v>42233768</v>
      </c>
      <c r="O835">
        <v>4128</v>
      </c>
      <c r="P835" t="s">
        <v>104</v>
      </c>
      <c r="Q835">
        <v>4128</v>
      </c>
      <c r="R835" t="s">
        <v>104</v>
      </c>
      <c r="S835">
        <v>206.4</v>
      </c>
      <c r="T835" t="s">
        <v>73</v>
      </c>
      <c r="U835" t="s">
        <v>226</v>
      </c>
      <c r="V835" t="s">
        <v>480</v>
      </c>
      <c r="W835" t="s">
        <v>235</v>
      </c>
      <c r="X835" t="s">
        <v>229</v>
      </c>
      <c r="Y835" t="s">
        <v>103</v>
      </c>
      <c r="AD835" t="s">
        <v>104</v>
      </c>
      <c r="AE835">
        <v>4128</v>
      </c>
      <c r="AF835">
        <v>42233768</v>
      </c>
      <c r="AG835" s="73">
        <v>45361.601388888892</v>
      </c>
      <c r="AH835" t="s">
        <v>226</v>
      </c>
      <c r="AI835" t="s">
        <v>480</v>
      </c>
      <c r="AJ835" t="s">
        <v>235</v>
      </c>
      <c r="AK835" t="s">
        <v>229</v>
      </c>
      <c r="AL835" t="s">
        <v>103</v>
      </c>
      <c r="AP835" t="s">
        <v>230</v>
      </c>
      <c r="AQ835" t="s">
        <v>231</v>
      </c>
      <c r="AT835" t="s">
        <v>232</v>
      </c>
      <c r="AU835">
        <v>-99</v>
      </c>
      <c r="AV835" t="s">
        <v>104</v>
      </c>
      <c r="AW835">
        <v>4128</v>
      </c>
      <c r="AX835">
        <v>42233768</v>
      </c>
      <c r="AY835" s="73">
        <v>45361.601388888892</v>
      </c>
      <c r="AZ835" t="s">
        <v>226</v>
      </c>
      <c r="BA835" t="s">
        <v>480</v>
      </c>
      <c r="BB835" t="s">
        <v>235</v>
      </c>
      <c r="BC835" t="s">
        <v>229</v>
      </c>
      <c r="BD835" t="s">
        <v>103</v>
      </c>
      <c r="BI835" t="s">
        <v>233</v>
      </c>
      <c r="BJ835" t="s">
        <v>0</v>
      </c>
      <c r="BK835">
        <v>42233732</v>
      </c>
      <c r="BN835" t="s">
        <v>104</v>
      </c>
      <c r="BO835">
        <v>42233764</v>
      </c>
      <c r="BR835">
        <v>4128</v>
      </c>
      <c r="BS835">
        <v>42233768</v>
      </c>
      <c r="BT835" s="73">
        <v>45361.601388888892</v>
      </c>
      <c r="BU835" t="s">
        <v>226</v>
      </c>
      <c r="BV835" t="s">
        <v>480</v>
      </c>
      <c r="BW835" t="s">
        <v>235</v>
      </c>
      <c r="CH835" t="s">
        <v>229</v>
      </c>
      <c r="CI835" t="s">
        <v>103</v>
      </c>
      <c r="CJ835" t="s">
        <v>226</v>
      </c>
      <c r="CK835" t="s">
        <v>480</v>
      </c>
      <c r="CL835" t="s">
        <v>235</v>
      </c>
      <c r="CM835" t="s">
        <v>236</v>
      </c>
      <c r="CN835" t="s">
        <v>104</v>
      </c>
      <c r="CO835">
        <v>4128</v>
      </c>
      <c r="CP835">
        <v>42233768</v>
      </c>
      <c r="CQ835" s="73">
        <v>45361.601388888892</v>
      </c>
      <c r="CR835" t="s">
        <v>229</v>
      </c>
      <c r="CS835" t="s">
        <v>103</v>
      </c>
      <c r="CU835" t="s">
        <v>225</v>
      </c>
    </row>
    <row r="836" spans="1:99">
      <c r="A836" t="s">
        <v>52</v>
      </c>
      <c r="B836" t="s">
        <v>92</v>
      </c>
      <c r="J836" t="s">
        <v>225</v>
      </c>
      <c r="K836" t="s">
        <v>225</v>
      </c>
      <c r="M836" s="73">
        <v>45361.597916666666</v>
      </c>
      <c r="N836">
        <v>42233690</v>
      </c>
      <c r="O836">
        <v>-1651</v>
      </c>
      <c r="P836" t="s">
        <v>45</v>
      </c>
      <c r="Q836">
        <v>-1651</v>
      </c>
      <c r="R836" t="s">
        <v>45</v>
      </c>
      <c r="U836" t="s">
        <v>226</v>
      </c>
      <c r="V836" t="s">
        <v>481</v>
      </c>
      <c r="W836" t="s">
        <v>228</v>
      </c>
      <c r="X836" t="s">
        <v>229</v>
      </c>
      <c r="Y836" t="s">
        <v>52</v>
      </c>
      <c r="AD836" t="s">
        <v>45</v>
      </c>
      <c r="AE836">
        <v>-1651</v>
      </c>
      <c r="AF836">
        <v>42233690</v>
      </c>
      <c r="AG836" s="73">
        <v>45361.597916666666</v>
      </c>
      <c r="AH836" t="s">
        <v>226</v>
      </c>
      <c r="AI836" t="s">
        <v>481</v>
      </c>
      <c r="AJ836" t="s">
        <v>228</v>
      </c>
      <c r="AK836" t="s">
        <v>229</v>
      </c>
      <c r="AL836" t="s">
        <v>52</v>
      </c>
      <c r="AP836" t="s">
        <v>230</v>
      </c>
      <c r="AQ836" t="s">
        <v>231</v>
      </c>
      <c r="AT836" t="s">
        <v>232</v>
      </c>
      <c r="AU836">
        <v>-99</v>
      </c>
      <c r="AV836" t="s">
        <v>45</v>
      </c>
      <c r="AW836">
        <v>-1651</v>
      </c>
      <c r="AX836">
        <v>42233690</v>
      </c>
      <c r="AY836" s="73">
        <v>45361.597916666666</v>
      </c>
      <c r="AZ836" t="s">
        <v>226</v>
      </c>
      <c r="BA836" t="s">
        <v>481</v>
      </c>
      <c r="BB836" t="s">
        <v>228</v>
      </c>
      <c r="BC836" t="s">
        <v>229</v>
      </c>
      <c r="BD836" t="s">
        <v>52</v>
      </c>
      <c r="BI836" t="s">
        <v>233</v>
      </c>
      <c r="BJ836" t="s">
        <v>0</v>
      </c>
      <c r="BK836">
        <v>42233674</v>
      </c>
      <c r="BN836" t="s">
        <v>45</v>
      </c>
      <c r="BR836">
        <v>-1651</v>
      </c>
      <c r="BS836">
        <v>42233690</v>
      </c>
      <c r="BT836" s="73">
        <v>45361.597916666666</v>
      </c>
      <c r="BU836" t="s">
        <v>226</v>
      </c>
      <c r="BV836" t="s">
        <v>481</v>
      </c>
      <c r="BW836" t="s">
        <v>228</v>
      </c>
      <c r="CH836" t="s">
        <v>229</v>
      </c>
      <c r="CI836" t="s">
        <v>52</v>
      </c>
      <c r="CJ836" t="s">
        <v>226</v>
      </c>
      <c r="CK836" t="s">
        <v>481</v>
      </c>
      <c r="CL836" t="s">
        <v>228</v>
      </c>
      <c r="CM836" t="s">
        <v>234</v>
      </c>
      <c r="CN836" t="s">
        <v>45</v>
      </c>
      <c r="CO836">
        <v>-1651</v>
      </c>
      <c r="CP836">
        <v>42233690</v>
      </c>
      <c r="CQ836" s="73">
        <v>45361.597916666666</v>
      </c>
      <c r="CR836" t="s">
        <v>229</v>
      </c>
      <c r="CS836" t="s">
        <v>52</v>
      </c>
      <c r="CU836" t="s">
        <v>225</v>
      </c>
    </row>
    <row r="837" spans="1:99">
      <c r="A837" t="s">
        <v>101</v>
      </c>
      <c r="B837" t="s">
        <v>98</v>
      </c>
      <c r="J837" t="s">
        <v>225</v>
      </c>
      <c r="K837" t="s">
        <v>225</v>
      </c>
      <c r="M837" s="73">
        <v>45361.597916666666</v>
      </c>
      <c r="N837">
        <v>42233689</v>
      </c>
      <c r="O837">
        <v>-82.5</v>
      </c>
      <c r="P837" t="s">
        <v>73</v>
      </c>
      <c r="Q837">
        <v>-82.5</v>
      </c>
      <c r="R837" t="s">
        <v>73</v>
      </c>
      <c r="U837" t="s">
        <v>226</v>
      </c>
      <c r="V837" t="s">
        <v>481</v>
      </c>
      <c r="W837" t="s">
        <v>228</v>
      </c>
      <c r="X837" t="s">
        <v>229</v>
      </c>
      <c r="Y837" t="s">
        <v>101</v>
      </c>
      <c r="AD837" t="s">
        <v>73</v>
      </c>
      <c r="AE837">
        <v>-82.5</v>
      </c>
      <c r="AF837">
        <v>42233689</v>
      </c>
      <c r="AG837" s="73">
        <v>45361.597916666666</v>
      </c>
      <c r="AH837" t="s">
        <v>226</v>
      </c>
      <c r="AI837" t="s">
        <v>481</v>
      </c>
      <c r="AJ837" t="s">
        <v>228</v>
      </c>
      <c r="AK837" t="s">
        <v>229</v>
      </c>
      <c r="AL837" t="s">
        <v>101</v>
      </c>
      <c r="AP837" t="s">
        <v>230</v>
      </c>
      <c r="AQ837" t="s">
        <v>231</v>
      </c>
      <c r="AT837" t="s">
        <v>232</v>
      </c>
      <c r="AU837">
        <v>-99</v>
      </c>
      <c r="AV837" t="s">
        <v>73</v>
      </c>
      <c r="AW837">
        <v>-82.5</v>
      </c>
      <c r="AX837">
        <v>42233689</v>
      </c>
      <c r="AY837" s="73">
        <v>45361.597916666666</v>
      </c>
      <c r="AZ837" t="s">
        <v>226</v>
      </c>
      <c r="BA837" t="s">
        <v>481</v>
      </c>
      <c r="BB837" t="s">
        <v>228</v>
      </c>
      <c r="BC837" t="s">
        <v>229</v>
      </c>
      <c r="BD837" t="s">
        <v>101</v>
      </c>
      <c r="BI837" t="s">
        <v>233</v>
      </c>
      <c r="BJ837" t="s">
        <v>0</v>
      </c>
      <c r="BK837">
        <v>42233674</v>
      </c>
      <c r="BN837" t="s">
        <v>73</v>
      </c>
      <c r="BR837">
        <v>-82.5</v>
      </c>
      <c r="BS837">
        <v>42233689</v>
      </c>
      <c r="BT837" s="73">
        <v>45361.597916666666</v>
      </c>
      <c r="BU837" t="s">
        <v>226</v>
      </c>
      <c r="BV837" t="s">
        <v>481</v>
      </c>
      <c r="BW837" t="s">
        <v>228</v>
      </c>
      <c r="CH837" t="s">
        <v>229</v>
      </c>
      <c r="CI837" t="s">
        <v>101</v>
      </c>
      <c r="CJ837" t="s">
        <v>226</v>
      </c>
      <c r="CK837" t="s">
        <v>481</v>
      </c>
      <c r="CL837" t="s">
        <v>228</v>
      </c>
      <c r="CM837" t="s">
        <v>234</v>
      </c>
      <c r="CN837" t="s">
        <v>73</v>
      </c>
      <c r="CO837">
        <v>-82.5</v>
      </c>
      <c r="CP837">
        <v>42233689</v>
      </c>
      <c r="CQ837" s="73">
        <v>45361.597916666666</v>
      </c>
      <c r="CR837" t="s">
        <v>229</v>
      </c>
      <c r="CS837" t="s">
        <v>101</v>
      </c>
      <c r="CU837" t="s">
        <v>225</v>
      </c>
    </row>
    <row r="838" spans="1:99">
      <c r="A838" t="s">
        <v>107</v>
      </c>
      <c r="B838" t="s">
        <v>98</v>
      </c>
      <c r="J838" t="s">
        <v>225</v>
      </c>
      <c r="K838" t="s">
        <v>225</v>
      </c>
      <c r="M838" s="73">
        <v>45361.597916666666</v>
      </c>
      <c r="N838">
        <v>42233688</v>
      </c>
      <c r="O838">
        <v>1650</v>
      </c>
      <c r="P838" t="s">
        <v>104</v>
      </c>
      <c r="Q838">
        <v>1650</v>
      </c>
      <c r="R838" t="s">
        <v>104</v>
      </c>
      <c r="S838">
        <v>82.5</v>
      </c>
      <c r="T838" t="s">
        <v>73</v>
      </c>
      <c r="U838" t="s">
        <v>226</v>
      </c>
      <c r="V838" t="s">
        <v>481</v>
      </c>
      <c r="W838" t="s">
        <v>235</v>
      </c>
      <c r="X838" t="s">
        <v>229</v>
      </c>
      <c r="Y838" t="s">
        <v>107</v>
      </c>
      <c r="AD838" t="s">
        <v>104</v>
      </c>
      <c r="AE838">
        <v>1650</v>
      </c>
      <c r="AF838">
        <v>42233688</v>
      </c>
      <c r="AG838" s="73">
        <v>45361.597916666666</v>
      </c>
      <c r="AH838" t="s">
        <v>226</v>
      </c>
      <c r="AI838" t="s">
        <v>481</v>
      </c>
      <c r="AJ838" t="s">
        <v>235</v>
      </c>
      <c r="AK838" t="s">
        <v>229</v>
      </c>
      <c r="AL838" t="s">
        <v>107</v>
      </c>
      <c r="AP838" t="s">
        <v>230</v>
      </c>
      <c r="AQ838" t="s">
        <v>231</v>
      </c>
      <c r="AT838" t="s">
        <v>232</v>
      </c>
      <c r="AU838">
        <v>-99</v>
      </c>
      <c r="AV838" t="s">
        <v>104</v>
      </c>
      <c r="AW838">
        <v>1650</v>
      </c>
      <c r="AX838">
        <v>42233688</v>
      </c>
      <c r="AY838" s="73">
        <v>45361.597916666666</v>
      </c>
      <c r="AZ838" t="s">
        <v>226</v>
      </c>
      <c r="BA838" t="s">
        <v>481</v>
      </c>
      <c r="BB838" t="s">
        <v>235</v>
      </c>
      <c r="BC838" t="s">
        <v>229</v>
      </c>
      <c r="BD838" t="s">
        <v>107</v>
      </c>
      <c r="BI838" t="s">
        <v>233</v>
      </c>
      <c r="BJ838" t="s">
        <v>0</v>
      </c>
      <c r="BK838">
        <v>42233674</v>
      </c>
      <c r="BN838" t="s">
        <v>104</v>
      </c>
      <c r="BO838">
        <v>42233680</v>
      </c>
      <c r="BR838">
        <v>1650</v>
      </c>
      <c r="BS838">
        <v>42233688</v>
      </c>
      <c r="BT838" s="73">
        <v>45361.597916666666</v>
      </c>
      <c r="BU838" t="s">
        <v>226</v>
      </c>
      <c r="BV838" t="s">
        <v>481</v>
      </c>
      <c r="BW838" t="s">
        <v>235</v>
      </c>
      <c r="CH838" t="s">
        <v>229</v>
      </c>
      <c r="CI838" t="s">
        <v>107</v>
      </c>
      <c r="CJ838" t="s">
        <v>226</v>
      </c>
      <c r="CK838" t="s">
        <v>481</v>
      </c>
      <c r="CL838" t="s">
        <v>235</v>
      </c>
      <c r="CM838" t="s">
        <v>236</v>
      </c>
      <c r="CN838" t="s">
        <v>104</v>
      </c>
      <c r="CO838">
        <v>1650</v>
      </c>
      <c r="CP838">
        <v>42233688</v>
      </c>
      <c r="CQ838" s="73">
        <v>45361.597916666666</v>
      </c>
      <c r="CR838" t="s">
        <v>229</v>
      </c>
      <c r="CS838" t="s">
        <v>107</v>
      </c>
      <c r="CU838" t="s">
        <v>225</v>
      </c>
    </row>
    <row r="839" spans="1:99">
      <c r="A839" t="s">
        <v>111</v>
      </c>
      <c r="B839" t="s">
        <v>77</v>
      </c>
      <c r="J839" t="s">
        <v>225</v>
      </c>
      <c r="K839" t="s">
        <v>225</v>
      </c>
      <c r="M839" s="73">
        <v>45361.597916666666</v>
      </c>
      <c r="N839">
        <v>42233687</v>
      </c>
      <c r="O839">
        <v>1</v>
      </c>
      <c r="P839" t="s">
        <v>45</v>
      </c>
      <c r="Q839">
        <v>1</v>
      </c>
      <c r="R839" t="s">
        <v>45</v>
      </c>
      <c r="U839" t="s">
        <v>226</v>
      </c>
      <c r="V839" t="s">
        <v>481</v>
      </c>
      <c r="W839" t="s">
        <v>237</v>
      </c>
      <c r="X839" t="s">
        <v>229</v>
      </c>
      <c r="Y839" t="s">
        <v>111</v>
      </c>
      <c r="AD839" t="s">
        <v>45</v>
      </c>
      <c r="AE839">
        <v>1</v>
      </c>
      <c r="AF839">
        <v>42233687</v>
      </c>
      <c r="AG839" s="73">
        <v>45361.597916666666</v>
      </c>
      <c r="AH839" t="s">
        <v>226</v>
      </c>
      <c r="AI839" t="s">
        <v>481</v>
      </c>
      <c r="AJ839" t="s">
        <v>237</v>
      </c>
      <c r="AK839" t="s">
        <v>229</v>
      </c>
      <c r="AL839" t="s">
        <v>111</v>
      </c>
      <c r="AP839" t="s">
        <v>230</v>
      </c>
      <c r="AQ839" t="s">
        <v>231</v>
      </c>
      <c r="AT839" t="s">
        <v>232</v>
      </c>
      <c r="AU839">
        <v>-99</v>
      </c>
      <c r="AV839" t="s">
        <v>45</v>
      </c>
      <c r="AW839">
        <v>1</v>
      </c>
      <c r="AX839">
        <v>42233687</v>
      </c>
      <c r="AY839" s="73">
        <v>45361.597916666666</v>
      </c>
      <c r="AZ839" t="s">
        <v>226</v>
      </c>
      <c r="BA839" t="s">
        <v>481</v>
      </c>
      <c r="BB839" t="s">
        <v>237</v>
      </c>
      <c r="BC839" t="s">
        <v>229</v>
      </c>
      <c r="BD839" t="s">
        <v>111</v>
      </c>
      <c r="BI839" t="s">
        <v>233</v>
      </c>
      <c r="BJ839" t="s">
        <v>0</v>
      </c>
      <c r="BK839">
        <v>42233674</v>
      </c>
      <c r="BN839" t="s">
        <v>45</v>
      </c>
      <c r="BO839">
        <v>42233682</v>
      </c>
      <c r="BR839">
        <v>1</v>
      </c>
      <c r="BS839">
        <v>42233687</v>
      </c>
      <c r="BT839" s="73">
        <v>45361.597916666666</v>
      </c>
      <c r="BU839" t="s">
        <v>226</v>
      </c>
      <c r="BV839" t="s">
        <v>481</v>
      </c>
      <c r="BW839" t="s">
        <v>237</v>
      </c>
      <c r="CH839" t="s">
        <v>229</v>
      </c>
      <c r="CI839" t="s">
        <v>111</v>
      </c>
      <c r="CJ839" t="s">
        <v>226</v>
      </c>
      <c r="CK839" t="s">
        <v>481</v>
      </c>
      <c r="CL839" t="s">
        <v>237</v>
      </c>
      <c r="CM839" t="s">
        <v>236</v>
      </c>
      <c r="CN839" t="s">
        <v>45</v>
      </c>
      <c r="CO839">
        <v>1</v>
      </c>
      <c r="CP839">
        <v>42233687</v>
      </c>
      <c r="CQ839" s="73">
        <v>45361.597916666666</v>
      </c>
      <c r="CR839" t="s">
        <v>229</v>
      </c>
      <c r="CS839" t="s">
        <v>111</v>
      </c>
      <c r="CU839" t="s">
        <v>225</v>
      </c>
    </row>
    <row r="840" spans="1:99">
      <c r="A840" t="s">
        <v>113</v>
      </c>
      <c r="B840" t="s">
        <v>90</v>
      </c>
      <c r="J840" t="s">
        <v>225</v>
      </c>
      <c r="K840" t="s">
        <v>225</v>
      </c>
      <c r="M840" s="73">
        <v>45361.590289351851</v>
      </c>
      <c r="N840">
        <v>42228297</v>
      </c>
      <c r="O840">
        <v>-160</v>
      </c>
      <c r="P840" t="s">
        <v>115</v>
      </c>
      <c r="Q840">
        <v>-160</v>
      </c>
      <c r="R840" t="s">
        <v>115</v>
      </c>
      <c r="U840" t="s">
        <v>226</v>
      </c>
      <c r="V840" t="s">
        <v>478</v>
      </c>
      <c r="W840" t="s">
        <v>228</v>
      </c>
      <c r="X840" t="s">
        <v>229</v>
      </c>
      <c r="Y840" t="s">
        <v>113</v>
      </c>
      <c r="AD840" t="s">
        <v>115</v>
      </c>
      <c r="AE840">
        <v>-160</v>
      </c>
      <c r="AF840">
        <v>42228297</v>
      </c>
      <c r="AG840" s="73">
        <v>45361.590289351851</v>
      </c>
      <c r="AH840" t="s">
        <v>226</v>
      </c>
      <c r="AI840" t="s">
        <v>478</v>
      </c>
      <c r="AJ840" t="s">
        <v>228</v>
      </c>
      <c r="AK840" t="s">
        <v>229</v>
      </c>
      <c r="AL840" t="s">
        <v>113</v>
      </c>
      <c r="AP840" t="s">
        <v>230</v>
      </c>
      <c r="AQ840" t="s">
        <v>231</v>
      </c>
      <c r="AT840" t="s">
        <v>232</v>
      </c>
      <c r="AU840">
        <v>-99</v>
      </c>
      <c r="AV840" t="s">
        <v>115</v>
      </c>
      <c r="AW840">
        <v>-160</v>
      </c>
      <c r="AX840">
        <v>42228297</v>
      </c>
      <c r="AY840" s="73">
        <v>45361.590289351851</v>
      </c>
      <c r="AZ840" t="s">
        <v>226</v>
      </c>
      <c r="BA840" t="s">
        <v>478</v>
      </c>
      <c r="BB840" t="s">
        <v>228</v>
      </c>
      <c r="BC840" t="s">
        <v>229</v>
      </c>
      <c r="BD840" t="s">
        <v>113</v>
      </c>
      <c r="BI840" t="s">
        <v>233</v>
      </c>
      <c r="BJ840" t="s">
        <v>0</v>
      </c>
      <c r="BK840">
        <v>42228266</v>
      </c>
      <c r="BN840" t="s">
        <v>115</v>
      </c>
      <c r="BR840">
        <v>-160</v>
      </c>
      <c r="BS840">
        <v>42228297</v>
      </c>
      <c r="BT840" s="73">
        <v>45361.590289351851</v>
      </c>
      <c r="BU840" t="s">
        <v>226</v>
      </c>
      <c r="BV840" t="s">
        <v>478</v>
      </c>
      <c r="BW840" t="s">
        <v>228</v>
      </c>
      <c r="CH840" t="s">
        <v>229</v>
      </c>
      <c r="CI840" t="s">
        <v>113</v>
      </c>
      <c r="CJ840" t="s">
        <v>226</v>
      </c>
      <c r="CK840" t="s">
        <v>478</v>
      </c>
      <c r="CL840" t="s">
        <v>228</v>
      </c>
      <c r="CM840" t="s">
        <v>234</v>
      </c>
      <c r="CN840" t="s">
        <v>115</v>
      </c>
      <c r="CO840">
        <v>-160</v>
      </c>
      <c r="CP840">
        <v>42228297</v>
      </c>
      <c r="CQ840" s="73">
        <v>45361.590289351851</v>
      </c>
      <c r="CR840" t="s">
        <v>229</v>
      </c>
      <c r="CS840" t="s">
        <v>113</v>
      </c>
      <c r="CU840" t="s">
        <v>225</v>
      </c>
    </row>
    <row r="841" spans="1:99">
      <c r="A841" t="s">
        <v>129</v>
      </c>
      <c r="B841" t="s">
        <v>90</v>
      </c>
      <c r="J841" t="s">
        <v>225</v>
      </c>
      <c r="K841" t="s">
        <v>225</v>
      </c>
      <c r="M841" s="73">
        <v>45361.590289351851</v>
      </c>
      <c r="N841">
        <v>42228296</v>
      </c>
      <c r="O841">
        <v>-2</v>
      </c>
      <c r="P841" t="s">
        <v>73</v>
      </c>
      <c r="Q841">
        <v>-2</v>
      </c>
      <c r="R841" t="s">
        <v>73</v>
      </c>
      <c r="U841" t="s">
        <v>226</v>
      </c>
      <c r="V841" t="s">
        <v>478</v>
      </c>
      <c r="W841" t="s">
        <v>228</v>
      </c>
      <c r="X841" t="s">
        <v>229</v>
      </c>
      <c r="Y841" t="s">
        <v>129</v>
      </c>
      <c r="AD841" t="s">
        <v>73</v>
      </c>
      <c r="AE841">
        <v>-2</v>
      </c>
      <c r="AF841">
        <v>42228296</v>
      </c>
      <c r="AG841" s="73">
        <v>45361.590289351851</v>
      </c>
      <c r="AH841" t="s">
        <v>226</v>
      </c>
      <c r="AI841" t="s">
        <v>478</v>
      </c>
      <c r="AJ841" t="s">
        <v>228</v>
      </c>
      <c r="AK841" t="s">
        <v>229</v>
      </c>
      <c r="AL841" t="s">
        <v>129</v>
      </c>
      <c r="AP841" t="s">
        <v>230</v>
      </c>
      <c r="AQ841" t="s">
        <v>231</v>
      </c>
      <c r="AT841" t="s">
        <v>232</v>
      </c>
      <c r="AU841">
        <v>-99</v>
      </c>
      <c r="AV841" t="s">
        <v>73</v>
      </c>
      <c r="AW841">
        <v>-2</v>
      </c>
      <c r="AX841">
        <v>42228296</v>
      </c>
      <c r="AY841" s="73">
        <v>45361.590289351851</v>
      </c>
      <c r="AZ841" t="s">
        <v>226</v>
      </c>
      <c r="BA841" t="s">
        <v>478</v>
      </c>
      <c r="BB841" t="s">
        <v>228</v>
      </c>
      <c r="BC841" t="s">
        <v>229</v>
      </c>
      <c r="BD841" t="s">
        <v>129</v>
      </c>
      <c r="BI841" t="s">
        <v>233</v>
      </c>
      <c r="BJ841" t="s">
        <v>0</v>
      </c>
      <c r="BK841">
        <v>42228266</v>
      </c>
      <c r="BN841" t="s">
        <v>73</v>
      </c>
      <c r="BR841">
        <v>-2</v>
      </c>
      <c r="BS841">
        <v>42228296</v>
      </c>
      <c r="BT841" s="73">
        <v>45361.590289351851</v>
      </c>
      <c r="BU841" t="s">
        <v>226</v>
      </c>
      <c r="BV841" t="s">
        <v>478</v>
      </c>
      <c r="BW841" t="s">
        <v>228</v>
      </c>
      <c r="CH841" t="s">
        <v>229</v>
      </c>
      <c r="CI841" t="s">
        <v>129</v>
      </c>
      <c r="CJ841" t="s">
        <v>226</v>
      </c>
      <c r="CK841" t="s">
        <v>478</v>
      </c>
      <c r="CL841" t="s">
        <v>228</v>
      </c>
      <c r="CM841" t="s">
        <v>234</v>
      </c>
      <c r="CN841" t="s">
        <v>73</v>
      </c>
      <c r="CO841">
        <v>-2</v>
      </c>
      <c r="CP841">
        <v>42228296</v>
      </c>
      <c r="CQ841" s="73">
        <v>45361.590289351851</v>
      </c>
      <c r="CR841" t="s">
        <v>229</v>
      </c>
      <c r="CS841" t="s">
        <v>129</v>
      </c>
      <c r="CU841" t="s">
        <v>225</v>
      </c>
    </row>
    <row r="842" spans="1:99">
      <c r="A842" t="s">
        <v>99</v>
      </c>
      <c r="B842" t="s">
        <v>98</v>
      </c>
      <c r="J842" t="s">
        <v>225</v>
      </c>
      <c r="K842" t="s">
        <v>225</v>
      </c>
      <c r="M842" s="73">
        <v>45361.590277777781</v>
      </c>
      <c r="N842">
        <v>42211822</v>
      </c>
      <c r="O842">
        <v>1441.41</v>
      </c>
      <c r="P842" t="s">
        <v>73</v>
      </c>
      <c r="Q842">
        <v>1441.41</v>
      </c>
      <c r="R842" t="s">
        <v>73</v>
      </c>
      <c r="U842" t="s">
        <v>226</v>
      </c>
      <c r="V842" t="s">
        <v>482</v>
      </c>
      <c r="W842" t="s">
        <v>235</v>
      </c>
      <c r="X842" t="s">
        <v>229</v>
      </c>
      <c r="Y842" t="s">
        <v>99</v>
      </c>
      <c r="AD842" t="s">
        <v>73</v>
      </c>
      <c r="AE842">
        <v>1441.41</v>
      </c>
      <c r="AF842">
        <v>42211822</v>
      </c>
      <c r="AG842" s="73">
        <v>45361.590277777781</v>
      </c>
      <c r="AH842" t="s">
        <v>226</v>
      </c>
      <c r="AI842" t="s">
        <v>482</v>
      </c>
      <c r="AJ842" t="s">
        <v>235</v>
      </c>
      <c r="AK842" t="s">
        <v>229</v>
      </c>
      <c r="AL842" t="s">
        <v>99</v>
      </c>
      <c r="AP842" t="s">
        <v>230</v>
      </c>
      <c r="AQ842" t="s">
        <v>231</v>
      </c>
      <c r="AT842" t="s">
        <v>232</v>
      </c>
      <c r="AU842">
        <v>-99</v>
      </c>
      <c r="AV842" t="s">
        <v>73</v>
      </c>
      <c r="AW842">
        <v>1441.41</v>
      </c>
      <c r="AX842">
        <v>42211822</v>
      </c>
      <c r="AY842" s="73">
        <v>45361.590277777781</v>
      </c>
      <c r="AZ842" t="s">
        <v>226</v>
      </c>
      <c r="BA842" t="s">
        <v>482</v>
      </c>
      <c r="BB842" t="s">
        <v>235</v>
      </c>
      <c r="BC842" t="s">
        <v>229</v>
      </c>
      <c r="BD842" t="s">
        <v>99</v>
      </c>
      <c r="BI842" t="s">
        <v>233</v>
      </c>
      <c r="BJ842" t="s">
        <v>0</v>
      </c>
      <c r="BK842">
        <v>42211818</v>
      </c>
      <c r="BN842" t="s">
        <v>73</v>
      </c>
      <c r="BO842">
        <v>42211820</v>
      </c>
      <c r="BR842">
        <v>1441.41</v>
      </c>
      <c r="BS842">
        <v>42211822</v>
      </c>
      <c r="BT842" s="73">
        <v>45361.590277777781</v>
      </c>
      <c r="BU842" t="s">
        <v>226</v>
      </c>
      <c r="BV842" t="s">
        <v>482</v>
      </c>
      <c r="BW842" t="s">
        <v>235</v>
      </c>
      <c r="CH842" t="s">
        <v>229</v>
      </c>
      <c r="CI842" t="s">
        <v>99</v>
      </c>
      <c r="CJ842" t="s">
        <v>226</v>
      </c>
      <c r="CK842" t="s">
        <v>482</v>
      </c>
      <c r="CL842" t="s">
        <v>235</v>
      </c>
      <c r="CM842" t="s">
        <v>236</v>
      </c>
      <c r="CN842" t="s">
        <v>73</v>
      </c>
      <c r="CO842">
        <v>1441.41</v>
      </c>
      <c r="CP842">
        <v>42211822</v>
      </c>
      <c r="CQ842" s="73">
        <v>45361.590277777781</v>
      </c>
      <c r="CR842" t="s">
        <v>229</v>
      </c>
      <c r="CS842" t="s">
        <v>99</v>
      </c>
      <c r="CU842" t="s">
        <v>225</v>
      </c>
    </row>
    <row r="843" spans="1:99">
      <c r="A843" t="s">
        <v>71</v>
      </c>
      <c r="B843" t="s">
        <v>77</v>
      </c>
      <c r="J843" t="s">
        <v>225</v>
      </c>
      <c r="K843" t="s">
        <v>225</v>
      </c>
      <c r="M843" s="73">
        <v>45361.590277777781</v>
      </c>
      <c r="N843">
        <v>42211815</v>
      </c>
      <c r="O843">
        <v>0.87</v>
      </c>
      <c r="P843" t="s">
        <v>73</v>
      </c>
      <c r="Q843">
        <v>0.87</v>
      </c>
      <c r="R843" t="s">
        <v>73</v>
      </c>
      <c r="U843" t="s">
        <v>226</v>
      </c>
      <c r="V843" t="s">
        <v>482</v>
      </c>
      <c r="W843" t="s">
        <v>237</v>
      </c>
      <c r="X843" t="s">
        <v>229</v>
      </c>
      <c r="Y843" t="s">
        <v>71</v>
      </c>
      <c r="AD843" t="s">
        <v>73</v>
      </c>
      <c r="AE843">
        <v>0.87</v>
      </c>
      <c r="AF843">
        <v>42211815</v>
      </c>
      <c r="AG843" s="73">
        <v>45361.590277777781</v>
      </c>
      <c r="AH843" t="s">
        <v>226</v>
      </c>
      <c r="AI843" t="s">
        <v>482</v>
      </c>
      <c r="AJ843" t="s">
        <v>237</v>
      </c>
      <c r="AK843" t="s">
        <v>229</v>
      </c>
      <c r="AL843" t="s">
        <v>71</v>
      </c>
      <c r="AP843" t="s">
        <v>230</v>
      </c>
      <c r="AQ843" t="s">
        <v>231</v>
      </c>
      <c r="AT843" t="s">
        <v>232</v>
      </c>
      <c r="AU843">
        <v>-99</v>
      </c>
      <c r="AV843" t="s">
        <v>73</v>
      </c>
      <c r="AW843">
        <v>0.87</v>
      </c>
      <c r="AX843">
        <v>42211815</v>
      </c>
      <c r="AY843" s="73">
        <v>45361.590277777781</v>
      </c>
      <c r="AZ843" t="s">
        <v>226</v>
      </c>
      <c r="BA843" t="s">
        <v>482</v>
      </c>
      <c r="BB843" t="s">
        <v>237</v>
      </c>
      <c r="BC843" t="s">
        <v>229</v>
      </c>
      <c r="BD843" t="s">
        <v>71</v>
      </c>
      <c r="BI843" t="s">
        <v>233</v>
      </c>
      <c r="BJ843" t="s">
        <v>0</v>
      </c>
      <c r="BK843">
        <v>42211811</v>
      </c>
      <c r="BN843" t="s">
        <v>73</v>
      </c>
      <c r="BO843">
        <v>42211813</v>
      </c>
      <c r="BR843">
        <v>0.87</v>
      </c>
      <c r="BS843">
        <v>42211815</v>
      </c>
      <c r="BT843" s="73">
        <v>45361.590277777781</v>
      </c>
      <c r="BU843" t="s">
        <v>226</v>
      </c>
      <c r="BV843" t="s">
        <v>482</v>
      </c>
      <c r="BW843" t="s">
        <v>237</v>
      </c>
      <c r="CH843" t="s">
        <v>229</v>
      </c>
      <c r="CI843" t="s">
        <v>71</v>
      </c>
      <c r="CJ843" t="s">
        <v>226</v>
      </c>
      <c r="CK843" t="s">
        <v>482</v>
      </c>
      <c r="CL843" t="s">
        <v>237</v>
      </c>
      <c r="CM843" t="s">
        <v>236</v>
      </c>
      <c r="CN843" t="s">
        <v>73</v>
      </c>
      <c r="CO843">
        <v>0.87</v>
      </c>
      <c r="CP843">
        <v>42211815</v>
      </c>
      <c r="CQ843" s="73">
        <v>45361.590277777781</v>
      </c>
      <c r="CR843" t="s">
        <v>229</v>
      </c>
      <c r="CS843" t="s">
        <v>71</v>
      </c>
      <c r="CU843" t="s">
        <v>225</v>
      </c>
    </row>
    <row r="844" spans="1:99">
      <c r="A844" t="s">
        <v>127</v>
      </c>
      <c r="B844" t="s">
        <v>90</v>
      </c>
      <c r="J844" t="s">
        <v>225</v>
      </c>
      <c r="K844" t="s">
        <v>225</v>
      </c>
      <c r="M844" s="73">
        <v>45361.590277777781</v>
      </c>
      <c r="N844">
        <v>42211808</v>
      </c>
      <c r="O844">
        <v>-670.1</v>
      </c>
      <c r="P844" t="s">
        <v>73</v>
      </c>
      <c r="Q844">
        <v>-670.1</v>
      </c>
      <c r="R844" t="s">
        <v>73</v>
      </c>
      <c r="U844" t="s">
        <v>226</v>
      </c>
      <c r="V844" t="s">
        <v>482</v>
      </c>
      <c r="W844" t="s">
        <v>228</v>
      </c>
      <c r="X844" t="s">
        <v>229</v>
      </c>
      <c r="Y844" t="s">
        <v>127</v>
      </c>
      <c r="AD844" t="s">
        <v>73</v>
      </c>
      <c r="AE844">
        <v>-670.1</v>
      </c>
      <c r="AF844">
        <v>42211808</v>
      </c>
      <c r="AG844" s="73">
        <v>45361.590277777781</v>
      </c>
      <c r="AH844" t="s">
        <v>226</v>
      </c>
      <c r="AI844" t="s">
        <v>482</v>
      </c>
      <c r="AJ844" t="s">
        <v>228</v>
      </c>
      <c r="AK844" t="s">
        <v>229</v>
      </c>
      <c r="AL844" t="s">
        <v>127</v>
      </c>
      <c r="AP844" t="s">
        <v>230</v>
      </c>
      <c r="AQ844" t="s">
        <v>231</v>
      </c>
      <c r="AT844" t="s">
        <v>232</v>
      </c>
      <c r="AU844">
        <v>-99</v>
      </c>
      <c r="AV844" t="s">
        <v>73</v>
      </c>
      <c r="AW844">
        <v>-670.1</v>
      </c>
      <c r="AX844">
        <v>42211808</v>
      </c>
      <c r="AY844" s="73">
        <v>45361.590277777781</v>
      </c>
      <c r="AZ844" t="s">
        <v>226</v>
      </c>
      <c r="BA844" t="s">
        <v>482</v>
      </c>
      <c r="BB844" t="s">
        <v>228</v>
      </c>
      <c r="BC844" t="s">
        <v>229</v>
      </c>
      <c r="BD844" t="s">
        <v>127</v>
      </c>
      <c r="BI844" t="s">
        <v>233</v>
      </c>
      <c r="BJ844" t="s">
        <v>0</v>
      </c>
      <c r="BK844">
        <v>42211804</v>
      </c>
      <c r="BN844" t="s">
        <v>73</v>
      </c>
      <c r="BR844">
        <v>-670.1</v>
      </c>
      <c r="BS844">
        <v>42211808</v>
      </c>
      <c r="BT844" s="73">
        <v>45361.590277777781</v>
      </c>
      <c r="BU844" t="s">
        <v>226</v>
      </c>
      <c r="BV844" t="s">
        <v>482</v>
      </c>
      <c r="BW844" t="s">
        <v>228</v>
      </c>
      <c r="CH844" t="s">
        <v>229</v>
      </c>
      <c r="CI844" t="s">
        <v>127</v>
      </c>
      <c r="CJ844" t="s">
        <v>226</v>
      </c>
      <c r="CK844" t="s">
        <v>482</v>
      </c>
      <c r="CL844" t="s">
        <v>228</v>
      </c>
      <c r="CM844" t="s">
        <v>234</v>
      </c>
      <c r="CN844" t="s">
        <v>73</v>
      </c>
      <c r="CO844">
        <v>-670.1</v>
      </c>
      <c r="CP844">
        <v>42211808</v>
      </c>
      <c r="CQ844" s="73">
        <v>45361.590277777781</v>
      </c>
      <c r="CR844" t="s">
        <v>229</v>
      </c>
      <c r="CS844" t="s">
        <v>127</v>
      </c>
      <c r="CU844" t="s">
        <v>225</v>
      </c>
    </row>
    <row r="845" spans="1:99">
      <c r="A845" t="s">
        <v>131</v>
      </c>
      <c r="B845" t="s">
        <v>90</v>
      </c>
      <c r="J845" t="s">
        <v>225</v>
      </c>
      <c r="K845" t="s">
        <v>225</v>
      </c>
      <c r="M845" s="73">
        <v>45361.590277777781</v>
      </c>
      <c r="N845">
        <v>42211801</v>
      </c>
      <c r="O845">
        <v>-163.6</v>
      </c>
      <c r="P845" t="s">
        <v>73</v>
      </c>
      <c r="Q845">
        <v>-163.6</v>
      </c>
      <c r="R845" t="s">
        <v>73</v>
      </c>
      <c r="U845" t="s">
        <v>226</v>
      </c>
      <c r="V845" t="s">
        <v>482</v>
      </c>
      <c r="W845" t="s">
        <v>228</v>
      </c>
      <c r="X845" t="s">
        <v>229</v>
      </c>
      <c r="Y845" t="s">
        <v>131</v>
      </c>
      <c r="AD845" t="s">
        <v>73</v>
      </c>
      <c r="AE845">
        <v>-163.6</v>
      </c>
      <c r="AF845">
        <v>42211801</v>
      </c>
      <c r="AG845" s="73">
        <v>45361.590277777781</v>
      </c>
      <c r="AH845" t="s">
        <v>226</v>
      </c>
      <c r="AI845" t="s">
        <v>482</v>
      </c>
      <c r="AJ845" t="s">
        <v>228</v>
      </c>
      <c r="AK845" t="s">
        <v>229</v>
      </c>
      <c r="AL845" t="s">
        <v>131</v>
      </c>
      <c r="AP845" t="s">
        <v>230</v>
      </c>
      <c r="AQ845" t="s">
        <v>231</v>
      </c>
      <c r="AT845" t="s">
        <v>232</v>
      </c>
      <c r="AU845">
        <v>-99</v>
      </c>
      <c r="AV845" t="s">
        <v>73</v>
      </c>
      <c r="AW845">
        <v>-163.6</v>
      </c>
      <c r="AX845">
        <v>42211801</v>
      </c>
      <c r="AY845" s="73">
        <v>45361.590277777781</v>
      </c>
      <c r="AZ845" t="s">
        <v>226</v>
      </c>
      <c r="BA845" t="s">
        <v>482</v>
      </c>
      <c r="BB845" t="s">
        <v>228</v>
      </c>
      <c r="BC845" t="s">
        <v>229</v>
      </c>
      <c r="BD845" t="s">
        <v>131</v>
      </c>
      <c r="BI845" t="s">
        <v>233</v>
      </c>
      <c r="BJ845" t="s">
        <v>0</v>
      </c>
      <c r="BK845">
        <v>42211797</v>
      </c>
      <c r="BN845" t="s">
        <v>73</v>
      </c>
      <c r="BR845">
        <v>-163.6</v>
      </c>
      <c r="BS845">
        <v>42211801</v>
      </c>
      <c r="BT845" s="73">
        <v>45361.590277777781</v>
      </c>
      <c r="BU845" t="s">
        <v>226</v>
      </c>
      <c r="BV845" t="s">
        <v>482</v>
      </c>
      <c r="BW845" t="s">
        <v>228</v>
      </c>
      <c r="CH845" t="s">
        <v>229</v>
      </c>
      <c r="CI845" t="s">
        <v>131</v>
      </c>
      <c r="CJ845" t="s">
        <v>226</v>
      </c>
      <c r="CK845" t="s">
        <v>482</v>
      </c>
      <c r="CL845" t="s">
        <v>228</v>
      </c>
      <c r="CM845" t="s">
        <v>234</v>
      </c>
      <c r="CN845" t="s">
        <v>73</v>
      </c>
      <c r="CO845">
        <v>-163.6</v>
      </c>
      <c r="CP845">
        <v>42211801</v>
      </c>
      <c r="CQ845" s="73">
        <v>45361.590277777781</v>
      </c>
      <c r="CR845" t="s">
        <v>229</v>
      </c>
      <c r="CS845" t="s">
        <v>131</v>
      </c>
      <c r="CU845" t="s">
        <v>225</v>
      </c>
    </row>
    <row r="846" spans="1:99">
      <c r="A846" t="s">
        <v>87</v>
      </c>
      <c r="B846" t="s">
        <v>90</v>
      </c>
      <c r="J846" t="s">
        <v>225</v>
      </c>
      <c r="K846" t="s">
        <v>225</v>
      </c>
      <c r="M846" s="73">
        <v>45361.590277777781</v>
      </c>
      <c r="N846">
        <v>42211794</v>
      </c>
      <c r="O846">
        <v>-59.7</v>
      </c>
      <c r="P846" t="s">
        <v>73</v>
      </c>
      <c r="Q846">
        <v>-59.7</v>
      </c>
      <c r="R846" t="s">
        <v>73</v>
      </c>
      <c r="U846" t="s">
        <v>226</v>
      </c>
      <c r="V846" t="s">
        <v>482</v>
      </c>
      <c r="W846" t="s">
        <v>228</v>
      </c>
      <c r="X846" t="s">
        <v>229</v>
      </c>
      <c r="Y846" t="s">
        <v>87</v>
      </c>
      <c r="AD846" t="s">
        <v>73</v>
      </c>
      <c r="AE846">
        <v>-59.7</v>
      </c>
      <c r="AF846">
        <v>42211794</v>
      </c>
      <c r="AG846" s="73">
        <v>45361.590277777781</v>
      </c>
      <c r="AH846" t="s">
        <v>226</v>
      </c>
      <c r="AI846" t="s">
        <v>482</v>
      </c>
      <c r="AJ846" t="s">
        <v>228</v>
      </c>
      <c r="AK846" t="s">
        <v>229</v>
      </c>
      <c r="AL846" t="s">
        <v>87</v>
      </c>
      <c r="AP846" t="s">
        <v>230</v>
      </c>
      <c r="AQ846" t="s">
        <v>231</v>
      </c>
      <c r="AT846" t="s">
        <v>232</v>
      </c>
      <c r="AU846">
        <v>-99</v>
      </c>
      <c r="AV846" t="s">
        <v>73</v>
      </c>
      <c r="AW846">
        <v>-59.7</v>
      </c>
      <c r="AX846">
        <v>42211794</v>
      </c>
      <c r="AY846" s="73">
        <v>45361.590277777781</v>
      </c>
      <c r="AZ846" t="s">
        <v>226</v>
      </c>
      <c r="BA846" t="s">
        <v>482</v>
      </c>
      <c r="BB846" t="s">
        <v>228</v>
      </c>
      <c r="BC846" t="s">
        <v>229</v>
      </c>
      <c r="BD846" t="s">
        <v>87</v>
      </c>
      <c r="BI846" t="s">
        <v>233</v>
      </c>
      <c r="BJ846" t="s">
        <v>0</v>
      </c>
      <c r="BK846">
        <v>42211790</v>
      </c>
      <c r="BN846" t="s">
        <v>73</v>
      </c>
      <c r="BR846">
        <v>-59.7</v>
      </c>
      <c r="BS846">
        <v>42211794</v>
      </c>
      <c r="BT846" s="73">
        <v>45361.590277777781</v>
      </c>
      <c r="BU846" t="s">
        <v>226</v>
      </c>
      <c r="BV846" t="s">
        <v>482</v>
      </c>
      <c r="BW846" t="s">
        <v>228</v>
      </c>
      <c r="CH846" t="s">
        <v>229</v>
      </c>
      <c r="CI846" t="s">
        <v>87</v>
      </c>
      <c r="CJ846" t="s">
        <v>226</v>
      </c>
      <c r="CK846" t="s">
        <v>482</v>
      </c>
      <c r="CL846" t="s">
        <v>228</v>
      </c>
      <c r="CM846" t="s">
        <v>234</v>
      </c>
      <c r="CN846" t="s">
        <v>73</v>
      </c>
      <c r="CO846">
        <v>-59.7</v>
      </c>
      <c r="CP846">
        <v>42211794</v>
      </c>
      <c r="CQ846" s="73">
        <v>45361.590277777781</v>
      </c>
      <c r="CR846" t="s">
        <v>229</v>
      </c>
      <c r="CS846" t="s">
        <v>87</v>
      </c>
      <c r="CU846" t="s">
        <v>225</v>
      </c>
    </row>
    <row r="847" spans="1:99">
      <c r="A847" t="s">
        <v>133</v>
      </c>
      <c r="B847" t="s">
        <v>90</v>
      </c>
      <c r="J847" t="s">
        <v>225</v>
      </c>
      <c r="K847" t="s">
        <v>225</v>
      </c>
      <c r="M847" s="73">
        <v>45361.590277777781</v>
      </c>
      <c r="N847">
        <v>42211787</v>
      </c>
      <c r="O847">
        <v>-595.1</v>
      </c>
      <c r="P847" t="s">
        <v>73</v>
      </c>
      <c r="Q847">
        <v>-595.1</v>
      </c>
      <c r="R847" t="s">
        <v>73</v>
      </c>
      <c r="U847" t="s">
        <v>226</v>
      </c>
      <c r="V847" t="s">
        <v>482</v>
      </c>
      <c r="W847" t="s">
        <v>228</v>
      </c>
      <c r="X847" t="s">
        <v>229</v>
      </c>
      <c r="Y847" t="s">
        <v>133</v>
      </c>
      <c r="AD847" t="s">
        <v>73</v>
      </c>
      <c r="AE847">
        <v>-595.1</v>
      </c>
      <c r="AF847">
        <v>42211787</v>
      </c>
      <c r="AG847" s="73">
        <v>45361.590277777781</v>
      </c>
      <c r="AH847" t="s">
        <v>226</v>
      </c>
      <c r="AI847" t="s">
        <v>482</v>
      </c>
      <c r="AJ847" t="s">
        <v>228</v>
      </c>
      <c r="AK847" t="s">
        <v>229</v>
      </c>
      <c r="AL847" t="s">
        <v>133</v>
      </c>
      <c r="AP847" t="s">
        <v>230</v>
      </c>
      <c r="AQ847" t="s">
        <v>231</v>
      </c>
      <c r="AT847" t="s">
        <v>232</v>
      </c>
      <c r="AU847">
        <v>-99</v>
      </c>
      <c r="AV847" t="s">
        <v>73</v>
      </c>
      <c r="AW847">
        <v>-595.1</v>
      </c>
      <c r="AX847">
        <v>42211787</v>
      </c>
      <c r="AY847" s="73">
        <v>45361.590277777781</v>
      </c>
      <c r="AZ847" t="s">
        <v>226</v>
      </c>
      <c r="BA847" t="s">
        <v>482</v>
      </c>
      <c r="BB847" t="s">
        <v>228</v>
      </c>
      <c r="BC847" t="s">
        <v>229</v>
      </c>
      <c r="BD847" t="s">
        <v>133</v>
      </c>
      <c r="BI847" t="s">
        <v>233</v>
      </c>
      <c r="BJ847" t="s">
        <v>0</v>
      </c>
      <c r="BK847">
        <v>42211783</v>
      </c>
      <c r="BN847" t="s">
        <v>73</v>
      </c>
      <c r="BR847">
        <v>-595.1</v>
      </c>
      <c r="BS847">
        <v>42211787</v>
      </c>
      <c r="BT847" s="73">
        <v>45361.590277777781</v>
      </c>
      <c r="BU847" t="s">
        <v>226</v>
      </c>
      <c r="BV847" t="s">
        <v>482</v>
      </c>
      <c r="BW847" t="s">
        <v>228</v>
      </c>
      <c r="CH847" t="s">
        <v>229</v>
      </c>
      <c r="CI847" t="s">
        <v>133</v>
      </c>
      <c r="CJ847" t="s">
        <v>226</v>
      </c>
      <c r="CK847" t="s">
        <v>482</v>
      </c>
      <c r="CL847" t="s">
        <v>228</v>
      </c>
      <c r="CM847" t="s">
        <v>234</v>
      </c>
      <c r="CN847" t="s">
        <v>73</v>
      </c>
      <c r="CO847">
        <v>-595.1</v>
      </c>
      <c r="CP847">
        <v>42211787</v>
      </c>
      <c r="CQ847" s="73">
        <v>45361.590277777781</v>
      </c>
      <c r="CR847" t="s">
        <v>229</v>
      </c>
      <c r="CS847" t="s">
        <v>133</v>
      </c>
      <c r="CU847" t="s">
        <v>225</v>
      </c>
    </row>
    <row r="848" spans="1:99">
      <c r="A848" t="s">
        <v>46</v>
      </c>
      <c r="B848" t="s">
        <v>92</v>
      </c>
      <c r="J848" t="s">
        <v>225</v>
      </c>
      <c r="K848" t="s">
        <v>225</v>
      </c>
      <c r="M848" s="73">
        <v>45361.583333333336</v>
      </c>
      <c r="N848">
        <v>42227316</v>
      </c>
      <c r="O848">
        <v>-1560</v>
      </c>
      <c r="P848" t="s">
        <v>45</v>
      </c>
      <c r="Q848">
        <v>-1560</v>
      </c>
      <c r="R848" t="s">
        <v>45</v>
      </c>
      <c r="U848" t="s">
        <v>226</v>
      </c>
      <c r="V848" t="s">
        <v>483</v>
      </c>
      <c r="W848" t="s">
        <v>228</v>
      </c>
      <c r="X848" t="s">
        <v>229</v>
      </c>
      <c r="Y848" t="s">
        <v>46</v>
      </c>
      <c r="AD848" t="s">
        <v>45</v>
      </c>
      <c r="AE848">
        <v>-1560</v>
      </c>
      <c r="AF848">
        <v>42227316</v>
      </c>
      <c r="AG848" s="73">
        <v>45361.583333333336</v>
      </c>
      <c r="AH848" t="s">
        <v>226</v>
      </c>
      <c r="AI848" t="s">
        <v>483</v>
      </c>
      <c r="AJ848" t="s">
        <v>228</v>
      </c>
      <c r="AK848" t="s">
        <v>229</v>
      </c>
      <c r="AL848" t="s">
        <v>46</v>
      </c>
      <c r="AP848" t="s">
        <v>230</v>
      </c>
      <c r="AQ848" t="s">
        <v>231</v>
      </c>
      <c r="AT848" t="s">
        <v>232</v>
      </c>
      <c r="AU848">
        <v>-99</v>
      </c>
      <c r="AV848" t="s">
        <v>45</v>
      </c>
      <c r="AW848">
        <v>-1560</v>
      </c>
      <c r="AX848">
        <v>42227316</v>
      </c>
      <c r="AY848" s="73">
        <v>45361.583333333336</v>
      </c>
      <c r="AZ848" t="s">
        <v>226</v>
      </c>
      <c r="BA848" t="s">
        <v>483</v>
      </c>
      <c r="BB848" t="s">
        <v>228</v>
      </c>
      <c r="BC848" t="s">
        <v>229</v>
      </c>
      <c r="BD848" t="s">
        <v>46</v>
      </c>
      <c r="BI848" t="s">
        <v>233</v>
      </c>
      <c r="BJ848" t="s">
        <v>0</v>
      </c>
      <c r="BK848">
        <v>42227300</v>
      </c>
      <c r="BN848" t="s">
        <v>45</v>
      </c>
      <c r="BR848">
        <v>-1560</v>
      </c>
      <c r="BS848">
        <v>42227316</v>
      </c>
      <c r="BT848" s="73">
        <v>45361.583333333336</v>
      </c>
      <c r="BU848" t="s">
        <v>226</v>
      </c>
      <c r="BV848" t="s">
        <v>483</v>
      </c>
      <c r="BW848" t="s">
        <v>228</v>
      </c>
      <c r="CH848" t="s">
        <v>229</v>
      </c>
      <c r="CI848" t="s">
        <v>46</v>
      </c>
      <c r="CJ848" t="s">
        <v>226</v>
      </c>
      <c r="CK848" t="s">
        <v>483</v>
      </c>
      <c r="CL848" t="s">
        <v>228</v>
      </c>
      <c r="CM848" t="s">
        <v>234</v>
      </c>
      <c r="CN848" t="s">
        <v>45</v>
      </c>
      <c r="CO848">
        <v>-1560</v>
      </c>
      <c r="CP848">
        <v>42227316</v>
      </c>
      <c r="CQ848" s="73">
        <v>45361.583333333336</v>
      </c>
      <c r="CR848" t="s">
        <v>229</v>
      </c>
      <c r="CS848" t="s">
        <v>46</v>
      </c>
      <c r="CU848" t="s">
        <v>225</v>
      </c>
    </row>
    <row r="849" spans="1:99">
      <c r="A849" t="s">
        <v>93</v>
      </c>
      <c r="B849" t="s">
        <v>98</v>
      </c>
      <c r="J849" t="s">
        <v>225</v>
      </c>
      <c r="K849" t="s">
        <v>225</v>
      </c>
      <c r="M849" s="73">
        <v>45361.583333333336</v>
      </c>
      <c r="N849">
        <v>42227315</v>
      </c>
      <c r="O849">
        <v>-77.8</v>
      </c>
      <c r="P849" t="s">
        <v>73</v>
      </c>
      <c r="Q849">
        <v>-77.8</v>
      </c>
      <c r="R849" t="s">
        <v>73</v>
      </c>
      <c r="U849" t="s">
        <v>226</v>
      </c>
      <c r="V849" t="s">
        <v>483</v>
      </c>
      <c r="W849" t="s">
        <v>228</v>
      </c>
      <c r="X849" t="s">
        <v>229</v>
      </c>
      <c r="Y849" t="s">
        <v>93</v>
      </c>
      <c r="AD849" t="s">
        <v>73</v>
      </c>
      <c r="AE849">
        <v>-77.8</v>
      </c>
      <c r="AF849">
        <v>42227315</v>
      </c>
      <c r="AG849" s="73">
        <v>45361.583333333336</v>
      </c>
      <c r="AH849" t="s">
        <v>226</v>
      </c>
      <c r="AI849" t="s">
        <v>483</v>
      </c>
      <c r="AJ849" t="s">
        <v>228</v>
      </c>
      <c r="AK849" t="s">
        <v>229</v>
      </c>
      <c r="AL849" t="s">
        <v>93</v>
      </c>
      <c r="AP849" t="s">
        <v>230</v>
      </c>
      <c r="AQ849" t="s">
        <v>231</v>
      </c>
      <c r="AT849" t="s">
        <v>232</v>
      </c>
      <c r="AU849">
        <v>-99</v>
      </c>
      <c r="AV849" t="s">
        <v>73</v>
      </c>
      <c r="AW849">
        <v>-77.8</v>
      </c>
      <c r="AX849">
        <v>42227315</v>
      </c>
      <c r="AY849" s="73">
        <v>45361.583333333336</v>
      </c>
      <c r="AZ849" t="s">
        <v>226</v>
      </c>
      <c r="BA849" t="s">
        <v>483</v>
      </c>
      <c r="BB849" t="s">
        <v>228</v>
      </c>
      <c r="BC849" t="s">
        <v>229</v>
      </c>
      <c r="BD849" t="s">
        <v>93</v>
      </c>
      <c r="BI849" t="s">
        <v>233</v>
      </c>
      <c r="BJ849" t="s">
        <v>0</v>
      </c>
      <c r="BK849">
        <v>42227300</v>
      </c>
      <c r="BN849" t="s">
        <v>73</v>
      </c>
      <c r="BR849">
        <v>-77.8</v>
      </c>
      <c r="BS849">
        <v>42227315</v>
      </c>
      <c r="BT849" s="73">
        <v>45361.583333333336</v>
      </c>
      <c r="BU849" t="s">
        <v>226</v>
      </c>
      <c r="BV849" t="s">
        <v>483</v>
      </c>
      <c r="BW849" t="s">
        <v>228</v>
      </c>
      <c r="CH849" t="s">
        <v>229</v>
      </c>
      <c r="CI849" t="s">
        <v>93</v>
      </c>
      <c r="CJ849" t="s">
        <v>226</v>
      </c>
      <c r="CK849" t="s">
        <v>483</v>
      </c>
      <c r="CL849" t="s">
        <v>228</v>
      </c>
      <c r="CM849" t="s">
        <v>234</v>
      </c>
      <c r="CN849" t="s">
        <v>73</v>
      </c>
      <c r="CO849">
        <v>-77.8</v>
      </c>
      <c r="CP849">
        <v>42227315</v>
      </c>
      <c r="CQ849" s="73">
        <v>45361.583333333336</v>
      </c>
      <c r="CR849" t="s">
        <v>229</v>
      </c>
      <c r="CS849" t="s">
        <v>93</v>
      </c>
      <c r="CU849" t="s">
        <v>225</v>
      </c>
    </row>
    <row r="850" spans="1:99">
      <c r="A850" t="s">
        <v>108</v>
      </c>
      <c r="B850" t="s">
        <v>98</v>
      </c>
      <c r="J850" t="s">
        <v>225</v>
      </c>
      <c r="K850" t="s">
        <v>225</v>
      </c>
      <c r="M850" s="73">
        <v>45361.583333333336</v>
      </c>
      <c r="N850">
        <v>42227314</v>
      </c>
      <c r="O850">
        <v>1556</v>
      </c>
      <c r="P850" t="s">
        <v>104</v>
      </c>
      <c r="Q850">
        <v>1556</v>
      </c>
      <c r="R850" t="s">
        <v>104</v>
      </c>
      <c r="S850">
        <v>77.8</v>
      </c>
      <c r="T850" t="s">
        <v>73</v>
      </c>
      <c r="U850" t="s">
        <v>226</v>
      </c>
      <c r="V850" t="s">
        <v>483</v>
      </c>
      <c r="W850" t="s">
        <v>235</v>
      </c>
      <c r="X850" t="s">
        <v>229</v>
      </c>
      <c r="Y850" t="s">
        <v>108</v>
      </c>
      <c r="AD850" t="s">
        <v>104</v>
      </c>
      <c r="AE850">
        <v>1556</v>
      </c>
      <c r="AF850">
        <v>42227314</v>
      </c>
      <c r="AG850" s="73">
        <v>45361.583333333336</v>
      </c>
      <c r="AH850" t="s">
        <v>226</v>
      </c>
      <c r="AI850" t="s">
        <v>483</v>
      </c>
      <c r="AJ850" t="s">
        <v>235</v>
      </c>
      <c r="AK850" t="s">
        <v>229</v>
      </c>
      <c r="AL850" t="s">
        <v>108</v>
      </c>
      <c r="AP850" t="s">
        <v>230</v>
      </c>
      <c r="AQ850" t="s">
        <v>231</v>
      </c>
      <c r="AT850" t="s">
        <v>232</v>
      </c>
      <c r="AU850">
        <v>-99</v>
      </c>
      <c r="AV850" t="s">
        <v>104</v>
      </c>
      <c r="AW850">
        <v>1556</v>
      </c>
      <c r="AX850">
        <v>42227314</v>
      </c>
      <c r="AY850" s="73">
        <v>45361.583333333336</v>
      </c>
      <c r="AZ850" t="s">
        <v>226</v>
      </c>
      <c r="BA850" t="s">
        <v>483</v>
      </c>
      <c r="BB850" t="s">
        <v>235</v>
      </c>
      <c r="BC850" t="s">
        <v>229</v>
      </c>
      <c r="BD850" t="s">
        <v>108</v>
      </c>
      <c r="BI850" t="s">
        <v>233</v>
      </c>
      <c r="BJ850" t="s">
        <v>0</v>
      </c>
      <c r="BK850">
        <v>42227300</v>
      </c>
      <c r="BN850" t="s">
        <v>104</v>
      </c>
      <c r="BO850">
        <v>42227306</v>
      </c>
      <c r="BR850">
        <v>1556</v>
      </c>
      <c r="BS850">
        <v>42227314</v>
      </c>
      <c r="BT850" s="73">
        <v>45361.583333333336</v>
      </c>
      <c r="BU850" t="s">
        <v>226</v>
      </c>
      <c r="BV850" t="s">
        <v>483</v>
      </c>
      <c r="BW850" t="s">
        <v>235</v>
      </c>
      <c r="CH850" t="s">
        <v>229</v>
      </c>
      <c r="CI850" t="s">
        <v>108</v>
      </c>
      <c r="CJ850" t="s">
        <v>226</v>
      </c>
      <c r="CK850" t="s">
        <v>483</v>
      </c>
      <c r="CL850" t="s">
        <v>235</v>
      </c>
      <c r="CM850" t="s">
        <v>236</v>
      </c>
      <c r="CN850" t="s">
        <v>104</v>
      </c>
      <c r="CO850">
        <v>1556</v>
      </c>
      <c r="CP850">
        <v>42227314</v>
      </c>
      <c r="CQ850" s="73">
        <v>45361.583333333336</v>
      </c>
      <c r="CR850" t="s">
        <v>229</v>
      </c>
      <c r="CS850" t="s">
        <v>108</v>
      </c>
      <c r="CU850" t="s">
        <v>225</v>
      </c>
    </row>
    <row r="851" spans="1:99">
      <c r="A851" t="s">
        <v>111</v>
      </c>
      <c r="B851" t="s">
        <v>77</v>
      </c>
      <c r="J851" t="s">
        <v>225</v>
      </c>
      <c r="K851" t="s">
        <v>225</v>
      </c>
      <c r="M851" s="73">
        <v>45361.583333333336</v>
      </c>
      <c r="N851">
        <v>42227313</v>
      </c>
      <c r="O851">
        <v>4</v>
      </c>
      <c r="P851" t="s">
        <v>45</v>
      </c>
      <c r="Q851">
        <v>4</v>
      </c>
      <c r="R851" t="s">
        <v>45</v>
      </c>
      <c r="U851" t="s">
        <v>226</v>
      </c>
      <c r="V851" t="s">
        <v>483</v>
      </c>
      <c r="W851" t="s">
        <v>237</v>
      </c>
      <c r="X851" t="s">
        <v>229</v>
      </c>
      <c r="Y851" t="s">
        <v>111</v>
      </c>
      <c r="AD851" t="s">
        <v>45</v>
      </c>
      <c r="AE851">
        <v>4</v>
      </c>
      <c r="AF851">
        <v>42227313</v>
      </c>
      <c r="AG851" s="73">
        <v>45361.583333333336</v>
      </c>
      <c r="AH851" t="s">
        <v>226</v>
      </c>
      <c r="AI851" t="s">
        <v>483</v>
      </c>
      <c r="AJ851" t="s">
        <v>237</v>
      </c>
      <c r="AK851" t="s">
        <v>229</v>
      </c>
      <c r="AL851" t="s">
        <v>111</v>
      </c>
      <c r="AP851" t="s">
        <v>230</v>
      </c>
      <c r="AQ851" t="s">
        <v>231</v>
      </c>
      <c r="AT851" t="s">
        <v>232</v>
      </c>
      <c r="AU851">
        <v>-99</v>
      </c>
      <c r="AV851" t="s">
        <v>45</v>
      </c>
      <c r="AW851">
        <v>4</v>
      </c>
      <c r="AX851">
        <v>42227313</v>
      </c>
      <c r="AY851" s="73">
        <v>45361.583333333336</v>
      </c>
      <c r="AZ851" t="s">
        <v>226</v>
      </c>
      <c r="BA851" t="s">
        <v>483</v>
      </c>
      <c r="BB851" t="s">
        <v>237</v>
      </c>
      <c r="BC851" t="s">
        <v>229</v>
      </c>
      <c r="BD851" t="s">
        <v>111</v>
      </c>
      <c r="BI851" t="s">
        <v>233</v>
      </c>
      <c r="BJ851" t="s">
        <v>0</v>
      </c>
      <c r="BK851">
        <v>42227300</v>
      </c>
      <c r="BN851" t="s">
        <v>45</v>
      </c>
      <c r="BO851">
        <v>42227308</v>
      </c>
      <c r="BR851">
        <v>4</v>
      </c>
      <c r="BS851">
        <v>42227313</v>
      </c>
      <c r="BT851" s="73">
        <v>45361.583333333336</v>
      </c>
      <c r="BU851" t="s">
        <v>226</v>
      </c>
      <c r="BV851" t="s">
        <v>483</v>
      </c>
      <c r="BW851" t="s">
        <v>237</v>
      </c>
      <c r="CH851" t="s">
        <v>229</v>
      </c>
      <c r="CI851" t="s">
        <v>111</v>
      </c>
      <c r="CJ851" t="s">
        <v>226</v>
      </c>
      <c r="CK851" t="s">
        <v>483</v>
      </c>
      <c r="CL851" t="s">
        <v>237</v>
      </c>
      <c r="CM851" t="s">
        <v>236</v>
      </c>
      <c r="CN851" t="s">
        <v>45</v>
      </c>
      <c r="CO851">
        <v>4</v>
      </c>
      <c r="CP851">
        <v>42227313</v>
      </c>
      <c r="CQ851" s="73">
        <v>45361.583333333336</v>
      </c>
      <c r="CR851" t="s">
        <v>229</v>
      </c>
      <c r="CS851" t="s">
        <v>111</v>
      </c>
      <c r="CU851" t="s">
        <v>225</v>
      </c>
    </row>
    <row r="852" spans="1:99">
      <c r="A852" t="s">
        <v>46</v>
      </c>
      <c r="B852" t="s">
        <v>92</v>
      </c>
      <c r="J852" t="s">
        <v>225</v>
      </c>
      <c r="K852" t="s">
        <v>225</v>
      </c>
      <c r="M852" s="73">
        <v>45361.578101851854</v>
      </c>
      <c r="N852">
        <v>42209713</v>
      </c>
      <c r="O852">
        <v>-351</v>
      </c>
      <c r="P852" t="s">
        <v>45</v>
      </c>
      <c r="Q852">
        <v>-351</v>
      </c>
      <c r="R852" t="s">
        <v>45</v>
      </c>
      <c r="U852" t="s">
        <v>226</v>
      </c>
      <c r="V852" t="s">
        <v>484</v>
      </c>
      <c r="W852" t="s">
        <v>228</v>
      </c>
      <c r="X852" t="s">
        <v>229</v>
      </c>
      <c r="Y852" t="s">
        <v>46</v>
      </c>
      <c r="AD852" t="s">
        <v>45</v>
      </c>
      <c r="AE852">
        <v>-351</v>
      </c>
      <c r="AF852">
        <v>42209713</v>
      </c>
      <c r="AG852" s="73">
        <v>45361.578101851854</v>
      </c>
      <c r="AH852" t="s">
        <v>226</v>
      </c>
      <c r="AI852" t="s">
        <v>484</v>
      </c>
      <c r="AJ852" t="s">
        <v>228</v>
      </c>
      <c r="AK852" t="s">
        <v>229</v>
      </c>
      <c r="AL852" t="s">
        <v>46</v>
      </c>
      <c r="AP852" t="s">
        <v>230</v>
      </c>
      <c r="AQ852" t="s">
        <v>231</v>
      </c>
      <c r="AT852" t="s">
        <v>232</v>
      </c>
      <c r="AU852">
        <v>-99</v>
      </c>
      <c r="AV852" t="s">
        <v>45</v>
      </c>
      <c r="AW852">
        <v>-351</v>
      </c>
      <c r="AX852">
        <v>42209713</v>
      </c>
      <c r="AY852" s="73">
        <v>45361.578101851854</v>
      </c>
      <c r="AZ852" t="s">
        <v>226</v>
      </c>
      <c r="BA852" t="s">
        <v>484</v>
      </c>
      <c r="BB852" t="s">
        <v>228</v>
      </c>
      <c r="BC852" t="s">
        <v>229</v>
      </c>
      <c r="BD852" t="s">
        <v>46</v>
      </c>
      <c r="BI852" t="s">
        <v>233</v>
      </c>
      <c r="BJ852" t="s">
        <v>0</v>
      </c>
      <c r="BK852">
        <v>42209695</v>
      </c>
      <c r="BN852" t="s">
        <v>45</v>
      </c>
      <c r="BR852">
        <v>-351</v>
      </c>
      <c r="BS852">
        <v>42209713</v>
      </c>
      <c r="BT852" s="73">
        <v>45361.578101851854</v>
      </c>
      <c r="BU852" t="s">
        <v>226</v>
      </c>
      <c r="BV852" t="s">
        <v>484</v>
      </c>
      <c r="BW852" t="s">
        <v>228</v>
      </c>
      <c r="CH852" t="s">
        <v>229</v>
      </c>
      <c r="CI852" t="s">
        <v>46</v>
      </c>
      <c r="CJ852" t="s">
        <v>226</v>
      </c>
      <c r="CK852" t="s">
        <v>484</v>
      </c>
      <c r="CL852" t="s">
        <v>228</v>
      </c>
      <c r="CM852" t="s">
        <v>234</v>
      </c>
      <c r="CN852" t="s">
        <v>45</v>
      </c>
      <c r="CO852">
        <v>-351</v>
      </c>
      <c r="CP852">
        <v>42209713</v>
      </c>
      <c r="CQ852" s="73">
        <v>45361.578101851854</v>
      </c>
      <c r="CR852" t="s">
        <v>229</v>
      </c>
      <c r="CS852" t="s">
        <v>46</v>
      </c>
      <c r="CU852" t="s">
        <v>225</v>
      </c>
    </row>
    <row r="853" spans="1:99">
      <c r="A853" t="s">
        <v>93</v>
      </c>
      <c r="B853" t="s">
        <v>98</v>
      </c>
      <c r="J853" t="s">
        <v>225</v>
      </c>
      <c r="K853" t="s">
        <v>225</v>
      </c>
      <c r="M853" s="73">
        <v>45361.578101851854</v>
      </c>
      <c r="N853">
        <v>42209712</v>
      </c>
      <c r="O853">
        <v>-17.5</v>
      </c>
      <c r="P853" t="s">
        <v>73</v>
      </c>
      <c r="Q853">
        <v>-17.5</v>
      </c>
      <c r="R853" t="s">
        <v>73</v>
      </c>
      <c r="U853" t="s">
        <v>226</v>
      </c>
      <c r="V853" t="s">
        <v>484</v>
      </c>
      <c r="W853" t="s">
        <v>228</v>
      </c>
      <c r="X853" t="s">
        <v>229</v>
      </c>
      <c r="Y853" t="s">
        <v>93</v>
      </c>
      <c r="AD853" t="s">
        <v>73</v>
      </c>
      <c r="AE853">
        <v>-17.5</v>
      </c>
      <c r="AF853">
        <v>42209712</v>
      </c>
      <c r="AG853" s="73">
        <v>45361.578101851854</v>
      </c>
      <c r="AH853" t="s">
        <v>226</v>
      </c>
      <c r="AI853" t="s">
        <v>484</v>
      </c>
      <c r="AJ853" t="s">
        <v>228</v>
      </c>
      <c r="AK853" t="s">
        <v>229</v>
      </c>
      <c r="AL853" t="s">
        <v>93</v>
      </c>
      <c r="AP853" t="s">
        <v>230</v>
      </c>
      <c r="AQ853" t="s">
        <v>231</v>
      </c>
      <c r="AT853" t="s">
        <v>232</v>
      </c>
      <c r="AU853">
        <v>-99</v>
      </c>
      <c r="AV853" t="s">
        <v>73</v>
      </c>
      <c r="AW853">
        <v>-17.5</v>
      </c>
      <c r="AX853">
        <v>42209712</v>
      </c>
      <c r="AY853" s="73">
        <v>45361.578101851854</v>
      </c>
      <c r="AZ853" t="s">
        <v>226</v>
      </c>
      <c r="BA853" t="s">
        <v>484</v>
      </c>
      <c r="BB853" t="s">
        <v>228</v>
      </c>
      <c r="BC853" t="s">
        <v>229</v>
      </c>
      <c r="BD853" t="s">
        <v>93</v>
      </c>
      <c r="BI853" t="s">
        <v>233</v>
      </c>
      <c r="BJ853" t="s">
        <v>0</v>
      </c>
      <c r="BK853">
        <v>42209695</v>
      </c>
      <c r="BN853" t="s">
        <v>73</v>
      </c>
      <c r="BR853">
        <v>-17.5</v>
      </c>
      <c r="BS853">
        <v>42209712</v>
      </c>
      <c r="BT853" s="73">
        <v>45361.578101851854</v>
      </c>
      <c r="BU853" t="s">
        <v>226</v>
      </c>
      <c r="BV853" t="s">
        <v>484</v>
      </c>
      <c r="BW853" t="s">
        <v>228</v>
      </c>
      <c r="CH853" t="s">
        <v>229</v>
      </c>
      <c r="CI853" t="s">
        <v>93</v>
      </c>
      <c r="CJ853" t="s">
        <v>226</v>
      </c>
      <c r="CK853" t="s">
        <v>484</v>
      </c>
      <c r="CL853" t="s">
        <v>228</v>
      </c>
      <c r="CM853" t="s">
        <v>234</v>
      </c>
      <c r="CN853" t="s">
        <v>73</v>
      </c>
      <c r="CO853">
        <v>-17.5</v>
      </c>
      <c r="CP853">
        <v>42209712</v>
      </c>
      <c r="CQ853" s="73">
        <v>45361.578101851854</v>
      </c>
      <c r="CR853" t="s">
        <v>229</v>
      </c>
      <c r="CS853" t="s">
        <v>93</v>
      </c>
      <c r="CU853" t="s">
        <v>225</v>
      </c>
    </row>
    <row r="854" spans="1:99">
      <c r="A854" t="s">
        <v>108</v>
      </c>
      <c r="B854" t="s">
        <v>98</v>
      </c>
      <c r="J854" t="s">
        <v>225</v>
      </c>
      <c r="K854" t="s">
        <v>225</v>
      </c>
      <c r="M854" s="73">
        <v>45361.578101851854</v>
      </c>
      <c r="N854">
        <v>42209711</v>
      </c>
      <c r="O854">
        <v>350</v>
      </c>
      <c r="P854" t="s">
        <v>104</v>
      </c>
      <c r="Q854">
        <v>350</v>
      </c>
      <c r="R854" t="s">
        <v>104</v>
      </c>
      <c r="S854">
        <v>17.5</v>
      </c>
      <c r="T854" t="s">
        <v>73</v>
      </c>
      <c r="U854" t="s">
        <v>226</v>
      </c>
      <c r="V854" t="s">
        <v>484</v>
      </c>
      <c r="W854" t="s">
        <v>235</v>
      </c>
      <c r="X854" t="s">
        <v>229</v>
      </c>
      <c r="Y854" t="s">
        <v>108</v>
      </c>
      <c r="AD854" t="s">
        <v>104</v>
      </c>
      <c r="AE854">
        <v>350</v>
      </c>
      <c r="AF854">
        <v>42209711</v>
      </c>
      <c r="AG854" s="73">
        <v>45361.578101851854</v>
      </c>
      <c r="AH854" t="s">
        <v>226</v>
      </c>
      <c r="AI854" t="s">
        <v>484</v>
      </c>
      <c r="AJ854" t="s">
        <v>235</v>
      </c>
      <c r="AK854" t="s">
        <v>229</v>
      </c>
      <c r="AL854" t="s">
        <v>108</v>
      </c>
      <c r="AP854" t="s">
        <v>230</v>
      </c>
      <c r="AQ854" t="s">
        <v>231</v>
      </c>
      <c r="AT854" t="s">
        <v>232</v>
      </c>
      <c r="AU854">
        <v>-99</v>
      </c>
      <c r="AV854" t="s">
        <v>104</v>
      </c>
      <c r="AW854">
        <v>350</v>
      </c>
      <c r="AX854">
        <v>42209711</v>
      </c>
      <c r="AY854" s="73">
        <v>45361.578101851854</v>
      </c>
      <c r="AZ854" t="s">
        <v>226</v>
      </c>
      <c r="BA854" t="s">
        <v>484</v>
      </c>
      <c r="BB854" t="s">
        <v>235</v>
      </c>
      <c r="BC854" t="s">
        <v>229</v>
      </c>
      <c r="BD854" t="s">
        <v>108</v>
      </c>
      <c r="BI854" t="s">
        <v>233</v>
      </c>
      <c r="BJ854" t="s">
        <v>0</v>
      </c>
      <c r="BK854">
        <v>42209695</v>
      </c>
      <c r="BN854" t="s">
        <v>104</v>
      </c>
      <c r="BO854">
        <v>42209702</v>
      </c>
      <c r="BR854">
        <v>350</v>
      </c>
      <c r="BS854">
        <v>42209711</v>
      </c>
      <c r="BT854" s="73">
        <v>45361.578101851854</v>
      </c>
      <c r="BU854" t="s">
        <v>226</v>
      </c>
      <c r="BV854" t="s">
        <v>484</v>
      </c>
      <c r="BW854" t="s">
        <v>235</v>
      </c>
      <c r="CH854" t="s">
        <v>229</v>
      </c>
      <c r="CI854" t="s">
        <v>108</v>
      </c>
      <c r="CJ854" t="s">
        <v>226</v>
      </c>
      <c r="CK854" t="s">
        <v>484</v>
      </c>
      <c r="CL854" t="s">
        <v>235</v>
      </c>
      <c r="CM854" t="s">
        <v>236</v>
      </c>
      <c r="CN854" t="s">
        <v>104</v>
      </c>
      <c r="CO854">
        <v>350</v>
      </c>
      <c r="CP854">
        <v>42209711</v>
      </c>
      <c r="CQ854" s="73">
        <v>45361.578101851854</v>
      </c>
      <c r="CR854" t="s">
        <v>229</v>
      </c>
      <c r="CS854" t="s">
        <v>108</v>
      </c>
      <c r="CU854" t="s">
        <v>225</v>
      </c>
    </row>
    <row r="855" spans="1:99">
      <c r="A855" t="s">
        <v>111</v>
      </c>
      <c r="B855" t="s">
        <v>77</v>
      </c>
      <c r="J855" t="s">
        <v>225</v>
      </c>
      <c r="K855" t="s">
        <v>225</v>
      </c>
      <c r="M855" s="73">
        <v>45361.578101851854</v>
      </c>
      <c r="N855">
        <v>42209710</v>
      </c>
      <c r="O855">
        <v>1</v>
      </c>
      <c r="P855" t="s">
        <v>45</v>
      </c>
      <c r="Q855">
        <v>1</v>
      </c>
      <c r="R855" t="s">
        <v>45</v>
      </c>
      <c r="U855" t="s">
        <v>226</v>
      </c>
      <c r="V855" t="s">
        <v>484</v>
      </c>
      <c r="W855" t="s">
        <v>237</v>
      </c>
      <c r="X855" t="s">
        <v>229</v>
      </c>
      <c r="Y855" t="s">
        <v>111</v>
      </c>
      <c r="AD855" t="s">
        <v>45</v>
      </c>
      <c r="AE855">
        <v>1</v>
      </c>
      <c r="AF855">
        <v>42209710</v>
      </c>
      <c r="AG855" s="73">
        <v>45361.578101851854</v>
      </c>
      <c r="AH855" t="s">
        <v>226</v>
      </c>
      <c r="AI855" t="s">
        <v>484</v>
      </c>
      <c r="AJ855" t="s">
        <v>237</v>
      </c>
      <c r="AK855" t="s">
        <v>229</v>
      </c>
      <c r="AL855" t="s">
        <v>111</v>
      </c>
      <c r="AP855" t="s">
        <v>230</v>
      </c>
      <c r="AQ855" t="s">
        <v>231</v>
      </c>
      <c r="AT855" t="s">
        <v>232</v>
      </c>
      <c r="AU855">
        <v>-99</v>
      </c>
      <c r="AV855" t="s">
        <v>45</v>
      </c>
      <c r="AW855">
        <v>1</v>
      </c>
      <c r="AX855">
        <v>42209710</v>
      </c>
      <c r="AY855" s="73">
        <v>45361.578101851854</v>
      </c>
      <c r="AZ855" t="s">
        <v>226</v>
      </c>
      <c r="BA855" t="s">
        <v>484</v>
      </c>
      <c r="BB855" t="s">
        <v>237</v>
      </c>
      <c r="BC855" t="s">
        <v>229</v>
      </c>
      <c r="BD855" t="s">
        <v>111</v>
      </c>
      <c r="BI855" t="s">
        <v>233</v>
      </c>
      <c r="BJ855" t="s">
        <v>0</v>
      </c>
      <c r="BK855">
        <v>42209695</v>
      </c>
      <c r="BN855" t="s">
        <v>45</v>
      </c>
      <c r="BO855">
        <v>42209705</v>
      </c>
      <c r="BR855">
        <v>1</v>
      </c>
      <c r="BS855">
        <v>42209710</v>
      </c>
      <c r="BT855" s="73">
        <v>45361.578101851854</v>
      </c>
      <c r="BU855" t="s">
        <v>226</v>
      </c>
      <c r="BV855" t="s">
        <v>484</v>
      </c>
      <c r="BW855" t="s">
        <v>237</v>
      </c>
      <c r="CH855" t="s">
        <v>229</v>
      </c>
      <c r="CI855" t="s">
        <v>111</v>
      </c>
      <c r="CJ855" t="s">
        <v>226</v>
      </c>
      <c r="CK855" t="s">
        <v>484</v>
      </c>
      <c r="CL855" t="s">
        <v>237</v>
      </c>
      <c r="CM855" t="s">
        <v>236</v>
      </c>
      <c r="CN855" t="s">
        <v>45</v>
      </c>
      <c r="CO855">
        <v>1</v>
      </c>
      <c r="CP855">
        <v>42209710</v>
      </c>
      <c r="CQ855" s="73">
        <v>45361.578101851854</v>
      </c>
      <c r="CR855" t="s">
        <v>229</v>
      </c>
      <c r="CS855" t="s">
        <v>111</v>
      </c>
      <c r="CU855" t="s">
        <v>225</v>
      </c>
    </row>
    <row r="856" spans="1:99">
      <c r="A856" t="s">
        <v>52</v>
      </c>
      <c r="B856" t="s">
        <v>92</v>
      </c>
      <c r="J856" t="s">
        <v>225</v>
      </c>
      <c r="K856" t="s">
        <v>225</v>
      </c>
      <c r="M856" s="73">
        <v>45361.575543981482</v>
      </c>
      <c r="N856">
        <v>42209645</v>
      </c>
      <c r="O856">
        <v>-602</v>
      </c>
      <c r="P856" t="s">
        <v>45</v>
      </c>
      <c r="Q856">
        <v>-602</v>
      </c>
      <c r="R856" t="s">
        <v>45</v>
      </c>
      <c r="U856" t="s">
        <v>226</v>
      </c>
      <c r="V856" t="s">
        <v>485</v>
      </c>
      <c r="W856" t="s">
        <v>228</v>
      </c>
      <c r="X856" t="s">
        <v>229</v>
      </c>
      <c r="Y856" t="s">
        <v>52</v>
      </c>
      <c r="AD856" t="s">
        <v>45</v>
      </c>
      <c r="AE856">
        <v>-602</v>
      </c>
      <c r="AF856">
        <v>42209645</v>
      </c>
      <c r="AG856" s="73">
        <v>45361.575543981482</v>
      </c>
      <c r="AH856" t="s">
        <v>226</v>
      </c>
      <c r="AI856" t="s">
        <v>485</v>
      </c>
      <c r="AJ856" t="s">
        <v>228</v>
      </c>
      <c r="AK856" t="s">
        <v>229</v>
      </c>
      <c r="AL856" t="s">
        <v>52</v>
      </c>
      <c r="AP856" t="s">
        <v>230</v>
      </c>
      <c r="AQ856" t="s">
        <v>231</v>
      </c>
      <c r="AT856" t="s">
        <v>232</v>
      </c>
      <c r="AU856">
        <v>-99</v>
      </c>
      <c r="AV856" t="s">
        <v>45</v>
      </c>
      <c r="AW856">
        <v>-602</v>
      </c>
      <c r="AX856">
        <v>42209645</v>
      </c>
      <c r="AY856" s="73">
        <v>45361.575543981482</v>
      </c>
      <c r="AZ856" t="s">
        <v>226</v>
      </c>
      <c r="BA856" t="s">
        <v>485</v>
      </c>
      <c r="BB856" t="s">
        <v>228</v>
      </c>
      <c r="BC856" t="s">
        <v>229</v>
      </c>
      <c r="BD856" t="s">
        <v>52</v>
      </c>
      <c r="BI856" t="s">
        <v>233</v>
      </c>
      <c r="BJ856" t="s">
        <v>0</v>
      </c>
      <c r="BK856">
        <v>42209622</v>
      </c>
      <c r="BN856" t="s">
        <v>45</v>
      </c>
      <c r="BR856">
        <v>-602</v>
      </c>
      <c r="BS856">
        <v>42209645</v>
      </c>
      <c r="BT856" s="73">
        <v>45361.575543981482</v>
      </c>
      <c r="BU856" t="s">
        <v>226</v>
      </c>
      <c r="BV856" t="s">
        <v>485</v>
      </c>
      <c r="BW856" t="s">
        <v>228</v>
      </c>
      <c r="CH856" t="s">
        <v>229</v>
      </c>
      <c r="CI856" t="s">
        <v>52</v>
      </c>
      <c r="CJ856" t="s">
        <v>226</v>
      </c>
      <c r="CK856" t="s">
        <v>485</v>
      </c>
      <c r="CL856" t="s">
        <v>228</v>
      </c>
      <c r="CM856" t="s">
        <v>234</v>
      </c>
      <c r="CN856" t="s">
        <v>45</v>
      </c>
      <c r="CO856">
        <v>-602</v>
      </c>
      <c r="CP856">
        <v>42209645</v>
      </c>
      <c r="CQ856" s="73">
        <v>45361.575543981482</v>
      </c>
      <c r="CR856" t="s">
        <v>229</v>
      </c>
      <c r="CS856" t="s">
        <v>52</v>
      </c>
      <c r="CU856" t="s">
        <v>225</v>
      </c>
    </row>
    <row r="857" spans="1:99">
      <c r="A857" t="s">
        <v>101</v>
      </c>
      <c r="B857" t="s">
        <v>98</v>
      </c>
      <c r="J857" t="s">
        <v>225</v>
      </c>
      <c r="K857" t="s">
        <v>225</v>
      </c>
      <c r="M857" s="73">
        <v>45361.575543981482</v>
      </c>
      <c r="N857">
        <v>42209644</v>
      </c>
      <c r="O857">
        <v>-30</v>
      </c>
      <c r="P857" t="s">
        <v>73</v>
      </c>
      <c r="Q857">
        <v>-30</v>
      </c>
      <c r="R857" t="s">
        <v>73</v>
      </c>
      <c r="U857" t="s">
        <v>226</v>
      </c>
      <c r="V857" t="s">
        <v>485</v>
      </c>
      <c r="W857" t="s">
        <v>228</v>
      </c>
      <c r="X857" t="s">
        <v>229</v>
      </c>
      <c r="Y857" t="s">
        <v>101</v>
      </c>
      <c r="AD857" t="s">
        <v>73</v>
      </c>
      <c r="AE857">
        <v>-30</v>
      </c>
      <c r="AF857">
        <v>42209644</v>
      </c>
      <c r="AG857" s="73">
        <v>45361.575543981482</v>
      </c>
      <c r="AH857" t="s">
        <v>226</v>
      </c>
      <c r="AI857" t="s">
        <v>485</v>
      </c>
      <c r="AJ857" t="s">
        <v>228</v>
      </c>
      <c r="AK857" t="s">
        <v>229</v>
      </c>
      <c r="AL857" t="s">
        <v>101</v>
      </c>
      <c r="AP857" t="s">
        <v>230</v>
      </c>
      <c r="AQ857" t="s">
        <v>231</v>
      </c>
      <c r="AT857" t="s">
        <v>232</v>
      </c>
      <c r="AU857">
        <v>-99</v>
      </c>
      <c r="AV857" t="s">
        <v>73</v>
      </c>
      <c r="AW857">
        <v>-30</v>
      </c>
      <c r="AX857">
        <v>42209644</v>
      </c>
      <c r="AY857" s="73">
        <v>45361.575543981482</v>
      </c>
      <c r="AZ857" t="s">
        <v>226</v>
      </c>
      <c r="BA857" t="s">
        <v>485</v>
      </c>
      <c r="BB857" t="s">
        <v>228</v>
      </c>
      <c r="BC857" t="s">
        <v>229</v>
      </c>
      <c r="BD857" t="s">
        <v>101</v>
      </c>
      <c r="BI857" t="s">
        <v>233</v>
      </c>
      <c r="BJ857" t="s">
        <v>0</v>
      </c>
      <c r="BK857">
        <v>42209622</v>
      </c>
      <c r="BN857" t="s">
        <v>73</v>
      </c>
      <c r="BR857">
        <v>-30</v>
      </c>
      <c r="BS857">
        <v>42209644</v>
      </c>
      <c r="BT857" s="73">
        <v>45361.575543981482</v>
      </c>
      <c r="BU857" t="s">
        <v>226</v>
      </c>
      <c r="BV857" t="s">
        <v>485</v>
      </c>
      <c r="BW857" t="s">
        <v>228</v>
      </c>
      <c r="CH857" t="s">
        <v>229</v>
      </c>
      <c r="CI857" t="s">
        <v>101</v>
      </c>
      <c r="CJ857" t="s">
        <v>226</v>
      </c>
      <c r="CK857" t="s">
        <v>485</v>
      </c>
      <c r="CL857" t="s">
        <v>228</v>
      </c>
      <c r="CM857" t="s">
        <v>234</v>
      </c>
      <c r="CN857" t="s">
        <v>73</v>
      </c>
      <c r="CO857">
        <v>-30</v>
      </c>
      <c r="CP857">
        <v>42209644</v>
      </c>
      <c r="CQ857" s="73">
        <v>45361.575543981482</v>
      </c>
      <c r="CR857" t="s">
        <v>229</v>
      </c>
      <c r="CS857" t="s">
        <v>101</v>
      </c>
      <c r="CU857" t="s">
        <v>225</v>
      </c>
    </row>
    <row r="858" spans="1:99">
      <c r="A858" t="s">
        <v>107</v>
      </c>
      <c r="B858" t="s">
        <v>98</v>
      </c>
      <c r="J858" t="s">
        <v>225</v>
      </c>
      <c r="K858" t="s">
        <v>225</v>
      </c>
      <c r="M858" s="73">
        <v>45361.575543981482</v>
      </c>
      <c r="N858">
        <v>42209643</v>
      </c>
      <c r="O858">
        <v>600</v>
      </c>
      <c r="P858" t="s">
        <v>104</v>
      </c>
      <c r="Q858">
        <v>600</v>
      </c>
      <c r="R858" t="s">
        <v>104</v>
      </c>
      <c r="S858">
        <v>30</v>
      </c>
      <c r="T858" t="s">
        <v>73</v>
      </c>
      <c r="U858" t="s">
        <v>226</v>
      </c>
      <c r="V858" t="s">
        <v>485</v>
      </c>
      <c r="W858" t="s">
        <v>235</v>
      </c>
      <c r="X858" t="s">
        <v>229</v>
      </c>
      <c r="Y858" t="s">
        <v>107</v>
      </c>
      <c r="AD858" t="s">
        <v>104</v>
      </c>
      <c r="AE858">
        <v>600</v>
      </c>
      <c r="AF858">
        <v>42209643</v>
      </c>
      <c r="AG858" s="73">
        <v>45361.575543981482</v>
      </c>
      <c r="AH858" t="s">
        <v>226</v>
      </c>
      <c r="AI858" t="s">
        <v>485</v>
      </c>
      <c r="AJ858" t="s">
        <v>235</v>
      </c>
      <c r="AK858" t="s">
        <v>229</v>
      </c>
      <c r="AL858" t="s">
        <v>107</v>
      </c>
      <c r="AP858" t="s">
        <v>230</v>
      </c>
      <c r="AQ858" t="s">
        <v>231</v>
      </c>
      <c r="AT858" t="s">
        <v>232</v>
      </c>
      <c r="AU858">
        <v>-99</v>
      </c>
      <c r="AV858" t="s">
        <v>104</v>
      </c>
      <c r="AW858">
        <v>600</v>
      </c>
      <c r="AX858">
        <v>42209643</v>
      </c>
      <c r="AY858" s="73">
        <v>45361.575543981482</v>
      </c>
      <c r="AZ858" t="s">
        <v>226</v>
      </c>
      <c r="BA858" t="s">
        <v>485</v>
      </c>
      <c r="BB858" t="s">
        <v>235</v>
      </c>
      <c r="BC858" t="s">
        <v>229</v>
      </c>
      <c r="BD858" t="s">
        <v>107</v>
      </c>
      <c r="BI858" t="s">
        <v>233</v>
      </c>
      <c r="BJ858" t="s">
        <v>0</v>
      </c>
      <c r="BK858">
        <v>42209622</v>
      </c>
      <c r="BN858" t="s">
        <v>104</v>
      </c>
      <c r="BO858">
        <v>42209628</v>
      </c>
      <c r="BR858">
        <v>600</v>
      </c>
      <c r="BS858">
        <v>42209643</v>
      </c>
      <c r="BT858" s="73">
        <v>45361.575543981482</v>
      </c>
      <c r="BU858" t="s">
        <v>226</v>
      </c>
      <c r="BV858" t="s">
        <v>485</v>
      </c>
      <c r="BW858" t="s">
        <v>235</v>
      </c>
      <c r="CH858" t="s">
        <v>229</v>
      </c>
      <c r="CI858" t="s">
        <v>107</v>
      </c>
      <c r="CJ858" t="s">
        <v>226</v>
      </c>
      <c r="CK858" t="s">
        <v>485</v>
      </c>
      <c r="CL858" t="s">
        <v>235</v>
      </c>
      <c r="CM858" t="s">
        <v>236</v>
      </c>
      <c r="CN858" t="s">
        <v>104</v>
      </c>
      <c r="CO858">
        <v>600</v>
      </c>
      <c r="CP858">
        <v>42209643</v>
      </c>
      <c r="CQ858" s="73">
        <v>45361.575543981482</v>
      </c>
      <c r="CR858" t="s">
        <v>229</v>
      </c>
      <c r="CS858" t="s">
        <v>107</v>
      </c>
      <c r="CU858" t="s">
        <v>225</v>
      </c>
    </row>
    <row r="859" spans="1:99">
      <c r="A859" t="s">
        <v>111</v>
      </c>
      <c r="B859" t="s">
        <v>77</v>
      </c>
      <c r="J859" t="s">
        <v>225</v>
      </c>
      <c r="K859" t="s">
        <v>225</v>
      </c>
      <c r="M859" s="73">
        <v>45361.575543981482</v>
      </c>
      <c r="N859">
        <v>42209642</v>
      </c>
      <c r="O859">
        <v>2</v>
      </c>
      <c r="P859" t="s">
        <v>45</v>
      </c>
      <c r="Q859">
        <v>2</v>
      </c>
      <c r="R859" t="s">
        <v>45</v>
      </c>
      <c r="U859" t="s">
        <v>226</v>
      </c>
      <c r="V859" t="s">
        <v>485</v>
      </c>
      <c r="W859" t="s">
        <v>237</v>
      </c>
      <c r="X859" t="s">
        <v>229</v>
      </c>
      <c r="Y859" t="s">
        <v>111</v>
      </c>
      <c r="AD859" t="s">
        <v>45</v>
      </c>
      <c r="AE859">
        <v>2</v>
      </c>
      <c r="AF859">
        <v>42209642</v>
      </c>
      <c r="AG859" s="73">
        <v>45361.575543981482</v>
      </c>
      <c r="AH859" t="s">
        <v>226</v>
      </c>
      <c r="AI859" t="s">
        <v>485</v>
      </c>
      <c r="AJ859" t="s">
        <v>237</v>
      </c>
      <c r="AK859" t="s">
        <v>229</v>
      </c>
      <c r="AL859" t="s">
        <v>111</v>
      </c>
      <c r="AP859" t="s">
        <v>230</v>
      </c>
      <c r="AQ859" t="s">
        <v>231</v>
      </c>
      <c r="AT859" t="s">
        <v>232</v>
      </c>
      <c r="AU859">
        <v>-99</v>
      </c>
      <c r="AV859" t="s">
        <v>45</v>
      </c>
      <c r="AW859">
        <v>2</v>
      </c>
      <c r="AX859">
        <v>42209642</v>
      </c>
      <c r="AY859" s="73">
        <v>45361.575543981482</v>
      </c>
      <c r="AZ859" t="s">
        <v>226</v>
      </c>
      <c r="BA859" t="s">
        <v>485</v>
      </c>
      <c r="BB859" t="s">
        <v>237</v>
      </c>
      <c r="BC859" t="s">
        <v>229</v>
      </c>
      <c r="BD859" t="s">
        <v>111</v>
      </c>
      <c r="BI859" t="s">
        <v>233</v>
      </c>
      <c r="BJ859" t="s">
        <v>0</v>
      </c>
      <c r="BK859">
        <v>42209622</v>
      </c>
      <c r="BN859" t="s">
        <v>45</v>
      </c>
      <c r="BO859">
        <v>42209630</v>
      </c>
      <c r="BR859">
        <v>2</v>
      </c>
      <c r="BS859">
        <v>42209642</v>
      </c>
      <c r="BT859" s="73">
        <v>45361.575543981482</v>
      </c>
      <c r="BU859" t="s">
        <v>226</v>
      </c>
      <c r="BV859" t="s">
        <v>485</v>
      </c>
      <c r="BW859" t="s">
        <v>237</v>
      </c>
      <c r="CH859" t="s">
        <v>229</v>
      </c>
      <c r="CI859" t="s">
        <v>111</v>
      </c>
      <c r="CJ859" t="s">
        <v>226</v>
      </c>
      <c r="CK859" t="s">
        <v>485</v>
      </c>
      <c r="CL859" t="s">
        <v>237</v>
      </c>
      <c r="CM859" t="s">
        <v>236</v>
      </c>
      <c r="CN859" t="s">
        <v>45</v>
      </c>
      <c r="CO859">
        <v>2</v>
      </c>
      <c r="CP859">
        <v>42209642</v>
      </c>
      <c r="CQ859" s="73">
        <v>45361.575543981482</v>
      </c>
      <c r="CR859" t="s">
        <v>229</v>
      </c>
      <c r="CS859" t="s">
        <v>111</v>
      </c>
      <c r="CU859" t="s">
        <v>225</v>
      </c>
    </row>
    <row r="860" spans="1:99">
      <c r="A860" t="s">
        <v>113</v>
      </c>
      <c r="B860" t="s">
        <v>90</v>
      </c>
      <c r="J860" t="s">
        <v>225</v>
      </c>
      <c r="K860" t="s">
        <v>225</v>
      </c>
      <c r="M860" s="73">
        <v>45361.256956018522</v>
      </c>
      <c r="N860">
        <v>42211856</v>
      </c>
      <c r="O860">
        <v>-300</v>
      </c>
      <c r="P860" t="s">
        <v>115</v>
      </c>
      <c r="Q860">
        <v>-300</v>
      </c>
      <c r="R860" t="s">
        <v>115</v>
      </c>
      <c r="U860" t="s">
        <v>226</v>
      </c>
      <c r="V860" t="s">
        <v>482</v>
      </c>
      <c r="W860" t="s">
        <v>228</v>
      </c>
      <c r="X860" t="s">
        <v>229</v>
      </c>
      <c r="Y860" t="s">
        <v>113</v>
      </c>
      <c r="AD860" t="s">
        <v>115</v>
      </c>
      <c r="AE860">
        <v>-300</v>
      </c>
      <c r="AF860">
        <v>42211856</v>
      </c>
      <c r="AG860" s="73">
        <v>45361.256956018522</v>
      </c>
      <c r="AH860" t="s">
        <v>226</v>
      </c>
      <c r="AI860" t="s">
        <v>482</v>
      </c>
      <c r="AJ860" t="s">
        <v>228</v>
      </c>
      <c r="AK860" t="s">
        <v>229</v>
      </c>
      <c r="AL860" t="s">
        <v>113</v>
      </c>
      <c r="AP860" t="s">
        <v>230</v>
      </c>
      <c r="AQ860" t="s">
        <v>231</v>
      </c>
      <c r="AT860" t="s">
        <v>232</v>
      </c>
      <c r="AU860">
        <v>-99</v>
      </c>
      <c r="AV860" t="s">
        <v>115</v>
      </c>
      <c r="AW860">
        <v>-300</v>
      </c>
      <c r="AX860">
        <v>42211856</v>
      </c>
      <c r="AY860" s="73">
        <v>45361.256956018522</v>
      </c>
      <c r="AZ860" t="s">
        <v>226</v>
      </c>
      <c r="BA860" t="s">
        <v>482</v>
      </c>
      <c r="BB860" t="s">
        <v>228</v>
      </c>
      <c r="BC860" t="s">
        <v>229</v>
      </c>
      <c r="BD860" t="s">
        <v>113</v>
      </c>
      <c r="BI860" t="s">
        <v>233</v>
      </c>
      <c r="BJ860" t="s">
        <v>0</v>
      </c>
      <c r="BK860">
        <v>42211848</v>
      </c>
      <c r="BN860" t="s">
        <v>115</v>
      </c>
      <c r="BR860">
        <v>-300</v>
      </c>
      <c r="BS860">
        <v>42211856</v>
      </c>
      <c r="BT860" s="73">
        <v>45361.256956018522</v>
      </c>
      <c r="BU860" t="s">
        <v>226</v>
      </c>
      <c r="BV860" t="s">
        <v>482</v>
      </c>
      <c r="BW860" t="s">
        <v>228</v>
      </c>
      <c r="CH860" t="s">
        <v>229</v>
      </c>
      <c r="CI860" t="s">
        <v>113</v>
      </c>
      <c r="CJ860" t="s">
        <v>226</v>
      </c>
      <c r="CK860" t="s">
        <v>482</v>
      </c>
      <c r="CL860" t="s">
        <v>228</v>
      </c>
      <c r="CM860" t="s">
        <v>234</v>
      </c>
      <c r="CN860" t="s">
        <v>115</v>
      </c>
      <c r="CO860">
        <v>-300</v>
      </c>
      <c r="CP860">
        <v>42211856</v>
      </c>
      <c r="CQ860" s="73">
        <v>45361.256956018522</v>
      </c>
      <c r="CR860" t="s">
        <v>229</v>
      </c>
      <c r="CS860" t="s">
        <v>113</v>
      </c>
      <c r="CU860" t="s">
        <v>225</v>
      </c>
    </row>
    <row r="861" spans="1:99">
      <c r="A861" t="s">
        <v>129</v>
      </c>
      <c r="B861" t="s">
        <v>90</v>
      </c>
      <c r="J861" t="s">
        <v>225</v>
      </c>
      <c r="K861" t="s">
        <v>225</v>
      </c>
      <c r="M861" s="73">
        <v>45361.256956018522</v>
      </c>
      <c r="N861">
        <v>42211855</v>
      </c>
      <c r="O861">
        <v>-5.9</v>
      </c>
      <c r="P861" t="s">
        <v>73</v>
      </c>
      <c r="Q861">
        <v>-5.9</v>
      </c>
      <c r="R861" t="s">
        <v>73</v>
      </c>
      <c r="U861" t="s">
        <v>226</v>
      </c>
      <c r="V861" t="s">
        <v>482</v>
      </c>
      <c r="W861" t="s">
        <v>228</v>
      </c>
      <c r="X861" t="s">
        <v>229</v>
      </c>
      <c r="Y861" t="s">
        <v>129</v>
      </c>
      <c r="AD861" t="s">
        <v>73</v>
      </c>
      <c r="AE861">
        <v>-5.9</v>
      </c>
      <c r="AF861">
        <v>42211855</v>
      </c>
      <c r="AG861" s="73">
        <v>45361.256956018522</v>
      </c>
      <c r="AH861" t="s">
        <v>226</v>
      </c>
      <c r="AI861" t="s">
        <v>482</v>
      </c>
      <c r="AJ861" t="s">
        <v>228</v>
      </c>
      <c r="AK861" t="s">
        <v>229</v>
      </c>
      <c r="AL861" t="s">
        <v>129</v>
      </c>
      <c r="AP861" t="s">
        <v>230</v>
      </c>
      <c r="AQ861" t="s">
        <v>231</v>
      </c>
      <c r="AT861" t="s">
        <v>232</v>
      </c>
      <c r="AU861">
        <v>-99</v>
      </c>
      <c r="AV861" t="s">
        <v>73</v>
      </c>
      <c r="AW861">
        <v>-5.9</v>
      </c>
      <c r="AX861">
        <v>42211855</v>
      </c>
      <c r="AY861" s="73">
        <v>45361.256956018522</v>
      </c>
      <c r="AZ861" t="s">
        <v>226</v>
      </c>
      <c r="BA861" t="s">
        <v>482</v>
      </c>
      <c r="BB861" t="s">
        <v>228</v>
      </c>
      <c r="BC861" t="s">
        <v>229</v>
      </c>
      <c r="BD861" t="s">
        <v>129</v>
      </c>
      <c r="BI861" t="s">
        <v>233</v>
      </c>
      <c r="BJ861" t="s">
        <v>0</v>
      </c>
      <c r="BK861">
        <v>42211848</v>
      </c>
      <c r="BN861" t="s">
        <v>73</v>
      </c>
      <c r="BR861">
        <v>-5.9</v>
      </c>
      <c r="BS861">
        <v>42211855</v>
      </c>
      <c r="BT861" s="73">
        <v>45361.256956018522</v>
      </c>
      <c r="BU861" t="s">
        <v>226</v>
      </c>
      <c r="BV861" t="s">
        <v>482</v>
      </c>
      <c r="BW861" t="s">
        <v>228</v>
      </c>
      <c r="CH861" t="s">
        <v>229</v>
      </c>
      <c r="CI861" t="s">
        <v>129</v>
      </c>
      <c r="CJ861" t="s">
        <v>226</v>
      </c>
      <c r="CK861" t="s">
        <v>482</v>
      </c>
      <c r="CL861" t="s">
        <v>228</v>
      </c>
      <c r="CM861" t="s">
        <v>234</v>
      </c>
      <c r="CN861" t="s">
        <v>73</v>
      </c>
      <c r="CO861">
        <v>-5.9</v>
      </c>
      <c r="CP861">
        <v>42211855</v>
      </c>
      <c r="CQ861" s="73">
        <v>45361.256956018522</v>
      </c>
      <c r="CR861" t="s">
        <v>229</v>
      </c>
      <c r="CS861" t="s">
        <v>129</v>
      </c>
      <c r="CU861" t="s">
        <v>225</v>
      </c>
    </row>
    <row r="862" spans="1:99">
      <c r="A862" t="s">
        <v>42</v>
      </c>
      <c r="B862" t="s">
        <v>92</v>
      </c>
      <c r="J862" t="s">
        <v>225</v>
      </c>
      <c r="K862" t="s">
        <v>225</v>
      </c>
      <c r="M862" s="73">
        <v>45361.25</v>
      </c>
      <c r="N862">
        <v>42227284</v>
      </c>
      <c r="O862">
        <v>-4863</v>
      </c>
      <c r="P862" t="s">
        <v>45</v>
      </c>
      <c r="Q862">
        <v>-4863</v>
      </c>
      <c r="R862" t="s">
        <v>45</v>
      </c>
      <c r="U862" t="s">
        <v>226</v>
      </c>
      <c r="V862" t="s">
        <v>486</v>
      </c>
      <c r="W862" t="s">
        <v>228</v>
      </c>
      <c r="X862" t="s">
        <v>229</v>
      </c>
      <c r="Y862" t="s">
        <v>42</v>
      </c>
      <c r="AD862" t="s">
        <v>45</v>
      </c>
      <c r="AE862">
        <v>-4863</v>
      </c>
      <c r="AF862">
        <v>42227284</v>
      </c>
      <c r="AG862" s="73">
        <v>45361.25</v>
      </c>
      <c r="AH862" t="s">
        <v>226</v>
      </c>
      <c r="AI862" t="s">
        <v>486</v>
      </c>
      <c r="AJ862" t="s">
        <v>228</v>
      </c>
      <c r="AK862" t="s">
        <v>229</v>
      </c>
      <c r="AL862" t="s">
        <v>42</v>
      </c>
      <c r="AP862" t="s">
        <v>230</v>
      </c>
      <c r="AQ862" t="s">
        <v>231</v>
      </c>
      <c r="AT862" t="s">
        <v>232</v>
      </c>
      <c r="AU862">
        <v>-99</v>
      </c>
      <c r="AV862" t="s">
        <v>45</v>
      </c>
      <c r="AW862">
        <v>-4863</v>
      </c>
      <c r="AX862">
        <v>42227284</v>
      </c>
      <c r="AY862" s="73">
        <v>45361.25</v>
      </c>
      <c r="AZ862" t="s">
        <v>226</v>
      </c>
      <c r="BA862" t="s">
        <v>486</v>
      </c>
      <c r="BB862" t="s">
        <v>228</v>
      </c>
      <c r="BC862" t="s">
        <v>229</v>
      </c>
      <c r="BD862" t="s">
        <v>42</v>
      </c>
      <c r="BI862" t="s">
        <v>233</v>
      </c>
      <c r="BJ862" t="s">
        <v>0</v>
      </c>
      <c r="BK862">
        <v>42227261</v>
      </c>
      <c r="BN862" t="s">
        <v>45</v>
      </c>
      <c r="BR862">
        <v>-4863</v>
      </c>
      <c r="BS862">
        <v>42227284</v>
      </c>
      <c r="BT862" s="73">
        <v>45361.25</v>
      </c>
      <c r="BU862" t="s">
        <v>226</v>
      </c>
      <c r="BV862" t="s">
        <v>486</v>
      </c>
      <c r="BW862" t="s">
        <v>228</v>
      </c>
      <c r="CH862" t="s">
        <v>229</v>
      </c>
      <c r="CI862" t="s">
        <v>42</v>
      </c>
      <c r="CJ862" t="s">
        <v>226</v>
      </c>
      <c r="CK862" t="s">
        <v>486</v>
      </c>
      <c r="CL862" t="s">
        <v>228</v>
      </c>
      <c r="CM862" t="s">
        <v>234</v>
      </c>
      <c r="CN862" t="s">
        <v>45</v>
      </c>
      <c r="CO862">
        <v>-4863</v>
      </c>
      <c r="CP862">
        <v>42227284</v>
      </c>
      <c r="CQ862" s="73">
        <v>45361.25</v>
      </c>
      <c r="CR862" t="s">
        <v>229</v>
      </c>
      <c r="CS862" t="s">
        <v>42</v>
      </c>
      <c r="CU862" t="s">
        <v>225</v>
      </c>
    </row>
    <row r="863" spans="1:99">
      <c r="A863" t="s">
        <v>99</v>
      </c>
      <c r="B863" t="s">
        <v>98</v>
      </c>
      <c r="J863" t="s">
        <v>225</v>
      </c>
      <c r="K863" t="s">
        <v>225</v>
      </c>
      <c r="M863" s="73">
        <v>45361.25</v>
      </c>
      <c r="N863">
        <v>42227283</v>
      </c>
      <c r="O863">
        <v>-243</v>
      </c>
      <c r="P863" t="s">
        <v>73</v>
      </c>
      <c r="Q863">
        <v>-243</v>
      </c>
      <c r="R863" t="s">
        <v>73</v>
      </c>
      <c r="U863" t="s">
        <v>226</v>
      </c>
      <c r="V863" t="s">
        <v>486</v>
      </c>
      <c r="W863" t="s">
        <v>228</v>
      </c>
      <c r="X863" t="s">
        <v>229</v>
      </c>
      <c r="Y863" t="s">
        <v>99</v>
      </c>
      <c r="AD863" t="s">
        <v>73</v>
      </c>
      <c r="AE863">
        <v>-243</v>
      </c>
      <c r="AF863">
        <v>42227283</v>
      </c>
      <c r="AG863" s="73">
        <v>45361.25</v>
      </c>
      <c r="AH863" t="s">
        <v>226</v>
      </c>
      <c r="AI863" t="s">
        <v>486</v>
      </c>
      <c r="AJ863" t="s">
        <v>228</v>
      </c>
      <c r="AK863" t="s">
        <v>229</v>
      </c>
      <c r="AL863" t="s">
        <v>99</v>
      </c>
      <c r="AP863" t="s">
        <v>230</v>
      </c>
      <c r="AQ863" t="s">
        <v>231</v>
      </c>
      <c r="AT863" t="s">
        <v>232</v>
      </c>
      <c r="AU863">
        <v>-99</v>
      </c>
      <c r="AV863" t="s">
        <v>73</v>
      </c>
      <c r="AW863">
        <v>-243</v>
      </c>
      <c r="AX863">
        <v>42227283</v>
      </c>
      <c r="AY863" s="73">
        <v>45361.25</v>
      </c>
      <c r="AZ863" t="s">
        <v>226</v>
      </c>
      <c r="BA863" t="s">
        <v>486</v>
      </c>
      <c r="BB863" t="s">
        <v>228</v>
      </c>
      <c r="BC863" t="s">
        <v>229</v>
      </c>
      <c r="BD863" t="s">
        <v>99</v>
      </c>
      <c r="BI863" t="s">
        <v>233</v>
      </c>
      <c r="BJ863" t="s">
        <v>0</v>
      </c>
      <c r="BK863">
        <v>42227261</v>
      </c>
      <c r="BN863" t="s">
        <v>73</v>
      </c>
      <c r="BR863">
        <v>-243</v>
      </c>
      <c r="BS863">
        <v>42227283</v>
      </c>
      <c r="BT863" s="73">
        <v>45361.25</v>
      </c>
      <c r="BU863" t="s">
        <v>226</v>
      </c>
      <c r="BV863" t="s">
        <v>486</v>
      </c>
      <c r="BW863" t="s">
        <v>228</v>
      </c>
      <c r="CH863" t="s">
        <v>229</v>
      </c>
      <c r="CI863" t="s">
        <v>99</v>
      </c>
      <c r="CJ863" t="s">
        <v>226</v>
      </c>
      <c r="CK863" t="s">
        <v>486</v>
      </c>
      <c r="CL863" t="s">
        <v>228</v>
      </c>
      <c r="CM863" t="s">
        <v>234</v>
      </c>
      <c r="CN863" t="s">
        <v>73</v>
      </c>
      <c r="CO863">
        <v>-243</v>
      </c>
      <c r="CP863">
        <v>42227283</v>
      </c>
      <c r="CQ863" s="73">
        <v>45361.25</v>
      </c>
      <c r="CR863" t="s">
        <v>229</v>
      </c>
      <c r="CS863" t="s">
        <v>99</v>
      </c>
      <c r="CU863" t="s">
        <v>225</v>
      </c>
    </row>
    <row r="864" spans="1:99">
      <c r="A864" t="s">
        <v>103</v>
      </c>
      <c r="B864" t="s">
        <v>98</v>
      </c>
      <c r="J864" t="s">
        <v>225</v>
      </c>
      <c r="K864" t="s">
        <v>225</v>
      </c>
      <c r="M864" s="73">
        <v>45361.25</v>
      </c>
      <c r="N864">
        <v>42227282</v>
      </c>
      <c r="O864">
        <v>4860</v>
      </c>
      <c r="P864" t="s">
        <v>104</v>
      </c>
      <c r="Q864">
        <v>4860</v>
      </c>
      <c r="R864" t="s">
        <v>104</v>
      </c>
      <c r="S864">
        <v>243</v>
      </c>
      <c r="T864" t="s">
        <v>73</v>
      </c>
      <c r="U864" t="s">
        <v>226</v>
      </c>
      <c r="V864" t="s">
        <v>486</v>
      </c>
      <c r="W864" t="s">
        <v>235</v>
      </c>
      <c r="X864" t="s">
        <v>229</v>
      </c>
      <c r="Y864" t="s">
        <v>103</v>
      </c>
      <c r="AD864" t="s">
        <v>104</v>
      </c>
      <c r="AE864">
        <v>4860</v>
      </c>
      <c r="AF864">
        <v>42227282</v>
      </c>
      <c r="AG864" s="73">
        <v>45361.25</v>
      </c>
      <c r="AH864" t="s">
        <v>226</v>
      </c>
      <c r="AI864" t="s">
        <v>486</v>
      </c>
      <c r="AJ864" t="s">
        <v>235</v>
      </c>
      <c r="AK864" t="s">
        <v>229</v>
      </c>
      <c r="AL864" t="s">
        <v>103</v>
      </c>
      <c r="AP864" t="s">
        <v>230</v>
      </c>
      <c r="AQ864" t="s">
        <v>231</v>
      </c>
      <c r="AT864" t="s">
        <v>232</v>
      </c>
      <c r="AU864">
        <v>-99</v>
      </c>
      <c r="AV864" t="s">
        <v>104</v>
      </c>
      <c r="AW864">
        <v>4860</v>
      </c>
      <c r="AX864">
        <v>42227282</v>
      </c>
      <c r="AY864" s="73">
        <v>45361.25</v>
      </c>
      <c r="AZ864" t="s">
        <v>226</v>
      </c>
      <c r="BA864" t="s">
        <v>486</v>
      </c>
      <c r="BB864" t="s">
        <v>235</v>
      </c>
      <c r="BC864" t="s">
        <v>229</v>
      </c>
      <c r="BD864" t="s">
        <v>103</v>
      </c>
      <c r="BI864" t="s">
        <v>233</v>
      </c>
      <c r="BJ864" t="s">
        <v>0</v>
      </c>
      <c r="BK864">
        <v>42227261</v>
      </c>
      <c r="BN864" t="s">
        <v>104</v>
      </c>
      <c r="BO864">
        <v>42227267</v>
      </c>
      <c r="BR864">
        <v>4860</v>
      </c>
      <c r="BS864">
        <v>42227282</v>
      </c>
      <c r="BT864" s="73">
        <v>45361.25</v>
      </c>
      <c r="BU864" t="s">
        <v>226</v>
      </c>
      <c r="BV864" t="s">
        <v>486</v>
      </c>
      <c r="BW864" t="s">
        <v>235</v>
      </c>
      <c r="CH864" t="s">
        <v>229</v>
      </c>
      <c r="CI864" t="s">
        <v>103</v>
      </c>
      <c r="CJ864" t="s">
        <v>226</v>
      </c>
      <c r="CK864" t="s">
        <v>486</v>
      </c>
      <c r="CL864" t="s">
        <v>235</v>
      </c>
      <c r="CM864" t="s">
        <v>236</v>
      </c>
      <c r="CN864" t="s">
        <v>104</v>
      </c>
      <c r="CO864">
        <v>4860</v>
      </c>
      <c r="CP864">
        <v>42227282</v>
      </c>
      <c r="CQ864" s="73">
        <v>45361.25</v>
      </c>
      <c r="CR864" t="s">
        <v>229</v>
      </c>
      <c r="CS864" t="s">
        <v>103</v>
      </c>
      <c r="CU864" t="s">
        <v>225</v>
      </c>
    </row>
    <row r="865" spans="1:99">
      <c r="A865" t="s">
        <v>111</v>
      </c>
      <c r="B865" t="s">
        <v>77</v>
      </c>
      <c r="J865" t="s">
        <v>225</v>
      </c>
      <c r="K865" t="s">
        <v>225</v>
      </c>
      <c r="M865" s="73">
        <v>45361.25</v>
      </c>
      <c r="N865">
        <v>42227281</v>
      </c>
      <c r="O865">
        <v>3</v>
      </c>
      <c r="P865" t="s">
        <v>45</v>
      </c>
      <c r="Q865">
        <v>3</v>
      </c>
      <c r="R865" t="s">
        <v>45</v>
      </c>
      <c r="U865" t="s">
        <v>226</v>
      </c>
      <c r="V865" t="s">
        <v>486</v>
      </c>
      <c r="W865" t="s">
        <v>237</v>
      </c>
      <c r="X865" t="s">
        <v>229</v>
      </c>
      <c r="Y865" t="s">
        <v>111</v>
      </c>
      <c r="AD865" t="s">
        <v>45</v>
      </c>
      <c r="AE865">
        <v>3</v>
      </c>
      <c r="AF865">
        <v>42227281</v>
      </c>
      <c r="AG865" s="73">
        <v>45361.25</v>
      </c>
      <c r="AH865" t="s">
        <v>226</v>
      </c>
      <c r="AI865" t="s">
        <v>486</v>
      </c>
      <c r="AJ865" t="s">
        <v>237</v>
      </c>
      <c r="AK865" t="s">
        <v>229</v>
      </c>
      <c r="AL865" t="s">
        <v>111</v>
      </c>
      <c r="AP865" t="s">
        <v>230</v>
      </c>
      <c r="AQ865" t="s">
        <v>231</v>
      </c>
      <c r="AT865" t="s">
        <v>232</v>
      </c>
      <c r="AU865">
        <v>-99</v>
      </c>
      <c r="AV865" t="s">
        <v>45</v>
      </c>
      <c r="AW865">
        <v>3</v>
      </c>
      <c r="AX865">
        <v>42227281</v>
      </c>
      <c r="AY865" s="73">
        <v>45361.25</v>
      </c>
      <c r="AZ865" t="s">
        <v>226</v>
      </c>
      <c r="BA865" t="s">
        <v>486</v>
      </c>
      <c r="BB865" t="s">
        <v>237</v>
      </c>
      <c r="BC865" t="s">
        <v>229</v>
      </c>
      <c r="BD865" t="s">
        <v>111</v>
      </c>
      <c r="BI865" t="s">
        <v>233</v>
      </c>
      <c r="BJ865" t="s">
        <v>0</v>
      </c>
      <c r="BK865">
        <v>42227261</v>
      </c>
      <c r="BN865" t="s">
        <v>45</v>
      </c>
      <c r="BO865">
        <v>42227276</v>
      </c>
      <c r="BR865">
        <v>3</v>
      </c>
      <c r="BS865">
        <v>42227281</v>
      </c>
      <c r="BT865" s="73">
        <v>45361.25</v>
      </c>
      <c r="BU865" t="s">
        <v>226</v>
      </c>
      <c r="BV865" t="s">
        <v>486</v>
      </c>
      <c r="BW865" t="s">
        <v>237</v>
      </c>
      <c r="CH865" t="s">
        <v>229</v>
      </c>
      <c r="CI865" t="s">
        <v>111</v>
      </c>
      <c r="CJ865" t="s">
        <v>226</v>
      </c>
      <c r="CK865" t="s">
        <v>486</v>
      </c>
      <c r="CL865" t="s">
        <v>237</v>
      </c>
      <c r="CM865" t="s">
        <v>236</v>
      </c>
      <c r="CN865" t="s">
        <v>45</v>
      </c>
      <c r="CO865">
        <v>3</v>
      </c>
      <c r="CP865">
        <v>42227281</v>
      </c>
      <c r="CQ865" s="73">
        <v>45361.25</v>
      </c>
      <c r="CR865" t="s">
        <v>229</v>
      </c>
      <c r="CS865" t="s">
        <v>111</v>
      </c>
      <c r="CU865" t="s">
        <v>225</v>
      </c>
    </row>
    <row r="866" spans="1:99">
      <c r="A866" t="s">
        <v>42</v>
      </c>
      <c r="B866" t="s">
        <v>92</v>
      </c>
      <c r="J866" t="s">
        <v>225</v>
      </c>
      <c r="K866" t="s">
        <v>225</v>
      </c>
      <c r="M866" s="73">
        <v>45360.936805555553</v>
      </c>
      <c r="N866">
        <v>42196477</v>
      </c>
      <c r="O866">
        <v>-3860</v>
      </c>
      <c r="P866" t="s">
        <v>45</v>
      </c>
      <c r="Q866">
        <v>-3860</v>
      </c>
      <c r="R866" t="s">
        <v>45</v>
      </c>
      <c r="U866" t="s">
        <v>226</v>
      </c>
      <c r="V866" t="s">
        <v>487</v>
      </c>
      <c r="W866" t="s">
        <v>228</v>
      </c>
      <c r="X866" t="s">
        <v>229</v>
      </c>
      <c r="Y866" t="s">
        <v>42</v>
      </c>
      <c r="AD866" t="s">
        <v>45</v>
      </c>
      <c r="AE866">
        <v>-3860</v>
      </c>
      <c r="AF866">
        <v>42196477</v>
      </c>
      <c r="AG866" s="73">
        <v>45360.936805555553</v>
      </c>
      <c r="AH866" t="s">
        <v>226</v>
      </c>
      <c r="AI866" t="s">
        <v>487</v>
      </c>
      <c r="AJ866" t="s">
        <v>228</v>
      </c>
      <c r="AK866" t="s">
        <v>229</v>
      </c>
      <c r="AL866" t="s">
        <v>42</v>
      </c>
      <c r="AP866" t="s">
        <v>230</v>
      </c>
      <c r="AQ866" t="s">
        <v>231</v>
      </c>
      <c r="AT866" t="s">
        <v>232</v>
      </c>
      <c r="AU866">
        <v>-99</v>
      </c>
      <c r="AV866" t="s">
        <v>45</v>
      </c>
      <c r="AW866">
        <v>-3860</v>
      </c>
      <c r="AX866">
        <v>42196477</v>
      </c>
      <c r="AY866" s="73">
        <v>45360.936805555553</v>
      </c>
      <c r="AZ866" t="s">
        <v>226</v>
      </c>
      <c r="BA866" t="s">
        <v>487</v>
      </c>
      <c r="BB866" t="s">
        <v>228</v>
      </c>
      <c r="BC866" t="s">
        <v>229</v>
      </c>
      <c r="BD866" t="s">
        <v>42</v>
      </c>
      <c r="BI866" t="s">
        <v>233</v>
      </c>
      <c r="BJ866" t="s">
        <v>0</v>
      </c>
      <c r="BK866">
        <v>42196460</v>
      </c>
      <c r="BN866" t="s">
        <v>45</v>
      </c>
      <c r="BR866">
        <v>-3860</v>
      </c>
      <c r="BS866">
        <v>42196477</v>
      </c>
      <c r="BT866" s="73">
        <v>45360.936805555553</v>
      </c>
      <c r="BU866" t="s">
        <v>226</v>
      </c>
      <c r="BV866" t="s">
        <v>487</v>
      </c>
      <c r="BW866" t="s">
        <v>228</v>
      </c>
      <c r="CH866" t="s">
        <v>229</v>
      </c>
      <c r="CI866" t="s">
        <v>42</v>
      </c>
      <c r="CJ866" t="s">
        <v>226</v>
      </c>
      <c r="CK866" t="s">
        <v>487</v>
      </c>
      <c r="CL866" t="s">
        <v>228</v>
      </c>
      <c r="CM866" t="s">
        <v>234</v>
      </c>
      <c r="CN866" t="s">
        <v>45</v>
      </c>
      <c r="CO866">
        <v>-3860</v>
      </c>
      <c r="CP866">
        <v>42196477</v>
      </c>
      <c r="CQ866" s="73">
        <v>45360.936805555553</v>
      </c>
      <c r="CR866" t="s">
        <v>229</v>
      </c>
      <c r="CS866" t="s">
        <v>42</v>
      </c>
      <c r="CU866" t="s">
        <v>225</v>
      </c>
    </row>
    <row r="867" spans="1:99">
      <c r="A867" t="s">
        <v>99</v>
      </c>
      <c r="B867" t="s">
        <v>98</v>
      </c>
      <c r="J867" t="s">
        <v>225</v>
      </c>
      <c r="K867" t="s">
        <v>225</v>
      </c>
      <c r="M867" s="73">
        <v>45360.936805555553</v>
      </c>
      <c r="N867">
        <v>42196476</v>
      </c>
      <c r="O867">
        <v>-193</v>
      </c>
      <c r="P867" t="s">
        <v>73</v>
      </c>
      <c r="Q867">
        <v>-193</v>
      </c>
      <c r="R867" t="s">
        <v>73</v>
      </c>
      <c r="U867" t="s">
        <v>226</v>
      </c>
      <c r="V867" t="s">
        <v>487</v>
      </c>
      <c r="W867" t="s">
        <v>228</v>
      </c>
      <c r="X867" t="s">
        <v>229</v>
      </c>
      <c r="Y867" t="s">
        <v>99</v>
      </c>
      <c r="AD867" t="s">
        <v>73</v>
      </c>
      <c r="AE867">
        <v>-193</v>
      </c>
      <c r="AF867">
        <v>42196476</v>
      </c>
      <c r="AG867" s="73">
        <v>45360.936805555553</v>
      </c>
      <c r="AH867" t="s">
        <v>226</v>
      </c>
      <c r="AI867" t="s">
        <v>487</v>
      </c>
      <c r="AJ867" t="s">
        <v>228</v>
      </c>
      <c r="AK867" t="s">
        <v>229</v>
      </c>
      <c r="AL867" t="s">
        <v>99</v>
      </c>
      <c r="AP867" t="s">
        <v>230</v>
      </c>
      <c r="AQ867" t="s">
        <v>231</v>
      </c>
      <c r="AT867" t="s">
        <v>232</v>
      </c>
      <c r="AU867">
        <v>-99</v>
      </c>
      <c r="AV867" t="s">
        <v>73</v>
      </c>
      <c r="AW867">
        <v>-193</v>
      </c>
      <c r="AX867">
        <v>42196476</v>
      </c>
      <c r="AY867" s="73">
        <v>45360.936805555553</v>
      </c>
      <c r="AZ867" t="s">
        <v>226</v>
      </c>
      <c r="BA867" t="s">
        <v>487</v>
      </c>
      <c r="BB867" t="s">
        <v>228</v>
      </c>
      <c r="BC867" t="s">
        <v>229</v>
      </c>
      <c r="BD867" t="s">
        <v>99</v>
      </c>
      <c r="BI867" t="s">
        <v>233</v>
      </c>
      <c r="BJ867" t="s">
        <v>0</v>
      </c>
      <c r="BK867">
        <v>42196460</v>
      </c>
      <c r="BN867" t="s">
        <v>73</v>
      </c>
      <c r="BR867">
        <v>-193</v>
      </c>
      <c r="BS867">
        <v>42196476</v>
      </c>
      <c r="BT867" s="73">
        <v>45360.936805555553</v>
      </c>
      <c r="BU867" t="s">
        <v>226</v>
      </c>
      <c r="BV867" t="s">
        <v>487</v>
      </c>
      <c r="BW867" t="s">
        <v>228</v>
      </c>
      <c r="CH867" t="s">
        <v>229</v>
      </c>
      <c r="CI867" t="s">
        <v>99</v>
      </c>
      <c r="CJ867" t="s">
        <v>226</v>
      </c>
      <c r="CK867" t="s">
        <v>487</v>
      </c>
      <c r="CL867" t="s">
        <v>228</v>
      </c>
      <c r="CM867" t="s">
        <v>234</v>
      </c>
      <c r="CN867" t="s">
        <v>73</v>
      </c>
      <c r="CO867">
        <v>-193</v>
      </c>
      <c r="CP867">
        <v>42196476</v>
      </c>
      <c r="CQ867" s="73">
        <v>45360.936805555553</v>
      </c>
      <c r="CR867" t="s">
        <v>229</v>
      </c>
      <c r="CS867" t="s">
        <v>99</v>
      </c>
      <c r="CU867" t="s">
        <v>225</v>
      </c>
    </row>
    <row r="868" spans="1:99">
      <c r="A868" t="s">
        <v>103</v>
      </c>
      <c r="B868" t="s">
        <v>98</v>
      </c>
      <c r="J868" t="s">
        <v>225</v>
      </c>
      <c r="K868" t="s">
        <v>225</v>
      </c>
      <c r="M868" s="73">
        <v>45360.936805555553</v>
      </c>
      <c r="N868">
        <v>42196475</v>
      </c>
      <c r="O868">
        <v>3860</v>
      </c>
      <c r="P868" t="s">
        <v>104</v>
      </c>
      <c r="Q868">
        <v>3860</v>
      </c>
      <c r="R868" t="s">
        <v>104</v>
      </c>
      <c r="S868">
        <v>193</v>
      </c>
      <c r="T868" t="s">
        <v>73</v>
      </c>
      <c r="U868" t="s">
        <v>226</v>
      </c>
      <c r="V868" t="s">
        <v>487</v>
      </c>
      <c r="W868" t="s">
        <v>235</v>
      </c>
      <c r="X868" t="s">
        <v>229</v>
      </c>
      <c r="Y868" t="s">
        <v>103</v>
      </c>
      <c r="AD868" t="s">
        <v>104</v>
      </c>
      <c r="AE868">
        <v>3860</v>
      </c>
      <c r="AF868">
        <v>42196475</v>
      </c>
      <c r="AG868" s="73">
        <v>45360.936805555553</v>
      </c>
      <c r="AH868" t="s">
        <v>226</v>
      </c>
      <c r="AI868" t="s">
        <v>487</v>
      </c>
      <c r="AJ868" t="s">
        <v>235</v>
      </c>
      <c r="AK868" t="s">
        <v>229</v>
      </c>
      <c r="AL868" t="s">
        <v>103</v>
      </c>
      <c r="AP868" t="s">
        <v>230</v>
      </c>
      <c r="AQ868" t="s">
        <v>231</v>
      </c>
      <c r="AT868" t="s">
        <v>232</v>
      </c>
      <c r="AU868">
        <v>-99</v>
      </c>
      <c r="AV868" t="s">
        <v>104</v>
      </c>
      <c r="AW868">
        <v>3860</v>
      </c>
      <c r="AX868">
        <v>42196475</v>
      </c>
      <c r="AY868" s="73">
        <v>45360.936805555553</v>
      </c>
      <c r="AZ868" t="s">
        <v>226</v>
      </c>
      <c r="BA868" t="s">
        <v>487</v>
      </c>
      <c r="BB868" t="s">
        <v>235</v>
      </c>
      <c r="BC868" t="s">
        <v>229</v>
      </c>
      <c r="BD868" t="s">
        <v>103</v>
      </c>
      <c r="BI868" t="s">
        <v>233</v>
      </c>
      <c r="BJ868" t="s">
        <v>0</v>
      </c>
      <c r="BK868">
        <v>42196460</v>
      </c>
      <c r="BN868" t="s">
        <v>104</v>
      </c>
      <c r="BO868">
        <v>42196471</v>
      </c>
      <c r="BR868">
        <v>3860</v>
      </c>
      <c r="BS868">
        <v>42196475</v>
      </c>
      <c r="BT868" s="73">
        <v>45360.936805555553</v>
      </c>
      <c r="BU868" t="s">
        <v>226</v>
      </c>
      <c r="BV868" t="s">
        <v>487</v>
      </c>
      <c r="BW868" t="s">
        <v>235</v>
      </c>
      <c r="CH868" t="s">
        <v>229</v>
      </c>
      <c r="CI868" t="s">
        <v>103</v>
      </c>
      <c r="CJ868" t="s">
        <v>226</v>
      </c>
      <c r="CK868" t="s">
        <v>487</v>
      </c>
      <c r="CL868" t="s">
        <v>235</v>
      </c>
      <c r="CM868" t="s">
        <v>236</v>
      </c>
      <c r="CN868" t="s">
        <v>104</v>
      </c>
      <c r="CO868">
        <v>3860</v>
      </c>
      <c r="CP868">
        <v>42196475</v>
      </c>
      <c r="CQ868" s="73">
        <v>45360.936805555553</v>
      </c>
      <c r="CR868" t="s">
        <v>229</v>
      </c>
      <c r="CS868" t="s">
        <v>103</v>
      </c>
      <c r="CU868" t="s">
        <v>225</v>
      </c>
    </row>
    <row r="869" spans="1:99">
      <c r="A869" t="s">
        <v>46</v>
      </c>
      <c r="B869" t="s">
        <v>92</v>
      </c>
      <c r="J869" t="s">
        <v>225</v>
      </c>
      <c r="K869" t="s">
        <v>225</v>
      </c>
      <c r="M869" s="73">
        <v>45360.935416666667</v>
      </c>
      <c r="N869">
        <v>42196420</v>
      </c>
      <c r="O869">
        <v>-725</v>
      </c>
      <c r="P869" t="s">
        <v>45</v>
      </c>
      <c r="Q869">
        <v>-725</v>
      </c>
      <c r="R869" t="s">
        <v>45</v>
      </c>
      <c r="U869" t="s">
        <v>226</v>
      </c>
      <c r="V869" t="s">
        <v>488</v>
      </c>
      <c r="W869" t="s">
        <v>228</v>
      </c>
      <c r="X869" t="s">
        <v>229</v>
      </c>
      <c r="Y869" t="s">
        <v>46</v>
      </c>
      <c r="AD869" t="s">
        <v>45</v>
      </c>
      <c r="AE869">
        <v>-725</v>
      </c>
      <c r="AF869">
        <v>42196420</v>
      </c>
      <c r="AG869" s="73">
        <v>45360.935416666667</v>
      </c>
      <c r="AH869" t="s">
        <v>226</v>
      </c>
      <c r="AI869" t="s">
        <v>488</v>
      </c>
      <c r="AJ869" t="s">
        <v>228</v>
      </c>
      <c r="AK869" t="s">
        <v>229</v>
      </c>
      <c r="AL869" t="s">
        <v>46</v>
      </c>
      <c r="AP869" t="s">
        <v>230</v>
      </c>
      <c r="AQ869" t="s">
        <v>231</v>
      </c>
      <c r="AT869" t="s">
        <v>232</v>
      </c>
      <c r="AU869">
        <v>-99</v>
      </c>
      <c r="AV869" t="s">
        <v>45</v>
      </c>
      <c r="AW869">
        <v>-725</v>
      </c>
      <c r="AX869">
        <v>42196420</v>
      </c>
      <c r="AY869" s="73">
        <v>45360.935416666667</v>
      </c>
      <c r="AZ869" t="s">
        <v>226</v>
      </c>
      <c r="BA869" t="s">
        <v>488</v>
      </c>
      <c r="BB869" t="s">
        <v>228</v>
      </c>
      <c r="BC869" t="s">
        <v>229</v>
      </c>
      <c r="BD869" t="s">
        <v>46</v>
      </c>
      <c r="BI869" t="s">
        <v>233</v>
      </c>
      <c r="BJ869" t="s">
        <v>0</v>
      </c>
      <c r="BK869">
        <v>42196408</v>
      </c>
      <c r="BN869" t="s">
        <v>45</v>
      </c>
      <c r="BR869">
        <v>-725</v>
      </c>
      <c r="BS869">
        <v>42196420</v>
      </c>
      <c r="BT869" s="73">
        <v>45360.935416666667</v>
      </c>
      <c r="BU869" t="s">
        <v>226</v>
      </c>
      <c r="BV869" t="s">
        <v>488</v>
      </c>
      <c r="BW869" t="s">
        <v>228</v>
      </c>
      <c r="CH869" t="s">
        <v>229</v>
      </c>
      <c r="CI869" t="s">
        <v>46</v>
      </c>
      <c r="CJ869" t="s">
        <v>226</v>
      </c>
      <c r="CK869" t="s">
        <v>488</v>
      </c>
      <c r="CL869" t="s">
        <v>228</v>
      </c>
      <c r="CM869" t="s">
        <v>234</v>
      </c>
      <c r="CN869" t="s">
        <v>45</v>
      </c>
      <c r="CO869">
        <v>-725</v>
      </c>
      <c r="CP869">
        <v>42196420</v>
      </c>
      <c r="CQ869" s="73">
        <v>45360.935416666667</v>
      </c>
      <c r="CR869" t="s">
        <v>229</v>
      </c>
      <c r="CS869" t="s">
        <v>46</v>
      </c>
      <c r="CU869" t="s">
        <v>225</v>
      </c>
    </row>
    <row r="870" spans="1:99">
      <c r="A870" t="s">
        <v>93</v>
      </c>
      <c r="B870" t="s">
        <v>98</v>
      </c>
      <c r="J870" t="s">
        <v>225</v>
      </c>
      <c r="K870" t="s">
        <v>225</v>
      </c>
      <c r="M870" s="73">
        <v>45360.935416666667</v>
      </c>
      <c r="N870">
        <v>42196419</v>
      </c>
      <c r="O870">
        <v>-36.25</v>
      </c>
      <c r="P870" t="s">
        <v>73</v>
      </c>
      <c r="Q870">
        <v>-36.25</v>
      </c>
      <c r="R870" t="s">
        <v>73</v>
      </c>
      <c r="U870" t="s">
        <v>226</v>
      </c>
      <c r="V870" t="s">
        <v>488</v>
      </c>
      <c r="W870" t="s">
        <v>228</v>
      </c>
      <c r="X870" t="s">
        <v>229</v>
      </c>
      <c r="Y870" t="s">
        <v>93</v>
      </c>
      <c r="AD870" t="s">
        <v>73</v>
      </c>
      <c r="AE870">
        <v>-36.25</v>
      </c>
      <c r="AF870">
        <v>42196419</v>
      </c>
      <c r="AG870" s="73">
        <v>45360.935416666667</v>
      </c>
      <c r="AH870" t="s">
        <v>226</v>
      </c>
      <c r="AI870" t="s">
        <v>488</v>
      </c>
      <c r="AJ870" t="s">
        <v>228</v>
      </c>
      <c r="AK870" t="s">
        <v>229</v>
      </c>
      <c r="AL870" t="s">
        <v>93</v>
      </c>
      <c r="AP870" t="s">
        <v>230</v>
      </c>
      <c r="AQ870" t="s">
        <v>231</v>
      </c>
      <c r="AT870" t="s">
        <v>232</v>
      </c>
      <c r="AU870">
        <v>-99</v>
      </c>
      <c r="AV870" t="s">
        <v>73</v>
      </c>
      <c r="AW870">
        <v>-36.25</v>
      </c>
      <c r="AX870">
        <v>42196419</v>
      </c>
      <c r="AY870" s="73">
        <v>45360.935416666667</v>
      </c>
      <c r="AZ870" t="s">
        <v>226</v>
      </c>
      <c r="BA870" t="s">
        <v>488</v>
      </c>
      <c r="BB870" t="s">
        <v>228</v>
      </c>
      <c r="BC870" t="s">
        <v>229</v>
      </c>
      <c r="BD870" t="s">
        <v>93</v>
      </c>
      <c r="BI870" t="s">
        <v>233</v>
      </c>
      <c r="BJ870" t="s">
        <v>0</v>
      </c>
      <c r="BK870">
        <v>42196408</v>
      </c>
      <c r="BN870" t="s">
        <v>73</v>
      </c>
      <c r="BR870">
        <v>-36.25</v>
      </c>
      <c r="BS870">
        <v>42196419</v>
      </c>
      <c r="BT870" s="73">
        <v>45360.935416666667</v>
      </c>
      <c r="BU870" t="s">
        <v>226</v>
      </c>
      <c r="BV870" t="s">
        <v>488</v>
      </c>
      <c r="BW870" t="s">
        <v>228</v>
      </c>
      <c r="CH870" t="s">
        <v>229</v>
      </c>
      <c r="CI870" t="s">
        <v>93</v>
      </c>
      <c r="CJ870" t="s">
        <v>226</v>
      </c>
      <c r="CK870" t="s">
        <v>488</v>
      </c>
      <c r="CL870" t="s">
        <v>228</v>
      </c>
      <c r="CM870" t="s">
        <v>234</v>
      </c>
      <c r="CN870" t="s">
        <v>73</v>
      </c>
      <c r="CO870">
        <v>-36.25</v>
      </c>
      <c r="CP870">
        <v>42196419</v>
      </c>
      <c r="CQ870" s="73">
        <v>45360.935416666667</v>
      </c>
      <c r="CR870" t="s">
        <v>229</v>
      </c>
      <c r="CS870" t="s">
        <v>93</v>
      </c>
      <c r="CU870" t="s">
        <v>225</v>
      </c>
    </row>
    <row r="871" spans="1:99">
      <c r="A871" t="s">
        <v>108</v>
      </c>
      <c r="B871" t="s">
        <v>98</v>
      </c>
      <c r="J871" t="s">
        <v>225</v>
      </c>
      <c r="K871" t="s">
        <v>225</v>
      </c>
      <c r="M871" s="73">
        <v>45360.935416666667</v>
      </c>
      <c r="N871">
        <v>42196418</v>
      </c>
      <c r="O871">
        <v>725</v>
      </c>
      <c r="P871" t="s">
        <v>104</v>
      </c>
      <c r="Q871">
        <v>725</v>
      </c>
      <c r="R871" t="s">
        <v>104</v>
      </c>
      <c r="S871">
        <v>36.25</v>
      </c>
      <c r="T871" t="s">
        <v>73</v>
      </c>
      <c r="U871" t="s">
        <v>226</v>
      </c>
      <c r="V871" t="s">
        <v>488</v>
      </c>
      <c r="W871" t="s">
        <v>235</v>
      </c>
      <c r="X871" t="s">
        <v>229</v>
      </c>
      <c r="Y871" t="s">
        <v>108</v>
      </c>
      <c r="AD871" t="s">
        <v>104</v>
      </c>
      <c r="AE871">
        <v>725</v>
      </c>
      <c r="AF871">
        <v>42196418</v>
      </c>
      <c r="AG871" s="73">
        <v>45360.935416666667</v>
      </c>
      <c r="AH871" t="s">
        <v>226</v>
      </c>
      <c r="AI871" t="s">
        <v>488</v>
      </c>
      <c r="AJ871" t="s">
        <v>235</v>
      </c>
      <c r="AK871" t="s">
        <v>229</v>
      </c>
      <c r="AL871" t="s">
        <v>108</v>
      </c>
      <c r="AP871" t="s">
        <v>230</v>
      </c>
      <c r="AQ871" t="s">
        <v>231</v>
      </c>
      <c r="AT871" t="s">
        <v>232</v>
      </c>
      <c r="AU871">
        <v>-99</v>
      </c>
      <c r="AV871" t="s">
        <v>104</v>
      </c>
      <c r="AW871">
        <v>725</v>
      </c>
      <c r="AX871">
        <v>42196418</v>
      </c>
      <c r="AY871" s="73">
        <v>45360.935416666667</v>
      </c>
      <c r="AZ871" t="s">
        <v>226</v>
      </c>
      <c r="BA871" t="s">
        <v>488</v>
      </c>
      <c r="BB871" t="s">
        <v>235</v>
      </c>
      <c r="BC871" t="s">
        <v>229</v>
      </c>
      <c r="BD871" t="s">
        <v>108</v>
      </c>
      <c r="BI871" t="s">
        <v>233</v>
      </c>
      <c r="BJ871" t="s">
        <v>0</v>
      </c>
      <c r="BK871">
        <v>42196408</v>
      </c>
      <c r="BN871" t="s">
        <v>104</v>
      </c>
      <c r="BO871">
        <v>42196414</v>
      </c>
      <c r="BR871">
        <v>725</v>
      </c>
      <c r="BS871">
        <v>42196418</v>
      </c>
      <c r="BT871" s="73">
        <v>45360.935416666667</v>
      </c>
      <c r="BU871" t="s">
        <v>226</v>
      </c>
      <c r="BV871" t="s">
        <v>488</v>
      </c>
      <c r="BW871" t="s">
        <v>235</v>
      </c>
      <c r="CH871" t="s">
        <v>229</v>
      </c>
      <c r="CI871" t="s">
        <v>108</v>
      </c>
      <c r="CJ871" t="s">
        <v>226</v>
      </c>
      <c r="CK871" t="s">
        <v>488</v>
      </c>
      <c r="CL871" t="s">
        <v>235</v>
      </c>
      <c r="CM871" t="s">
        <v>236</v>
      </c>
      <c r="CN871" t="s">
        <v>104</v>
      </c>
      <c r="CO871">
        <v>725</v>
      </c>
      <c r="CP871">
        <v>42196418</v>
      </c>
      <c r="CQ871" s="73">
        <v>45360.935416666667</v>
      </c>
      <c r="CR871" t="s">
        <v>229</v>
      </c>
      <c r="CS871" t="s">
        <v>108</v>
      </c>
      <c r="CU871" t="s">
        <v>225</v>
      </c>
    </row>
    <row r="872" spans="1:99">
      <c r="A872" t="s">
        <v>52</v>
      </c>
      <c r="B872" t="s">
        <v>92</v>
      </c>
      <c r="J872" t="s">
        <v>225</v>
      </c>
      <c r="K872" t="s">
        <v>225</v>
      </c>
      <c r="M872" s="73">
        <v>45360.93472222222</v>
      </c>
      <c r="N872">
        <v>42196543</v>
      </c>
      <c r="O872">
        <v>-1396</v>
      </c>
      <c r="P872" t="s">
        <v>45</v>
      </c>
      <c r="Q872">
        <v>-1396</v>
      </c>
      <c r="R872" t="s">
        <v>45</v>
      </c>
      <c r="U872" t="s">
        <v>226</v>
      </c>
      <c r="V872" t="s">
        <v>489</v>
      </c>
      <c r="W872" t="s">
        <v>228</v>
      </c>
      <c r="X872" t="s">
        <v>229</v>
      </c>
      <c r="Y872" t="s">
        <v>52</v>
      </c>
      <c r="AD872" t="s">
        <v>45</v>
      </c>
      <c r="AE872">
        <v>-1396</v>
      </c>
      <c r="AF872">
        <v>42196543</v>
      </c>
      <c r="AG872" s="73">
        <v>45360.93472222222</v>
      </c>
      <c r="AH872" t="s">
        <v>226</v>
      </c>
      <c r="AI872" t="s">
        <v>489</v>
      </c>
      <c r="AJ872" t="s">
        <v>228</v>
      </c>
      <c r="AK872" t="s">
        <v>229</v>
      </c>
      <c r="AL872" t="s">
        <v>52</v>
      </c>
      <c r="AP872" t="s">
        <v>230</v>
      </c>
      <c r="AQ872" t="s">
        <v>231</v>
      </c>
      <c r="AT872" t="s">
        <v>232</v>
      </c>
      <c r="AU872">
        <v>-99</v>
      </c>
      <c r="AV872" t="s">
        <v>45</v>
      </c>
      <c r="AW872">
        <v>-1396</v>
      </c>
      <c r="AX872">
        <v>42196543</v>
      </c>
      <c r="AY872" s="73">
        <v>45360.93472222222</v>
      </c>
      <c r="AZ872" t="s">
        <v>226</v>
      </c>
      <c r="BA872" t="s">
        <v>489</v>
      </c>
      <c r="BB872" t="s">
        <v>228</v>
      </c>
      <c r="BC872" t="s">
        <v>229</v>
      </c>
      <c r="BD872" t="s">
        <v>52</v>
      </c>
      <c r="BI872" t="s">
        <v>233</v>
      </c>
      <c r="BJ872" t="s">
        <v>0</v>
      </c>
      <c r="BK872">
        <v>42196535</v>
      </c>
      <c r="BN872" t="s">
        <v>45</v>
      </c>
      <c r="BR872">
        <v>-1396</v>
      </c>
      <c r="BS872">
        <v>42196543</v>
      </c>
      <c r="BT872" s="73">
        <v>45360.93472222222</v>
      </c>
      <c r="BU872" t="s">
        <v>226</v>
      </c>
      <c r="BV872" t="s">
        <v>489</v>
      </c>
      <c r="BW872" t="s">
        <v>228</v>
      </c>
      <c r="CH872" t="s">
        <v>229</v>
      </c>
      <c r="CI872" t="s">
        <v>52</v>
      </c>
      <c r="CJ872" t="s">
        <v>226</v>
      </c>
      <c r="CK872" t="s">
        <v>489</v>
      </c>
      <c r="CL872" t="s">
        <v>228</v>
      </c>
      <c r="CM872" t="s">
        <v>234</v>
      </c>
      <c r="CN872" t="s">
        <v>45</v>
      </c>
      <c r="CO872">
        <v>-1396</v>
      </c>
      <c r="CP872">
        <v>42196543</v>
      </c>
      <c r="CQ872" s="73">
        <v>45360.93472222222</v>
      </c>
      <c r="CR872" t="s">
        <v>229</v>
      </c>
      <c r="CS872" t="s">
        <v>52</v>
      </c>
      <c r="CU872" t="s">
        <v>225</v>
      </c>
    </row>
    <row r="873" spans="1:99">
      <c r="A873" t="s">
        <v>52</v>
      </c>
      <c r="B873" t="s">
        <v>92</v>
      </c>
      <c r="J873" t="s">
        <v>225</v>
      </c>
      <c r="K873" t="s">
        <v>225</v>
      </c>
      <c r="M873" s="73">
        <v>45360.93472222222</v>
      </c>
      <c r="N873">
        <v>42196542</v>
      </c>
      <c r="O873">
        <v>1395</v>
      </c>
      <c r="P873" t="s">
        <v>45</v>
      </c>
      <c r="Q873">
        <v>1395</v>
      </c>
      <c r="R873" t="s">
        <v>45</v>
      </c>
      <c r="U873" t="s">
        <v>226</v>
      </c>
      <c r="V873" t="s">
        <v>489</v>
      </c>
      <c r="W873" t="s">
        <v>251</v>
      </c>
      <c r="X873" t="s">
        <v>229</v>
      </c>
      <c r="Y873" t="s">
        <v>52</v>
      </c>
      <c r="AD873" t="s">
        <v>45</v>
      </c>
      <c r="AE873">
        <v>1395</v>
      </c>
      <c r="AF873">
        <v>42196542</v>
      </c>
      <c r="AG873" s="73">
        <v>45360.93472222222</v>
      </c>
      <c r="AH873" t="s">
        <v>226</v>
      </c>
      <c r="AI873" t="s">
        <v>489</v>
      </c>
      <c r="AJ873" t="s">
        <v>251</v>
      </c>
      <c r="AK873" t="s">
        <v>229</v>
      </c>
      <c r="AL873" t="s">
        <v>52</v>
      </c>
      <c r="AP873" t="s">
        <v>230</v>
      </c>
      <c r="AQ873" t="s">
        <v>231</v>
      </c>
      <c r="AT873" t="s">
        <v>232</v>
      </c>
      <c r="AU873">
        <v>42196533</v>
      </c>
      <c r="AV873" t="s">
        <v>45</v>
      </c>
      <c r="AW873">
        <v>1395</v>
      </c>
      <c r="AX873">
        <v>42196542</v>
      </c>
      <c r="AY873" s="73">
        <v>45360.93472222222</v>
      </c>
      <c r="AZ873" t="s">
        <v>226</v>
      </c>
      <c r="BA873" t="s">
        <v>489</v>
      </c>
      <c r="BB873" t="s">
        <v>251</v>
      </c>
      <c r="BC873" t="s">
        <v>229</v>
      </c>
      <c r="BD873" t="s">
        <v>52</v>
      </c>
      <c r="BI873" t="s">
        <v>233</v>
      </c>
      <c r="BJ873" t="s">
        <v>0</v>
      </c>
      <c r="BK873">
        <v>42196535</v>
      </c>
      <c r="BN873" t="s">
        <v>45</v>
      </c>
      <c r="BR873">
        <v>1395</v>
      </c>
      <c r="BS873">
        <v>42196542</v>
      </c>
      <c r="BT873" s="73">
        <v>45360.93472222222</v>
      </c>
      <c r="BU873" t="s">
        <v>226</v>
      </c>
      <c r="BV873" t="s">
        <v>489</v>
      </c>
      <c r="BW873" t="s">
        <v>251</v>
      </c>
      <c r="CH873" t="s">
        <v>229</v>
      </c>
      <c r="CI873" t="s">
        <v>52</v>
      </c>
      <c r="CJ873" t="s">
        <v>226</v>
      </c>
      <c r="CK873" t="s">
        <v>489</v>
      </c>
      <c r="CL873" t="s">
        <v>251</v>
      </c>
      <c r="CM873" t="s">
        <v>252</v>
      </c>
      <c r="CN873" t="s">
        <v>45</v>
      </c>
      <c r="CO873">
        <v>1395</v>
      </c>
      <c r="CP873">
        <v>42196542</v>
      </c>
      <c r="CQ873" s="73">
        <v>45360.93472222222</v>
      </c>
      <c r="CR873" t="s">
        <v>229</v>
      </c>
      <c r="CS873" t="s">
        <v>52</v>
      </c>
      <c r="CU873" t="s">
        <v>225</v>
      </c>
    </row>
    <row r="874" spans="1:99">
      <c r="A874" t="s">
        <v>52</v>
      </c>
      <c r="B874" t="s">
        <v>92</v>
      </c>
      <c r="J874" t="s">
        <v>225</v>
      </c>
      <c r="K874" t="s">
        <v>225</v>
      </c>
      <c r="M874" s="73">
        <v>45360.93472222222</v>
      </c>
      <c r="N874">
        <v>42196533</v>
      </c>
      <c r="O874">
        <v>-1395</v>
      </c>
      <c r="P874" t="s">
        <v>45</v>
      </c>
      <c r="Q874">
        <v>-1395</v>
      </c>
      <c r="R874" t="s">
        <v>45</v>
      </c>
      <c r="U874" t="s">
        <v>226</v>
      </c>
      <c r="V874" t="s">
        <v>489</v>
      </c>
      <c r="W874" t="s">
        <v>228</v>
      </c>
      <c r="X874" t="s">
        <v>229</v>
      </c>
      <c r="Y874" t="s">
        <v>52</v>
      </c>
      <c r="AD874" t="s">
        <v>45</v>
      </c>
      <c r="AE874">
        <v>-1395</v>
      </c>
      <c r="AF874">
        <v>42196533</v>
      </c>
      <c r="AG874" s="73">
        <v>45360.93472222222</v>
      </c>
      <c r="AH874" t="s">
        <v>226</v>
      </c>
      <c r="AI874" t="s">
        <v>489</v>
      </c>
      <c r="AJ874" t="s">
        <v>228</v>
      </c>
      <c r="AK874" t="s">
        <v>229</v>
      </c>
      <c r="AL874" t="s">
        <v>52</v>
      </c>
      <c r="AP874" t="s">
        <v>230</v>
      </c>
      <c r="AQ874" t="s">
        <v>231</v>
      </c>
      <c r="AT874" t="s">
        <v>232</v>
      </c>
      <c r="AU874">
        <v>-99</v>
      </c>
      <c r="AV874" t="s">
        <v>45</v>
      </c>
      <c r="AW874">
        <v>-1395</v>
      </c>
      <c r="AX874">
        <v>42196533</v>
      </c>
      <c r="AY874" s="73">
        <v>45360.93472222222</v>
      </c>
      <c r="AZ874" t="s">
        <v>226</v>
      </c>
      <c r="BA874" t="s">
        <v>489</v>
      </c>
      <c r="BB874" t="s">
        <v>228</v>
      </c>
      <c r="BC874" t="s">
        <v>229</v>
      </c>
      <c r="BD874" t="s">
        <v>52</v>
      </c>
      <c r="BI874" t="s">
        <v>233</v>
      </c>
      <c r="BJ874" t="s">
        <v>0</v>
      </c>
      <c r="BK874">
        <v>42196520</v>
      </c>
      <c r="BN874" t="s">
        <v>45</v>
      </c>
      <c r="BR874">
        <v>-1395</v>
      </c>
      <c r="BS874">
        <v>42196533</v>
      </c>
      <c r="BT874" s="73">
        <v>45360.93472222222</v>
      </c>
      <c r="BU874" t="s">
        <v>226</v>
      </c>
      <c r="BV874" t="s">
        <v>489</v>
      </c>
      <c r="BW874" t="s">
        <v>228</v>
      </c>
      <c r="CH874" t="s">
        <v>229</v>
      </c>
      <c r="CI874" t="s">
        <v>52</v>
      </c>
      <c r="CJ874" t="s">
        <v>226</v>
      </c>
      <c r="CK874" t="s">
        <v>489</v>
      </c>
      <c r="CL874" t="s">
        <v>228</v>
      </c>
      <c r="CM874" t="s">
        <v>234</v>
      </c>
      <c r="CN874" t="s">
        <v>45</v>
      </c>
      <c r="CO874">
        <v>-1395</v>
      </c>
      <c r="CP874">
        <v>42196533</v>
      </c>
      <c r="CQ874" s="73">
        <v>45360.93472222222</v>
      </c>
      <c r="CR874" t="s">
        <v>229</v>
      </c>
      <c r="CS874" t="s">
        <v>52</v>
      </c>
      <c r="CU874" t="s">
        <v>225</v>
      </c>
    </row>
    <row r="875" spans="1:99">
      <c r="A875" t="s">
        <v>52</v>
      </c>
      <c r="B875" t="s">
        <v>92</v>
      </c>
      <c r="J875" t="s">
        <v>225</v>
      </c>
      <c r="K875" t="s">
        <v>225</v>
      </c>
      <c r="M875" s="73">
        <v>45360.93472222222</v>
      </c>
      <c r="N875">
        <v>42196532</v>
      </c>
      <c r="O875">
        <v>1396</v>
      </c>
      <c r="P875" t="s">
        <v>45</v>
      </c>
      <c r="Q875">
        <v>1396</v>
      </c>
      <c r="R875" t="s">
        <v>45</v>
      </c>
      <c r="U875" t="s">
        <v>226</v>
      </c>
      <c r="V875" t="s">
        <v>489</v>
      </c>
      <c r="W875" t="s">
        <v>251</v>
      </c>
      <c r="X875" t="s">
        <v>229</v>
      </c>
      <c r="Y875" t="s">
        <v>52</v>
      </c>
      <c r="AD875" t="s">
        <v>45</v>
      </c>
      <c r="AE875">
        <v>1396</v>
      </c>
      <c r="AF875">
        <v>42196532</v>
      </c>
      <c r="AG875" s="73">
        <v>45360.93472222222</v>
      </c>
      <c r="AH875" t="s">
        <v>226</v>
      </c>
      <c r="AI875" t="s">
        <v>489</v>
      </c>
      <c r="AJ875" t="s">
        <v>251</v>
      </c>
      <c r="AK875" t="s">
        <v>229</v>
      </c>
      <c r="AL875" t="s">
        <v>52</v>
      </c>
      <c r="AP875" t="s">
        <v>230</v>
      </c>
      <c r="AQ875" t="s">
        <v>231</v>
      </c>
      <c r="AT875" t="s">
        <v>232</v>
      </c>
      <c r="AU875">
        <v>42196518</v>
      </c>
      <c r="AV875" t="s">
        <v>45</v>
      </c>
      <c r="AW875">
        <v>1396</v>
      </c>
      <c r="AX875">
        <v>42196532</v>
      </c>
      <c r="AY875" s="73">
        <v>45360.93472222222</v>
      </c>
      <c r="AZ875" t="s">
        <v>226</v>
      </c>
      <c r="BA875" t="s">
        <v>489</v>
      </c>
      <c r="BB875" t="s">
        <v>251</v>
      </c>
      <c r="BC875" t="s">
        <v>229</v>
      </c>
      <c r="BD875" t="s">
        <v>52</v>
      </c>
      <c r="BI875" t="s">
        <v>233</v>
      </c>
      <c r="BJ875" t="s">
        <v>0</v>
      </c>
      <c r="BK875">
        <v>42196520</v>
      </c>
      <c r="BN875" t="s">
        <v>45</v>
      </c>
      <c r="BR875">
        <v>1396</v>
      </c>
      <c r="BS875">
        <v>42196532</v>
      </c>
      <c r="BT875" s="73">
        <v>45360.93472222222</v>
      </c>
      <c r="BU875" t="s">
        <v>226</v>
      </c>
      <c r="BV875" t="s">
        <v>489</v>
      </c>
      <c r="BW875" t="s">
        <v>251</v>
      </c>
      <c r="CH875" t="s">
        <v>229</v>
      </c>
      <c r="CI875" t="s">
        <v>52</v>
      </c>
      <c r="CJ875" t="s">
        <v>226</v>
      </c>
      <c r="CK875" t="s">
        <v>489</v>
      </c>
      <c r="CL875" t="s">
        <v>251</v>
      </c>
      <c r="CM875" t="s">
        <v>252</v>
      </c>
      <c r="CN875" t="s">
        <v>45</v>
      </c>
      <c r="CO875">
        <v>1396</v>
      </c>
      <c r="CP875">
        <v>42196532</v>
      </c>
      <c r="CQ875" s="73">
        <v>45360.93472222222</v>
      </c>
      <c r="CR875" t="s">
        <v>229</v>
      </c>
      <c r="CS875" t="s">
        <v>52</v>
      </c>
      <c r="CU875" t="s">
        <v>225</v>
      </c>
    </row>
    <row r="876" spans="1:99">
      <c r="A876" t="s">
        <v>52</v>
      </c>
      <c r="B876" t="s">
        <v>92</v>
      </c>
      <c r="J876" t="s">
        <v>225</v>
      </c>
      <c r="K876" t="s">
        <v>225</v>
      </c>
      <c r="M876" s="73">
        <v>45360.93472222222</v>
      </c>
      <c r="N876">
        <v>42196518</v>
      </c>
      <c r="O876">
        <v>-1396</v>
      </c>
      <c r="P876" t="s">
        <v>45</v>
      </c>
      <c r="Q876">
        <v>-1396</v>
      </c>
      <c r="R876" t="s">
        <v>45</v>
      </c>
      <c r="U876" t="s">
        <v>226</v>
      </c>
      <c r="V876" t="s">
        <v>489</v>
      </c>
      <c r="W876" t="s">
        <v>228</v>
      </c>
      <c r="X876" t="s">
        <v>229</v>
      </c>
      <c r="Y876" t="s">
        <v>52</v>
      </c>
      <c r="AD876" t="s">
        <v>45</v>
      </c>
      <c r="AE876">
        <v>-1396</v>
      </c>
      <c r="AF876">
        <v>42196518</v>
      </c>
      <c r="AG876" s="73">
        <v>45360.93472222222</v>
      </c>
      <c r="AH876" t="s">
        <v>226</v>
      </c>
      <c r="AI876" t="s">
        <v>489</v>
      </c>
      <c r="AJ876" t="s">
        <v>228</v>
      </c>
      <c r="AK876" t="s">
        <v>229</v>
      </c>
      <c r="AL876" t="s">
        <v>52</v>
      </c>
      <c r="AP876" t="s">
        <v>230</v>
      </c>
      <c r="AQ876" t="s">
        <v>231</v>
      </c>
      <c r="AT876" t="s">
        <v>232</v>
      </c>
      <c r="AU876">
        <v>-99</v>
      </c>
      <c r="AV876" t="s">
        <v>45</v>
      </c>
      <c r="AW876">
        <v>-1396</v>
      </c>
      <c r="AX876">
        <v>42196518</v>
      </c>
      <c r="AY876" s="73">
        <v>45360.93472222222</v>
      </c>
      <c r="AZ876" t="s">
        <v>226</v>
      </c>
      <c r="BA876" t="s">
        <v>489</v>
      </c>
      <c r="BB876" t="s">
        <v>228</v>
      </c>
      <c r="BC876" t="s">
        <v>229</v>
      </c>
      <c r="BD876" t="s">
        <v>52</v>
      </c>
      <c r="BI876" t="s">
        <v>233</v>
      </c>
      <c r="BJ876" t="s">
        <v>0</v>
      </c>
      <c r="BK876">
        <v>42196510</v>
      </c>
      <c r="BN876" t="s">
        <v>45</v>
      </c>
      <c r="BR876">
        <v>-1396</v>
      </c>
      <c r="BS876">
        <v>42196518</v>
      </c>
      <c r="BT876" s="73">
        <v>45360.93472222222</v>
      </c>
      <c r="BU876" t="s">
        <v>226</v>
      </c>
      <c r="BV876" t="s">
        <v>489</v>
      </c>
      <c r="BW876" t="s">
        <v>228</v>
      </c>
      <c r="CH876" t="s">
        <v>229</v>
      </c>
      <c r="CI876" t="s">
        <v>52</v>
      </c>
      <c r="CJ876" t="s">
        <v>226</v>
      </c>
      <c r="CK876" t="s">
        <v>489</v>
      </c>
      <c r="CL876" t="s">
        <v>228</v>
      </c>
      <c r="CM876" t="s">
        <v>234</v>
      </c>
      <c r="CN876" t="s">
        <v>45</v>
      </c>
      <c r="CO876">
        <v>-1396</v>
      </c>
      <c r="CP876">
        <v>42196518</v>
      </c>
      <c r="CQ876" s="73">
        <v>45360.93472222222</v>
      </c>
      <c r="CR876" t="s">
        <v>229</v>
      </c>
      <c r="CS876" t="s">
        <v>52</v>
      </c>
      <c r="CU876" t="s">
        <v>225</v>
      </c>
    </row>
    <row r="877" spans="1:99">
      <c r="A877" t="s">
        <v>52</v>
      </c>
      <c r="B877" t="s">
        <v>92</v>
      </c>
      <c r="J877" t="s">
        <v>225</v>
      </c>
      <c r="K877" t="s">
        <v>225</v>
      </c>
      <c r="M877" s="73">
        <v>45360.93472222222</v>
      </c>
      <c r="N877">
        <v>42196517</v>
      </c>
      <c r="O877">
        <v>1391</v>
      </c>
      <c r="P877" t="s">
        <v>45</v>
      </c>
      <c r="Q877">
        <v>1391</v>
      </c>
      <c r="R877" t="s">
        <v>45</v>
      </c>
      <c r="U877" t="s">
        <v>226</v>
      </c>
      <c r="V877" t="s">
        <v>489</v>
      </c>
      <c r="W877" t="s">
        <v>251</v>
      </c>
      <c r="X877" t="s">
        <v>229</v>
      </c>
      <c r="Y877" t="s">
        <v>52</v>
      </c>
      <c r="AD877" t="s">
        <v>45</v>
      </c>
      <c r="AE877">
        <v>1391</v>
      </c>
      <c r="AF877">
        <v>42196517</v>
      </c>
      <c r="AG877" s="73">
        <v>45360.93472222222</v>
      </c>
      <c r="AH877" t="s">
        <v>226</v>
      </c>
      <c r="AI877" t="s">
        <v>489</v>
      </c>
      <c r="AJ877" t="s">
        <v>251</v>
      </c>
      <c r="AK877" t="s">
        <v>229</v>
      </c>
      <c r="AL877" t="s">
        <v>52</v>
      </c>
      <c r="AP877" t="s">
        <v>230</v>
      </c>
      <c r="AQ877" t="s">
        <v>231</v>
      </c>
      <c r="AT877" t="s">
        <v>232</v>
      </c>
      <c r="AU877">
        <v>42196390</v>
      </c>
      <c r="AV877" t="s">
        <v>45</v>
      </c>
      <c r="AW877">
        <v>1391</v>
      </c>
      <c r="AX877">
        <v>42196517</v>
      </c>
      <c r="AY877" s="73">
        <v>45360.93472222222</v>
      </c>
      <c r="AZ877" t="s">
        <v>226</v>
      </c>
      <c r="BA877" t="s">
        <v>489</v>
      </c>
      <c r="BB877" t="s">
        <v>251</v>
      </c>
      <c r="BC877" t="s">
        <v>229</v>
      </c>
      <c r="BD877" t="s">
        <v>52</v>
      </c>
      <c r="BI877" t="s">
        <v>233</v>
      </c>
      <c r="BJ877" t="s">
        <v>0</v>
      </c>
      <c r="BK877">
        <v>42196510</v>
      </c>
      <c r="BN877" t="s">
        <v>45</v>
      </c>
      <c r="BR877">
        <v>1391</v>
      </c>
      <c r="BS877">
        <v>42196517</v>
      </c>
      <c r="BT877" s="73">
        <v>45360.93472222222</v>
      </c>
      <c r="BU877" t="s">
        <v>226</v>
      </c>
      <c r="BV877" t="s">
        <v>489</v>
      </c>
      <c r="BW877" t="s">
        <v>251</v>
      </c>
      <c r="CH877" t="s">
        <v>229</v>
      </c>
      <c r="CI877" t="s">
        <v>52</v>
      </c>
      <c r="CJ877" t="s">
        <v>226</v>
      </c>
      <c r="CK877" t="s">
        <v>489</v>
      </c>
      <c r="CL877" t="s">
        <v>251</v>
      </c>
      <c r="CM877" t="s">
        <v>252</v>
      </c>
      <c r="CN877" t="s">
        <v>45</v>
      </c>
      <c r="CO877">
        <v>1391</v>
      </c>
      <c r="CP877">
        <v>42196517</v>
      </c>
      <c r="CQ877" s="73">
        <v>45360.93472222222</v>
      </c>
      <c r="CR877" t="s">
        <v>229</v>
      </c>
      <c r="CS877" t="s">
        <v>52</v>
      </c>
      <c r="CU877" t="s">
        <v>225</v>
      </c>
    </row>
    <row r="878" spans="1:99">
      <c r="A878" t="s">
        <v>52</v>
      </c>
      <c r="B878" t="s">
        <v>92</v>
      </c>
      <c r="J878" t="s">
        <v>225</v>
      </c>
      <c r="K878" t="s">
        <v>225</v>
      </c>
      <c r="M878" s="73">
        <v>45360.93472222222</v>
      </c>
      <c r="N878">
        <v>42196390</v>
      </c>
      <c r="O878">
        <v>-1391</v>
      </c>
      <c r="P878" t="s">
        <v>45</v>
      </c>
      <c r="Q878">
        <v>-1391</v>
      </c>
      <c r="R878" t="s">
        <v>45</v>
      </c>
      <c r="U878" t="s">
        <v>226</v>
      </c>
      <c r="V878" t="s">
        <v>489</v>
      </c>
      <c r="W878" t="s">
        <v>228</v>
      </c>
      <c r="X878" t="s">
        <v>229</v>
      </c>
      <c r="Y878" t="s">
        <v>52</v>
      </c>
      <c r="AD878" t="s">
        <v>45</v>
      </c>
      <c r="AE878">
        <v>-1391</v>
      </c>
      <c r="AF878">
        <v>42196390</v>
      </c>
      <c r="AG878" s="73">
        <v>45360.93472222222</v>
      </c>
      <c r="AH878" t="s">
        <v>226</v>
      </c>
      <c r="AI878" t="s">
        <v>489</v>
      </c>
      <c r="AJ878" t="s">
        <v>228</v>
      </c>
      <c r="AK878" t="s">
        <v>229</v>
      </c>
      <c r="AL878" t="s">
        <v>52</v>
      </c>
      <c r="AP878" t="s">
        <v>230</v>
      </c>
      <c r="AQ878" t="s">
        <v>231</v>
      </c>
      <c r="AT878" t="s">
        <v>232</v>
      </c>
      <c r="AU878">
        <v>-99</v>
      </c>
      <c r="AV878" t="s">
        <v>45</v>
      </c>
      <c r="AW878">
        <v>-1391</v>
      </c>
      <c r="AX878">
        <v>42196390</v>
      </c>
      <c r="AY878" s="73">
        <v>45360.93472222222</v>
      </c>
      <c r="AZ878" t="s">
        <v>226</v>
      </c>
      <c r="BA878" t="s">
        <v>489</v>
      </c>
      <c r="BB878" t="s">
        <v>228</v>
      </c>
      <c r="BC878" t="s">
        <v>229</v>
      </c>
      <c r="BD878" t="s">
        <v>52</v>
      </c>
      <c r="BI878" t="s">
        <v>233</v>
      </c>
      <c r="BJ878" t="s">
        <v>0</v>
      </c>
      <c r="BK878">
        <v>42196374</v>
      </c>
      <c r="BN878" t="s">
        <v>45</v>
      </c>
      <c r="BR878">
        <v>-1391</v>
      </c>
      <c r="BS878">
        <v>42196390</v>
      </c>
      <c r="BT878" s="73">
        <v>45360.93472222222</v>
      </c>
      <c r="BU878" t="s">
        <v>226</v>
      </c>
      <c r="BV878" t="s">
        <v>489</v>
      </c>
      <c r="BW878" t="s">
        <v>228</v>
      </c>
      <c r="CH878" t="s">
        <v>229</v>
      </c>
      <c r="CI878" t="s">
        <v>52</v>
      </c>
      <c r="CJ878" t="s">
        <v>226</v>
      </c>
      <c r="CK878" t="s">
        <v>489</v>
      </c>
      <c r="CL878" t="s">
        <v>228</v>
      </c>
      <c r="CM878" t="s">
        <v>234</v>
      </c>
      <c r="CN878" t="s">
        <v>45</v>
      </c>
      <c r="CO878">
        <v>-1391</v>
      </c>
      <c r="CP878">
        <v>42196390</v>
      </c>
      <c r="CQ878" s="73">
        <v>45360.93472222222</v>
      </c>
      <c r="CR878" t="s">
        <v>229</v>
      </c>
      <c r="CS878" t="s">
        <v>52</v>
      </c>
      <c r="CU878" t="s">
        <v>225</v>
      </c>
    </row>
    <row r="879" spans="1:99">
      <c r="A879" t="s">
        <v>101</v>
      </c>
      <c r="B879" t="s">
        <v>98</v>
      </c>
      <c r="J879" t="s">
        <v>225</v>
      </c>
      <c r="K879" t="s">
        <v>225</v>
      </c>
      <c r="M879" s="73">
        <v>45360.93472222222</v>
      </c>
      <c r="N879">
        <v>42196389</v>
      </c>
      <c r="O879">
        <v>-69.75</v>
      </c>
      <c r="P879" t="s">
        <v>73</v>
      </c>
      <c r="Q879">
        <v>-69.75</v>
      </c>
      <c r="R879" t="s">
        <v>73</v>
      </c>
      <c r="U879" t="s">
        <v>226</v>
      </c>
      <c r="V879" t="s">
        <v>489</v>
      </c>
      <c r="W879" t="s">
        <v>228</v>
      </c>
      <c r="X879" t="s">
        <v>229</v>
      </c>
      <c r="Y879" t="s">
        <v>101</v>
      </c>
      <c r="AD879" t="s">
        <v>73</v>
      </c>
      <c r="AE879">
        <v>-69.75</v>
      </c>
      <c r="AF879">
        <v>42196389</v>
      </c>
      <c r="AG879" s="73">
        <v>45360.93472222222</v>
      </c>
      <c r="AH879" t="s">
        <v>226</v>
      </c>
      <c r="AI879" t="s">
        <v>489</v>
      </c>
      <c r="AJ879" t="s">
        <v>228</v>
      </c>
      <c r="AK879" t="s">
        <v>229</v>
      </c>
      <c r="AL879" t="s">
        <v>101</v>
      </c>
      <c r="AP879" t="s">
        <v>230</v>
      </c>
      <c r="AQ879" t="s">
        <v>231</v>
      </c>
      <c r="AT879" t="s">
        <v>232</v>
      </c>
      <c r="AU879">
        <v>-99</v>
      </c>
      <c r="AV879" t="s">
        <v>73</v>
      </c>
      <c r="AW879">
        <v>-69.75</v>
      </c>
      <c r="AX879">
        <v>42196389</v>
      </c>
      <c r="AY879" s="73">
        <v>45360.93472222222</v>
      </c>
      <c r="AZ879" t="s">
        <v>226</v>
      </c>
      <c r="BA879" t="s">
        <v>489</v>
      </c>
      <c r="BB879" t="s">
        <v>228</v>
      </c>
      <c r="BC879" t="s">
        <v>229</v>
      </c>
      <c r="BD879" t="s">
        <v>101</v>
      </c>
      <c r="BI879" t="s">
        <v>233</v>
      </c>
      <c r="BJ879" t="s">
        <v>0</v>
      </c>
      <c r="BK879">
        <v>42196374</v>
      </c>
      <c r="BN879" t="s">
        <v>73</v>
      </c>
      <c r="BR879">
        <v>-69.75</v>
      </c>
      <c r="BS879">
        <v>42196389</v>
      </c>
      <c r="BT879" s="73">
        <v>45360.93472222222</v>
      </c>
      <c r="BU879" t="s">
        <v>226</v>
      </c>
      <c r="BV879" t="s">
        <v>489</v>
      </c>
      <c r="BW879" t="s">
        <v>228</v>
      </c>
      <c r="CH879" t="s">
        <v>229</v>
      </c>
      <c r="CI879" t="s">
        <v>101</v>
      </c>
      <c r="CJ879" t="s">
        <v>226</v>
      </c>
      <c r="CK879" t="s">
        <v>489</v>
      </c>
      <c r="CL879" t="s">
        <v>228</v>
      </c>
      <c r="CM879" t="s">
        <v>234</v>
      </c>
      <c r="CN879" t="s">
        <v>73</v>
      </c>
      <c r="CO879">
        <v>-69.75</v>
      </c>
      <c r="CP879">
        <v>42196389</v>
      </c>
      <c r="CQ879" s="73">
        <v>45360.93472222222</v>
      </c>
      <c r="CR879" t="s">
        <v>229</v>
      </c>
      <c r="CS879" t="s">
        <v>101</v>
      </c>
      <c r="CU879" t="s">
        <v>225</v>
      </c>
    </row>
    <row r="880" spans="1:99">
      <c r="A880" t="s">
        <v>107</v>
      </c>
      <c r="B880" t="s">
        <v>98</v>
      </c>
      <c r="J880" t="s">
        <v>225</v>
      </c>
      <c r="K880" t="s">
        <v>225</v>
      </c>
      <c r="M880" s="73">
        <v>45360.93472222222</v>
      </c>
      <c r="N880">
        <v>42196388</v>
      </c>
      <c r="O880">
        <v>1395</v>
      </c>
      <c r="P880" t="s">
        <v>104</v>
      </c>
      <c r="Q880">
        <v>1395</v>
      </c>
      <c r="R880" t="s">
        <v>104</v>
      </c>
      <c r="S880">
        <v>69.75</v>
      </c>
      <c r="T880" t="s">
        <v>73</v>
      </c>
      <c r="U880" t="s">
        <v>226</v>
      </c>
      <c r="V880" t="s">
        <v>489</v>
      </c>
      <c r="W880" t="s">
        <v>235</v>
      </c>
      <c r="X880" t="s">
        <v>229</v>
      </c>
      <c r="Y880" t="s">
        <v>107</v>
      </c>
      <c r="AD880" t="s">
        <v>104</v>
      </c>
      <c r="AE880">
        <v>1395</v>
      </c>
      <c r="AF880">
        <v>42196388</v>
      </c>
      <c r="AG880" s="73">
        <v>45360.93472222222</v>
      </c>
      <c r="AH880" t="s">
        <v>226</v>
      </c>
      <c r="AI880" t="s">
        <v>489</v>
      </c>
      <c r="AJ880" t="s">
        <v>235</v>
      </c>
      <c r="AK880" t="s">
        <v>229</v>
      </c>
      <c r="AL880" t="s">
        <v>107</v>
      </c>
      <c r="AP880" t="s">
        <v>230</v>
      </c>
      <c r="AQ880" t="s">
        <v>231</v>
      </c>
      <c r="AT880" t="s">
        <v>232</v>
      </c>
      <c r="AU880">
        <v>-99</v>
      </c>
      <c r="AV880" t="s">
        <v>104</v>
      </c>
      <c r="AW880">
        <v>1395</v>
      </c>
      <c r="AX880">
        <v>42196388</v>
      </c>
      <c r="AY880" s="73">
        <v>45360.93472222222</v>
      </c>
      <c r="AZ880" t="s">
        <v>226</v>
      </c>
      <c r="BA880" t="s">
        <v>489</v>
      </c>
      <c r="BB880" t="s">
        <v>235</v>
      </c>
      <c r="BC880" t="s">
        <v>229</v>
      </c>
      <c r="BD880" t="s">
        <v>107</v>
      </c>
      <c r="BI880" t="s">
        <v>233</v>
      </c>
      <c r="BJ880" t="s">
        <v>0</v>
      </c>
      <c r="BK880">
        <v>42196374</v>
      </c>
      <c r="BN880" t="s">
        <v>104</v>
      </c>
      <c r="BO880">
        <v>42196380</v>
      </c>
      <c r="BR880">
        <v>1395</v>
      </c>
      <c r="BS880">
        <v>42196388</v>
      </c>
      <c r="BT880" s="73">
        <v>45360.93472222222</v>
      </c>
      <c r="BU880" t="s">
        <v>226</v>
      </c>
      <c r="BV880" t="s">
        <v>489</v>
      </c>
      <c r="BW880" t="s">
        <v>235</v>
      </c>
      <c r="CH880" t="s">
        <v>229</v>
      </c>
      <c r="CI880" t="s">
        <v>107</v>
      </c>
      <c r="CJ880" t="s">
        <v>226</v>
      </c>
      <c r="CK880" t="s">
        <v>489</v>
      </c>
      <c r="CL880" t="s">
        <v>235</v>
      </c>
      <c r="CM880" t="s">
        <v>236</v>
      </c>
      <c r="CN880" t="s">
        <v>104</v>
      </c>
      <c r="CO880">
        <v>1395</v>
      </c>
      <c r="CP880">
        <v>42196388</v>
      </c>
      <c r="CQ880" s="73">
        <v>45360.93472222222</v>
      </c>
      <c r="CR880" t="s">
        <v>229</v>
      </c>
      <c r="CS880" t="s">
        <v>107</v>
      </c>
      <c r="CU880" t="s">
        <v>225</v>
      </c>
    </row>
    <row r="881" spans="1:99">
      <c r="A881" t="s">
        <v>111</v>
      </c>
      <c r="B881" t="s">
        <v>77</v>
      </c>
      <c r="J881" t="s">
        <v>225</v>
      </c>
      <c r="K881" t="s">
        <v>225</v>
      </c>
      <c r="M881" s="73">
        <v>45360.93472222222</v>
      </c>
      <c r="N881">
        <v>42196387</v>
      </c>
      <c r="O881">
        <v>1</v>
      </c>
      <c r="P881" t="s">
        <v>45</v>
      </c>
      <c r="Q881">
        <v>1</v>
      </c>
      <c r="R881" t="s">
        <v>45</v>
      </c>
      <c r="U881" t="s">
        <v>226</v>
      </c>
      <c r="V881" t="s">
        <v>489</v>
      </c>
      <c r="W881" t="s">
        <v>237</v>
      </c>
      <c r="X881" t="s">
        <v>229</v>
      </c>
      <c r="Y881" t="s">
        <v>111</v>
      </c>
      <c r="AD881" t="s">
        <v>45</v>
      </c>
      <c r="AE881">
        <v>1</v>
      </c>
      <c r="AF881">
        <v>42196387</v>
      </c>
      <c r="AG881" s="73">
        <v>45360.93472222222</v>
      </c>
      <c r="AH881" t="s">
        <v>226</v>
      </c>
      <c r="AI881" t="s">
        <v>489</v>
      </c>
      <c r="AJ881" t="s">
        <v>237</v>
      </c>
      <c r="AK881" t="s">
        <v>229</v>
      </c>
      <c r="AL881" t="s">
        <v>111</v>
      </c>
      <c r="AP881" t="s">
        <v>230</v>
      </c>
      <c r="AQ881" t="s">
        <v>231</v>
      </c>
      <c r="AT881" t="s">
        <v>232</v>
      </c>
      <c r="AU881">
        <v>-99</v>
      </c>
      <c r="AV881" t="s">
        <v>45</v>
      </c>
      <c r="AW881">
        <v>1</v>
      </c>
      <c r="AX881">
        <v>42196387</v>
      </c>
      <c r="AY881" s="73">
        <v>45360.93472222222</v>
      </c>
      <c r="AZ881" t="s">
        <v>226</v>
      </c>
      <c r="BA881" t="s">
        <v>489</v>
      </c>
      <c r="BB881" t="s">
        <v>237</v>
      </c>
      <c r="BC881" t="s">
        <v>229</v>
      </c>
      <c r="BD881" t="s">
        <v>111</v>
      </c>
      <c r="BI881" t="s">
        <v>233</v>
      </c>
      <c r="BJ881" t="s">
        <v>0</v>
      </c>
      <c r="BK881">
        <v>42196374</v>
      </c>
      <c r="BN881" t="s">
        <v>45</v>
      </c>
      <c r="BO881">
        <v>42196382</v>
      </c>
      <c r="BR881">
        <v>1</v>
      </c>
      <c r="BS881">
        <v>42196387</v>
      </c>
      <c r="BT881" s="73">
        <v>45360.93472222222</v>
      </c>
      <c r="BU881" t="s">
        <v>226</v>
      </c>
      <c r="BV881" t="s">
        <v>489</v>
      </c>
      <c r="BW881" t="s">
        <v>237</v>
      </c>
      <c r="CH881" t="s">
        <v>229</v>
      </c>
      <c r="CI881" t="s">
        <v>111</v>
      </c>
      <c r="CJ881" t="s">
        <v>226</v>
      </c>
      <c r="CK881" t="s">
        <v>489</v>
      </c>
      <c r="CL881" t="s">
        <v>237</v>
      </c>
      <c r="CM881" t="s">
        <v>236</v>
      </c>
      <c r="CN881" t="s">
        <v>45</v>
      </c>
      <c r="CO881">
        <v>1</v>
      </c>
      <c r="CP881">
        <v>42196387</v>
      </c>
      <c r="CQ881" s="73">
        <v>45360.93472222222</v>
      </c>
      <c r="CR881" t="s">
        <v>229</v>
      </c>
      <c r="CS881" t="s">
        <v>111</v>
      </c>
      <c r="CU881" t="s">
        <v>225</v>
      </c>
    </row>
    <row r="882" spans="1:99">
      <c r="A882" t="s">
        <v>42</v>
      </c>
      <c r="B882" t="s">
        <v>92</v>
      </c>
      <c r="J882" t="s">
        <v>225</v>
      </c>
      <c r="K882" t="s">
        <v>225</v>
      </c>
      <c r="M882" s="73">
        <v>45360.933333333334</v>
      </c>
      <c r="N882">
        <v>42196371</v>
      </c>
      <c r="O882">
        <v>-2941</v>
      </c>
      <c r="P882" t="s">
        <v>45</v>
      </c>
      <c r="Q882">
        <v>-2941</v>
      </c>
      <c r="R882" t="s">
        <v>45</v>
      </c>
      <c r="U882" t="s">
        <v>226</v>
      </c>
      <c r="V882" t="s">
        <v>490</v>
      </c>
      <c r="W882" t="s">
        <v>228</v>
      </c>
      <c r="X882" t="s">
        <v>229</v>
      </c>
      <c r="Y882" t="s">
        <v>42</v>
      </c>
      <c r="AD882" t="s">
        <v>45</v>
      </c>
      <c r="AE882">
        <v>-2941</v>
      </c>
      <c r="AF882">
        <v>42196371</v>
      </c>
      <c r="AG882" s="73">
        <v>45360.933333333334</v>
      </c>
      <c r="AH882" t="s">
        <v>226</v>
      </c>
      <c r="AI882" t="s">
        <v>490</v>
      </c>
      <c r="AJ882" t="s">
        <v>228</v>
      </c>
      <c r="AK882" t="s">
        <v>229</v>
      </c>
      <c r="AL882" t="s">
        <v>42</v>
      </c>
      <c r="AP882" t="s">
        <v>230</v>
      </c>
      <c r="AQ882" t="s">
        <v>231</v>
      </c>
      <c r="AT882" t="s">
        <v>232</v>
      </c>
      <c r="AU882">
        <v>-99</v>
      </c>
      <c r="AV882" t="s">
        <v>45</v>
      </c>
      <c r="AW882">
        <v>-2941</v>
      </c>
      <c r="AX882">
        <v>42196371</v>
      </c>
      <c r="AY882" s="73">
        <v>45360.933333333334</v>
      </c>
      <c r="AZ882" t="s">
        <v>226</v>
      </c>
      <c r="BA882" t="s">
        <v>490</v>
      </c>
      <c r="BB882" t="s">
        <v>228</v>
      </c>
      <c r="BC882" t="s">
        <v>229</v>
      </c>
      <c r="BD882" t="s">
        <v>42</v>
      </c>
      <c r="BI882" t="s">
        <v>233</v>
      </c>
      <c r="BJ882" t="s">
        <v>0</v>
      </c>
      <c r="BK882">
        <v>42196355</v>
      </c>
      <c r="BN882" t="s">
        <v>45</v>
      </c>
      <c r="BR882">
        <v>-2941</v>
      </c>
      <c r="BS882">
        <v>42196371</v>
      </c>
      <c r="BT882" s="73">
        <v>45360.933333333334</v>
      </c>
      <c r="BU882" t="s">
        <v>226</v>
      </c>
      <c r="BV882" t="s">
        <v>490</v>
      </c>
      <c r="BW882" t="s">
        <v>228</v>
      </c>
      <c r="CH882" t="s">
        <v>229</v>
      </c>
      <c r="CI882" t="s">
        <v>42</v>
      </c>
      <c r="CJ882" t="s">
        <v>226</v>
      </c>
      <c r="CK882" t="s">
        <v>490</v>
      </c>
      <c r="CL882" t="s">
        <v>228</v>
      </c>
      <c r="CM882" t="s">
        <v>234</v>
      </c>
      <c r="CN882" t="s">
        <v>45</v>
      </c>
      <c r="CO882">
        <v>-2941</v>
      </c>
      <c r="CP882">
        <v>42196371</v>
      </c>
      <c r="CQ882" s="73">
        <v>45360.933333333334</v>
      </c>
      <c r="CR882" t="s">
        <v>229</v>
      </c>
      <c r="CS882" t="s">
        <v>42</v>
      </c>
      <c r="CU882" t="s">
        <v>225</v>
      </c>
    </row>
    <row r="883" spans="1:99">
      <c r="A883" t="s">
        <v>99</v>
      </c>
      <c r="B883" t="s">
        <v>98</v>
      </c>
      <c r="J883" t="s">
        <v>225</v>
      </c>
      <c r="K883" t="s">
        <v>225</v>
      </c>
      <c r="M883" s="73">
        <v>45360.933333333334</v>
      </c>
      <c r="N883">
        <v>42196370</v>
      </c>
      <c r="O883">
        <v>-147</v>
      </c>
      <c r="P883" t="s">
        <v>73</v>
      </c>
      <c r="Q883">
        <v>-147</v>
      </c>
      <c r="R883" t="s">
        <v>73</v>
      </c>
      <c r="U883" t="s">
        <v>226</v>
      </c>
      <c r="V883" t="s">
        <v>490</v>
      </c>
      <c r="W883" t="s">
        <v>228</v>
      </c>
      <c r="X883" t="s">
        <v>229</v>
      </c>
      <c r="Y883" t="s">
        <v>99</v>
      </c>
      <c r="AD883" t="s">
        <v>73</v>
      </c>
      <c r="AE883">
        <v>-147</v>
      </c>
      <c r="AF883">
        <v>42196370</v>
      </c>
      <c r="AG883" s="73">
        <v>45360.933333333334</v>
      </c>
      <c r="AH883" t="s">
        <v>226</v>
      </c>
      <c r="AI883" t="s">
        <v>490</v>
      </c>
      <c r="AJ883" t="s">
        <v>228</v>
      </c>
      <c r="AK883" t="s">
        <v>229</v>
      </c>
      <c r="AL883" t="s">
        <v>99</v>
      </c>
      <c r="AP883" t="s">
        <v>230</v>
      </c>
      <c r="AQ883" t="s">
        <v>231</v>
      </c>
      <c r="AT883" t="s">
        <v>232</v>
      </c>
      <c r="AU883">
        <v>-99</v>
      </c>
      <c r="AV883" t="s">
        <v>73</v>
      </c>
      <c r="AW883">
        <v>-147</v>
      </c>
      <c r="AX883">
        <v>42196370</v>
      </c>
      <c r="AY883" s="73">
        <v>45360.933333333334</v>
      </c>
      <c r="AZ883" t="s">
        <v>226</v>
      </c>
      <c r="BA883" t="s">
        <v>490</v>
      </c>
      <c r="BB883" t="s">
        <v>228</v>
      </c>
      <c r="BC883" t="s">
        <v>229</v>
      </c>
      <c r="BD883" t="s">
        <v>99</v>
      </c>
      <c r="BI883" t="s">
        <v>233</v>
      </c>
      <c r="BJ883" t="s">
        <v>0</v>
      </c>
      <c r="BK883">
        <v>42196355</v>
      </c>
      <c r="BN883" t="s">
        <v>73</v>
      </c>
      <c r="BR883">
        <v>-147</v>
      </c>
      <c r="BS883">
        <v>42196370</v>
      </c>
      <c r="BT883" s="73">
        <v>45360.933333333334</v>
      </c>
      <c r="BU883" t="s">
        <v>226</v>
      </c>
      <c r="BV883" t="s">
        <v>490</v>
      </c>
      <c r="BW883" t="s">
        <v>228</v>
      </c>
      <c r="CH883" t="s">
        <v>229</v>
      </c>
      <c r="CI883" t="s">
        <v>99</v>
      </c>
      <c r="CJ883" t="s">
        <v>226</v>
      </c>
      <c r="CK883" t="s">
        <v>490</v>
      </c>
      <c r="CL883" t="s">
        <v>228</v>
      </c>
      <c r="CM883" t="s">
        <v>234</v>
      </c>
      <c r="CN883" t="s">
        <v>73</v>
      </c>
      <c r="CO883">
        <v>-147</v>
      </c>
      <c r="CP883">
        <v>42196370</v>
      </c>
      <c r="CQ883" s="73">
        <v>45360.933333333334</v>
      </c>
      <c r="CR883" t="s">
        <v>229</v>
      </c>
      <c r="CS883" t="s">
        <v>99</v>
      </c>
      <c r="CU883" t="s">
        <v>225</v>
      </c>
    </row>
    <row r="884" spans="1:99">
      <c r="A884" t="s">
        <v>103</v>
      </c>
      <c r="B884" t="s">
        <v>98</v>
      </c>
      <c r="J884" t="s">
        <v>225</v>
      </c>
      <c r="K884" t="s">
        <v>225</v>
      </c>
      <c r="M884" s="73">
        <v>45360.933333333334</v>
      </c>
      <c r="N884">
        <v>42196369</v>
      </c>
      <c r="O884">
        <v>2940</v>
      </c>
      <c r="P884" t="s">
        <v>104</v>
      </c>
      <c r="Q884">
        <v>2940</v>
      </c>
      <c r="R884" t="s">
        <v>104</v>
      </c>
      <c r="S884">
        <v>147</v>
      </c>
      <c r="T884" t="s">
        <v>73</v>
      </c>
      <c r="U884" t="s">
        <v>226</v>
      </c>
      <c r="V884" t="s">
        <v>490</v>
      </c>
      <c r="W884" t="s">
        <v>235</v>
      </c>
      <c r="X884" t="s">
        <v>229</v>
      </c>
      <c r="Y884" t="s">
        <v>103</v>
      </c>
      <c r="AD884" t="s">
        <v>104</v>
      </c>
      <c r="AE884">
        <v>2940</v>
      </c>
      <c r="AF884">
        <v>42196369</v>
      </c>
      <c r="AG884" s="73">
        <v>45360.933333333334</v>
      </c>
      <c r="AH884" t="s">
        <v>226</v>
      </c>
      <c r="AI884" t="s">
        <v>490</v>
      </c>
      <c r="AJ884" t="s">
        <v>235</v>
      </c>
      <c r="AK884" t="s">
        <v>229</v>
      </c>
      <c r="AL884" t="s">
        <v>103</v>
      </c>
      <c r="AP884" t="s">
        <v>230</v>
      </c>
      <c r="AQ884" t="s">
        <v>231</v>
      </c>
      <c r="AT884" t="s">
        <v>232</v>
      </c>
      <c r="AU884">
        <v>-99</v>
      </c>
      <c r="AV884" t="s">
        <v>104</v>
      </c>
      <c r="AW884">
        <v>2940</v>
      </c>
      <c r="AX884">
        <v>42196369</v>
      </c>
      <c r="AY884" s="73">
        <v>45360.933333333334</v>
      </c>
      <c r="AZ884" t="s">
        <v>226</v>
      </c>
      <c r="BA884" t="s">
        <v>490</v>
      </c>
      <c r="BB884" t="s">
        <v>235</v>
      </c>
      <c r="BC884" t="s">
        <v>229</v>
      </c>
      <c r="BD884" t="s">
        <v>103</v>
      </c>
      <c r="BI884" t="s">
        <v>233</v>
      </c>
      <c r="BJ884" t="s">
        <v>0</v>
      </c>
      <c r="BK884">
        <v>42196355</v>
      </c>
      <c r="BN884" t="s">
        <v>104</v>
      </c>
      <c r="BO884">
        <v>42196361</v>
      </c>
      <c r="BR884">
        <v>2940</v>
      </c>
      <c r="BS884">
        <v>42196369</v>
      </c>
      <c r="BT884" s="73">
        <v>45360.933333333334</v>
      </c>
      <c r="BU884" t="s">
        <v>226</v>
      </c>
      <c r="BV884" t="s">
        <v>490</v>
      </c>
      <c r="BW884" t="s">
        <v>235</v>
      </c>
      <c r="CH884" t="s">
        <v>229</v>
      </c>
      <c r="CI884" t="s">
        <v>103</v>
      </c>
      <c r="CJ884" t="s">
        <v>226</v>
      </c>
      <c r="CK884" t="s">
        <v>490</v>
      </c>
      <c r="CL884" t="s">
        <v>235</v>
      </c>
      <c r="CM884" t="s">
        <v>236</v>
      </c>
      <c r="CN884" t="s">
        <v>104</v>
      </c>
      <c r="CO884">
        <v>2940</v>
      </c>
      <c r="CP884">
        <v>42196369</v>
      </c>
      <c r="CQ884" s="73">
        <v>45360.933333333334</v>
      </c>
      <c r="CR884" t="s">
        <v>229</v>
      </c>
      <c r="CS884" t="s">
        <v>103</v>
      </c>
      <c r="CU884" t="s">
        <v>225</v>
      </c>
    </row>
    <row r="885" spans="1:99">
      <c r="A885" t="s">
        <v>111</v>
      </c>
      <c r="B885" t="s">
        <v>77</v>
      </c>
      <c r="J885" t="s">
        <v>225</v>
      </c>
      <c r="K885" t="s">
        <v>225</v>
      </c>
      <c r="M885" s="73">
        <v>45360.933333333334</v>
      </c>
      <c r="N885">
        <v>42196368</v>
      </c>
      <c r="O885">
        <v>1</v>
      </c>
      <c r="P885" t="s">
        <v>45</v>
      </c>
      <c r="Q885">
        <v>1</v>
      </c>
      <c r="R885" t="s">
        <v>45</v>
      </c>
      <c r="U885" t="s">
        <v>226</v>
      </c>
      <c r="V885" t="s">
        <v>490</v>
      </c>
      <c r="W885" t="s">
        <v>237</v>
      </c>
      <c r="X885" t="s">
        <v>229</v>
      </c>
      <c r="Y885" t="s">
        <v>111</v>
      </c>
      <c r="AD885" t="s">
        <v>45</v>
      </c>
      <c r="AE885">
        <v>1</v>
      </c>
      <c r="AF885">
        <v>42196368</v>
      </c>
      <c r="AG885" s="73">
        <v>45360.933333333334</v>
      </c>
      <c r="AH885" t="s">
        <v>226</v>
      </c>
      <c r="AI885" t="s">
        <v>490</v>
      </c>
      <c r="AJ885" t="s">
        <v>237</v>
      </c>
      <c r="AK885" t="s">
        <v>229</v>
      </c>
      <c r="AL885" t="s">
        <v>111</v>
      </c>
      <c r="AP885" t="s">
        <v>230</v>
      </c>
      <c r="AQ885" t="s">
        <v>231</v>
      </c>
      <c r="AT885" t="s">
        <v>232</v>
      </c>
      <c r="AU885">
        <v>-99</v>
      </c>
      <c r="AV885" t="s">
        <v>45</v>
      </c>
      <c r="AW885">
        <v>1</v>
      </c>
      <c r="AX885">
        <v>42196368</v>
      </c>
      <c r="AY885" s="73">
        <v>45360.933333333334</v>
      </c>
      <c r="AZ885" t="s">
        <v>226</v>
      </c>
      <c r="BA885" t="s">
        <v>490</v>
      </c>
      <c r="BB885" t="s">
        <v>237</v>
      </c>
      <c r="BC885" t="s">
        <v>229</v>
      </c>
      <c r="BD885" t="s">
        <v>111</v>
      </c>
      <c r="BI885" t="s">
        <v>233</v>
      </c>
      <c r="BJ885" t="s">
        <v>0</v>
      </c>
      <c r="BK885">
        <v>42196355</v>
      </c>
      <c r="BN885" t="s">
        <v>45</v>
      </c>
      <c r="BO885">
        <v>42196363</v>
      </c>
      <c r="BR885">
        <v>1</v>
      </c>
      <c r="BS885">
        <v>42196368</v>
      </c>
      <c r="BT885" s="73">
        <v>45360.933333333334</v>
      </c>
      <c r="BU885" t="s">
        <v>226</v>
      </c>
      <c r="BV885" t="s">
        <v>490</v>
      </c>
      <c r="BW885" t="s">
        <v>237</v>
      </c>
      <c r="CH885" t="s">
        <v>229</v>
      </c>
      <c r="CI885" t="s">
        <v>111</v>
      </c>
      <c r="CJ885" t="s">
        <v>226</v>
      </c>
      <c r="CK885" t="s">
        <v>490</v>
      </c>
      <c r="CL885" t="s">
        <v>237</v>
      </c>
      <c r="CM885" t="s">
        <v>236</v>
      </c>
      <c r="CN885" t="s">
        <v>45</v>
      </c>
      <c r="CO885">
        <v>1</v>
      </c>
      <c r="CP885">
        <v>42196368</v>
      </c>
      <c r="CQ885" s="73">
        <v>45360.933333333334</v>
      </c>
      <c r="CR885" t="s">
        <v>229</v>
      </c>
      <c r="CS885" t="s">
        <v>111</v>
      </c>
      <c r="CU885" t="s">
        <v>225</v>
      </c>
    </row>
    <row r="886" spans="1:99">
      <c r="A886" t="s">
        <v>113</v>
      </c>
      <c r="B886" t="s">
        <v>90</v>
      </c>
      <c r="J886" t="s">
        <v>225</v>
      </c>
      <c r="K886" t="s">
        <v>225</v>
      </c>
      <c r="M886" s="73">
        <v>45360.923622685186</v>
      </c>
      <c r="N886">
        <v>42196902</v>
      </c>
      <c r="O886">
        <v>-300</v>
      </c>
      <c r="P886" t="s">
        <v>115</v>
      </c>
      <c r="Q886">
        <v>-300</v>
      </c>
      <c r="R886" t="s">
        <v>115</v>
      </c>
      <c r="U886" t="s">
        <v>226</v>
      </c>
      <c r="V886" t="s">
        <v>491</v>
      </c>
      <c r="W886" t="s">
        <v>228</v>
      </c>
      <c r="X886" t="s">
        <v>229</v>
      </c>
      <c r="Y886" t="s">
        <v>113</v>
      </c>
      <c r="AD886" t="s">
        <v>115</v>
      </c>
      <c r="AE886">
        <v>-300</v>
      </c>
      <c r="AF886">
        <v>42196902</v>
      </c>
      <c r="AG886" s="73">
        <v>45360.923622685186</v>
      </c>
      <c r="AH886" t="s">
        <v>226</v>
      </c>
      <c r="AI886" t="s">
        <v>491</v>
      </c>
      <c r="AJ886" t="s">
        <v>228</v>
      </c>
      <c r="AK886" t="s">
        <v>229</v>
      </c>
      <c r="AL886" t="s">
        <v>113</v>
      </c>
      <c r="AP886" t="s">
        <v>230</v>
      </c>
      <c r="AQ886" t="s">
        <v>231</v>
      </c>
      <c r="AT886" t="s">
        <v>232</v>
      </c>
      <c r="AU886">
        <v>-99</v>
      </c>
      <c r="AV886" t="s">
        <v>115</v>
      </c>
      <c r="AW886">
        <v>-300</v>
      </c>
      <c r="AX886">
        <v>42196902</v>
      </c>
      <c r="AY886" s="73">
        <v>45360.923622685186</v>
      </c>
      <c r="AZ886" t="s">
        <v>226</v>
      </c>
      <c r="BA886" t="s">
        <v>491</v>
      </c>
      <c r="BB886" t="s">
        <v>228</v>
      </c>
      <c r="BC886" t="s">
        <v>229</v>
      </c>
      <c r="BD886" t="s">
        <v>113</v>
      </c>
      <c r="BI886" t="s">
        <v>233</v>
      </c>
      <c r="BJ886" t="s">
        <v>0</v>
      </c>
      <c r="BK886">
        <v>42196876</v>
      </c>
      <c r="BN886" t="s">
        <v>115</v>
      </c>
      <c r="BR886">
        <v>-300</v>
      </c>
      <c r="BS886">
        <v>42196902</v>
      </c>
      <c r="BT886" s="73">
        <v>45360.923622685186</v>
      </c>
      <c r="BU886" t="s">
        <v>226</v>
      </c>
      <c r="BV886" t="s">
        <v>491</v>
      </c>
      <c r="BW886" t="s">
        <v>228</v>
      </c>
      <c r="CH886" t="s">
        <v>229</v>
      </c>
      <c r="CI886" t="s">
        <v>113</v>
      </c>
      <c r="CJ886" t="s">
        <v>226</v>
      </c>
      <c r="CK886" t="s">
        <v>491</v>
      </c>
      <c r="CL886" t="s">
        <v>228</v>
      </c>
      <c r="CM886" t="s">
        <v>234</v>
      </c>
      <c r="CN886" t="s">
        <v>115</v>
      </c>
      <c r="CO886">
        <v>-300</v>
      </c>
      <c r="CP886">
        <v>42196902</v>
      </c>
      <c r="CQ886" s="73">
        <v>45360.923622685186</v>
      </c>
      <c r="CR886" t="s">
        <v>229</v>
      </c>
      <c r="CS886" t="s">
        <v>113</v>
      </c>
      <c r="CU886" t="s">
        <v>225</v>
      </c>
    </row>
    <row r="887" spans="1:99">
      <c r="A887" t="s">
        <v>129</v>
      </c>
      <c r="B887" t="s">
        <v>90</v>
      </c>
      <c r="J887" t="s">
        <v>225</v>
      </c>
      <c r="K887" t="s">
        <v>225</v>
      </c>
      <c r="M887" s="73">
        <v>45360.923622685186</v>
      </c>
      <c r="N887">
        <v>42196901</v>
      </c>
      <c r="O887">
        <v>-5.9</v>
      </c>
      <c r="P887" t="s">
        <v>73</v>
      </c>
      <c r="Q887">
        <v>-5.9</v>
      </c>
      <c r="R887" t="s">
        <v>73</v>
      </c>
      <c r="U887" t="s">
        <v>226</v>
      </c>
      <c r="V887" t="s">
        <v>491</v>
      </c>
      <c r="W887" t="s">
        <v>228</v>
      </c>
      <c r="X887" t="s">
        <v>229</v>
      </c>
      <c r="Y887" t="s">
        <v>129</v>
      </c>
      <c r="AD887" t="s">
        <v>73</v>
      </c>
      <c r="AE887">
        <v>-5.9</v>
      </c>
      <c r="AF887">
        <v>42196901</v>
      </c>
      <c r="AG887" s="73">
        <v>45360.923622685186</v>
      </c>
      <c r="AH887" t="s">
        <v>226</v>
      </c>
      <c r="AI887" t="s">
        <v>491</v>
      </c>
      <c r="AJ887" t="s">
        <v>228</v>
      </c>
      <c r="AK887" t="s">
        <v>229</v>
      </c>
      <c r="AL887" t="s">
        <v>129</v>
      </c>
      <c r="AP887" t="s">
        <v>230</v>
      </c>
      <c r="AQ887" t="s">
        <v>231</v>
      </c>
      <c r="AT887" t="s">
        <v>232</v>
      </c>
      <c r="AU887">
        <v>-99</v>
      </c>
      <c r="AV887" t="s">
        <v>73</v>
      </c>
      <c r="AW887">
        <v>-5.9</v>
      </c>
      <c r="AX887">
        <v>42196901</v>
      </c>
      <c r="AY887" s="73">
        <v>45360.923622685186</v>
      </c>
      <c r="AZ887" t="s">
        <v>226</v>
      </c>
      <c r="BA887" t="s">
        <v>491</v>
      </c>
      <c r="BB887" t="s">
        <v>228</v>
      </c>
      <c r="BC887" t="s">
        <v>229</v>
      </c>
      <c r="BD887" t="s">
        <v>129</v>
      </c>
      <c r="BI887" t="s">
        <v>233</v>
      </c>
      <c r="BJ887" t="s">
        <v>0</v>
      </c>
      <c r="BK887">
        <v>42196876</v>
      </c>
      <c r="BN887" t="s">
        <v>73</v>
      </c>
      <c r="BR887">
        <v>-5.9</v>
      </c>
      <c r="BS887">
        <v>42196901</v>
      </c>
      <c r="BT887" s="73">
        <v>45360.923622685186</v>
      </c>
      <c r="BU887" t="s">
        <v>226</v>
      </c>
      <c r="BV887" t="s">
        <v>491</v>
      </c>
      <c r="BW887" t="s">
        <v>228</v>
      </c>
      <c r="CH887" t="s">
        <v>229</v>
      </c>
      <c r="CI887" t="s">
        <v>129</v>
      </c>
      <c r="CJ887" t="s">
        <v>226</v>
      </c>
      <c r="CK887" t="s">
        <v>491</v>
      </c>
      <c r="CL887" t="s">
        <v>228</v>
      </c>
      <c r="CM887" t="s">
        <v>234</v>
      </c>
      <c r="CN887" t="s">
        <v>73</v>
      </c>
      <c r="CO887">
        <v>-5.9</v>
      </c>
      <c r="CP887">
        <v>42196901</v>
      </c>
      <c r="CQ887" s="73">
        <v>45360.923622685186</v>
      </c>
      <c r="CR887" t="s">
        <v>229</v>
      </c>
      <c r="CS887" t="s">
        <v>129</v>
      </c>
      <c r="CU887" t="s">
        <v>225</v>
      </c>
    </row>
    <row r="888" spans="1:99">
      <c r="A888" t="s">
        <v>99</v>
      </c>
      <c r="B888" t="s">
        <v>98</v>
      </c>
      <c r="J888" t="s">
        <v>225</v>
      </c>
      <c r="K888" t="s">
        <v>225</v>
      </c>
      <c r="M888" s="73">
        <v>45360.923622685186</v>
      </c>
      <c r="N888">
        <v>42196853</v>
      </c>
      <c r="O888">
        <v>1431.29</v>
      </c>
      <c r="P888" t="s">
        <v>73</v>
      </c>
      <c r="Q888">
        <v>1431.29</v>
      </c>
      <c r="R888" t="s">
        <v>73</v>
      </c>
      <c r="U888" t="s">
        <v>226</v>
      </c>
      <c r="V888" t="s">
        <v>491</v>
      </c>
      <c r="W888" t="s">
        <v>235</v>
      </c>
      <c r="X888" t="s">
        <v>229</v>
      </c>
      <c r="Y888" t="s">
        <v>99</v>
      </c>
      <c r="AD888" t="s">
        <v>73</v>
      </c>
      <c r="AE888">
        <v>1431.29</v>
      </c>
      <c r="AF888">
        <v>42196853</v>
      </c>
      <c r="AG888" s="73">
        <v>45360.923622685186</v>
      </c>
      <c r="AH888" t="s">
        <v>226</v>
      </c>
      <c r="AI888" t="s">
        <v>491</v>
      </c>
      <c r="AJ888" t="s">
        <v>235</v>
      </c>
      <c r="AK888" t="s">
        <v>229</v>
      </c>
      <c r="AL888" t="s">
        <v>99</v>
      </c>
      <c r="AP888" t="s">
        <v>230</v>
      </c>
      <c r="AQ888" t="s">
        <v>231</v>
      </c>
      <c r="AT888" t="s">
        <v>232</v>
      </c>
      <c r="AU888">
        <v>-99</v>
      </c>
      <c r="AV888" t="s">
        <v>73</v>
      </c>
      <c r="AW888">
        <v>1431.29</v>
      </c>
      <c r="AX888">
        <v>42196853</v>
      </c>
      <c r="AY888" s="73">
        <v>45360.923622685186</v>
      </c>
      <c r="AZ888" t="s">
        <v>226</v>
      </c>
      <c r="BA888" t="s">
        <v>491</v>
      </c>
      <c r="BB888" t="s">
        <v>235</v>
      </c>
      <c r="BC888" t="s">
        <v>229</v>
      </c>
      <c r="BD888" t="s">
        <v>99</v>
      </c>
      <c r="BI888" t="s">
        <v>233</v>
      </c>
      <c r="BJ888" t="s">
        <v>0</v>
      </c>
      <c r="BK888">
        <v>42196849</v>
      </c>
      <c r="BN888" t="s">
        <v>73</v>
      </c>
      <c r="BO888">
        <v>42196851</v>
      </c>
      <c r="BR888">
        <v>1431.29</v>
      </c>
      <c r="BS888">
        <v>42196853</v>
      </c>
      <c r="BT888" s="73">
        <v>45360.923622685186</v>
      </c>
      <c r="BU888" t="s">
        <v>226</v>
      </c>
      <c r="BV888" t="s">
        <v>491</v>
      </c>
      <c r="BW888" t="s">
        <v>235</v>
      </c>
      <c r="CH888" t="s">
        <v>229</v>
      </c>
      <c r="CI888" t="s">
        <v>99</v>
      </c>
      <c r="CJ888" t="s">
        <v>226</v>
      </c>
      <c r="CK888" t="s">
        <v>491</v>
      </c>
      <c r="CL888" t="s">
        <v>235</v>
      </c>
      <c r="CM888" t="s">
        <v>236</v>
      </c>
      <c r="CN888" t="s">
        <v>73</v>
      </c>
      <c r="CO888">
        <v>1431.29</v>
      </c>
      <c r="CP888">
        <v>42196853</v>
      </c>
      <c r="CQ888" s="73">
        <v>45360.923622685186</v>
      </c>
      <c r="CR888" t="s">
        <v>229</v>
      </c>
      <c r="CS888" t="s">
        <v>99</v>
      </c>
      <c r="CU888" t="s">
        <v>225</v>
      </c>
    </row>
    <row r="889" spans="1:99">
      <c r="A889" t="s">
        <v>71</v>
      </c>
      <c r="B889" t="s">
        <v>77</v>
      </c>
      <c r="J889" t="s">
        <v>225</v>
      </c>
      <c r="K889" t="s">
        <v>225</v>
      </c>
      <c r="M889" s="73">
        <v>45360.923622685186</v>
      </c>
      <c r="N889">
        <v>42196846</v>
      </c>
      <c r="O889">
        <v>0.86</v>
      </c>
      <c r="P889" t="s">
        <v>73</v>
      </c>
      <c r="Q889">
        <v>0.86</v>
      </c>
      <c r="R889" t="s">
        <v>73</v>
      </c>
      <c r="U889" t="s">
        <v>226</v>
      </c>
      <c r="V889" t="s">
        <v>491</v>
      </c>
      <c r="W889" t="s">
        <v>237</v>
      </c>
      <c r="X889" t="s">
        <v>229</v>
      </c>
      <c r="Y889" t="s">
        <v>71</v>
      </c>
      <c r="AD889" t="s">
        <v>73</v>
      </c>
      <c r="AE889">
        <v>0.86</v>
      </c>
      <c r="AF889">
        <v>42196846</v>
      </c>
      <c r="AG889" s="73">
        <v>45360.923622685186</v>
      </c>
      <c r="AH889" t="s">
        <v>226</v>
      </c>
      <c r="AI889" t="s">
        <v>491</v>
      </c>
      <c r="AJ889" t="s">
        <v>237</v>
      </c>
      <c r="AK889" t="s">
        <v>229</v>
      </c>
      <c r="AL889" t="s">
        <v>71</v>
      </c>
      <c r="AP889" t="s">
        <v>230</v>
      </c>
      <c r="AQ889" t="s">
        <v>231</v>
      </c>
      <c r="AT889" t="s">
        <v>232</v>
      </c>
      <c r="AU889">
        <v>-99</v>
      </c>
      <c r="AV889" t="s">
        <v>73</v>
      </c>
      <c r="AW889">
        <v>0.86</v>
      </c>
      <c r="AX889">
        <v>42196846</v>
      </c>
      <c r="AY889" s="73">
        <v>45360.923622685186</v>
      </c>
      <c r="AZ889" t="s">
        <v>226</v>
      </c>
      <c r="BA889" t="s">
        <v>491</v>
      </c>
      <c r="BB889" t="s">
        <v>237</v>
      </c>
      <c r="BC889" t="s">
        <v>229</v>
      </c>
      <c r="BD889" t="s">
        <v>71</v>
      </c>
      <c r="BI889" t="s">
        <v>233</v>
      </c>
      <c r="BJ889" t="s">
        <v>0</v>
      </c>
      <c r="BK889">
        <v>42196842</v>
      </c>
      <c r="BN889" t="s">
        <v>73</v>
      </c>
      <c r="BO889">
        <v>42196844</v>
      </c>
      <c r="BR889">
        <v>0.86</v>
      </c>
      <c r="BS889">
        <v>42196846</v>
      </c>
      <c r="BT889" s="73">
        <v>45360.923622685186</v>
      </c>
      <c r="BU889" t="s">
        <v>226</v>
      </c>
      <c r="BV889" t="s">
        <v>491</v>
      </c>
      <c r="BW889" t="s">
        <v>237</v>
      </c>
      <c r="CH889" t="s">
        <v>229</v>
      </c>
      <c r="CI889" t="s">
        <v>71</v>
      </c>
      <c r="CJ889" t="s">
        <v>226</v>
      </c>
      <c r="CK889" t="s">
        <v>491</v>
      </c>
      <c r="CL889" t="s">
        <v>237</v>
      </c>
      <c r="CM889" t="s">
        <v>236</v>
      </c>
      <c r="CN889" t="s">
        <v>73</v>
      </c>
      <c r="CO889">
        <v>0.86</v>
      </c>
      <c r="CP889">
        <v>42196846</v>
      </c>
      <c r="CQ889" s="73">
        <v>45360.923622685186</v>
      </c>
      <c r="CR889" t="s">
        <v>229</v>
      </c>
      <c r="CS889" t="s">
        <v>71</v>
      </c>
      <c r="CU889" t="s">
        <v>225</v>
      </c>
    </row>
    <row r="890" spans="1:99">
      <c r="A890" t="s">
        <v>87</v>
      </c>
      <c r="B890" t="s">
        <v>90</v>
      </c>
      <c r="J890" t="s">
        <v>225</v>
      </c>
      <c r="K890" t="s">
        <v>225</v>
      </c>
      <c r="M890" s="73">
        <v>45360.923622685186</v>
      </c>
      <c r="N890">
        <v>42196839</v>
      </c>
      <c r="O890">
        <v>-59.2</v>
      </c>
      <c r="P890" t="s">
        <v>73</v>
      </c>
      <c r="Q890">
        <v>-59.2</v>
      </c>
      <c r="R890" t="s">
        <v>73</v>
      </c>
      <c r="U890" t="s">
        <v>226</v>
      </c>
      <c r="V890" t="s">
        <v>491</v>
      </c>
      <c r="W890" t="s">
        <v>228</v>
      </c>
      <c r="X890" t="s">
        <v>229</v>
      </c>
      <c r="Y890" t="s">
        <v>87</v>
      </c>
      <c r="AD890" t="s">
        <v>73</v>
      </c>
      <c r="AE890">
        <v>-59.2</v>
      </c>
      <c r="AF890">
        <v>42196839</v>
      </c>
      <c r="AG890" s="73">
        <v>45360.923622685186</v>
      </c>
      <c r="AH890" t="s">
        <v>226</v>
      </c>
      <c r="AI890" t="s">
        <v>491</v>
      </c>
      <c r="AJ890" t="s">
        <v>228</v>
      </c>
      <c r="AK890" t="s">
        <v>229</v>
      </c>
      <c r="AL890" t="s">
        <v>87</v>
      </c>
      <c r="AP890" t="s">
        <v>230</v>
      </c>
      <c r="AQ890" t="s">
        <v>231</v>
      </c>
      <c r="AT890" t="s">
        <v>232</v>
      </c>
      <c r="AU890">
        <v>-99</v>
      </c>
      <c r="AV890" t="s">
        <v>73</v>
      </c>
      <c r="AW890">
        <v>-59.2</v>
      </c>
      <c r="AX890">
        <v>42196839</v>
      </c>
      <c r="AY890" s="73">
        <v>45360.923622685186</v>
      </c>
      <c r="AZ890" t="s">
        <v>226</v>
      </c>
      <c r="BA890" t="s">
        <v>491</v>
      </c>
      <c r="BB890" t="s">
        <v>228</v>
      </c>
      <c r="BC890" t="s">
        <v>229</v>
      </c>
      <c r="BD890" t="s">
        <v>87</v>
      </c>
      <c r="BI890" t="s">
        <v>233</v>
      </c>
      <c r="BJ890" t="s">
        <v>0</v>
      </c>
      <c r="BK890">
        <v>42196835</v>
      </c>
      <c r="BN890" t="s">
        <v>73</v>
      </c>
      <c r="BR890">
        <v>-59.2</v>
      </c>
      <c r="BS890">
        <v>42196839</v>
      </c>
      <c r="BT890" s="73">
        <v>45360.923622685186</v>
      </c>
      <c r="BU890" t="s">
        <v>226</v>
      </c>
      <c r="BV890" t="s">
        <v>491</v>
      </c>
      <c r="BW890" t="s">
        <v>228</v>
      </c>
      <c r="CH890" t="s">
        <v>229</v>
      </c>
      <c r="CI890" t="s">
        <v>87</v>
      </c>
      <c r="CJ890" t="s">
        <v>226</v>
      </c>
      <c r="CK890" t="s">
        <v>491</v>
      </c>
      <c r="CL890" t="s">
        <v>228</v>
      </c>
      <c r="CM890" t="s">
        <v>234</v>
      </c>
      <c r="CN890" t="s">
        <v>73</v>
      </c>
      <c r="CO890">
        <v>-59.2</v>
      </c>
      <c r="CP890">
        <v>42196839</v>
      </c>
      <c r="CQ890" s="73">
        <v>45360.923622685186</v>
      </c>
      <c r="CR890" t="s">
        <v>229</v>
      </c>
      <c r="CS890" t="s">
        <v>87</v>
      </c>
      <c r="CU890" t="s">
        <v>225</v>
      </c>
    </row>
    <row r="891" spans="1:99">
      <c r="A891" t="s">
        <v>131</v>
      </c>
      <c r="B891" t="s">
        <v>90</v>
      </c>
      <c r="J891" t="s">
        <v>225</v>
      </c>
      <c r="K891" t="s">
        <v>225</v>
      </c>
      <c r="M891" s="73">
        <v>45360.923622685186</v>
      </c>
      <c r="N891">
        <v>42196832</v>
      </c>
      <c r="O891">
        <v>-162.80000000000001</v>
      </c>
      <c r="P891" t="s">
        <v>73</v>
      </c>
      <c r="Q891">
        <v>-162.80000000000001</v>
      </c>
      <c r="R891" t="s">
        <v>73</v>
      </c>
      <c r="U891" t="s">
        <v>226</v>
      </c>
      <c r="V891" t="s">
        <v>491</v>
      </c>
      <c r="W891" t="s">
        <v>228</v>
      </c>
      <c r="X891" t="s">
        <v>229</v>
      </c>
      <c r="Y891" t="s">
        <v>131</v>
      </c>
      <c r="AD891" t="s">
        <v>73</v>
      </c>
      <c r="AE891">
        <v>-162.80000000000001</v>
      </c>
      <c r="AF891">
        <v>42196832</v>
      </c>
      <c r="AG891" s="73">
        <v>45360.923622685186</v>
      </c>
      <c r="AH891" t="s">
        <v>226</v>
      </c>
      <c r="AI891" t="s">
        <v>491</v>
      </c>
      <c r="AJ891" t="s">
        <v>228</v>
      </c>
      <c r="AK891" t="s">
        <v>229</v>
      </c>
      <c r="AL891" t="s">
        <v>131</v>
      </c>
      <c r="AP891" t="s">
        <v>230</v>
      </c>
      <c r="AQ891" t="s">
        <v>231</v>
      </c>
      <c r="AT891" t="s">
        <v>232</v>
      </c>
      <c r="AU891">
        <v>-99</v>
      </c>
      <c r="AV891" t="s">
        <v>73</v>
      </c>
      <c r="AW891">
        <v>-162.80000000000001</v>
      </c>
      <c r="AX891">
        <v>42196832</v>
      </c>
      <c r="AY891" s="73">
        <v>45360.923622685186</v>
      </c>
      <c r="AZ891" t="s">
        <v>226</v>
      </c>
      <c r="BA891" t="s">
        <v>491</v>
      </c>
      <c r="BB891" t="s">
        <v>228</v>
      </c>
      <c r="BC891" t="s">
        <v>229</v>
      </c>
      <c r="BD891" t="s">
        <v>131</v>
      </c>
      <c r="BI891" t="s">
        <v>233</v>
      </c>
      <c r="BJ891" t="s">
        <v>0</v>
      </c>
      <c r="BK891">
        <v>42196828</v>
      </c>
      <c r="BN891" t="s">
        <v>73</v>
      </c>
      <c r="BR891">
        <v>-162.80000000000001</v>
      </c>
      <c r="BS891">
        <v>42196832</v>
      </c>
      <c r="BT891" s="73">
        <v>45360.923622685186</v>
      </c>
      <c r="BU891" t="s">
        <v>226</v>
      </c>
      <c r="BV891" t="s">
        <v>491</v>
      </c>
      <c r="BW891" t="s">
        <v>228</v>
      </c>
      <c r="CH891" t="s">
        <v>229</v>
      </c>
      <c r="CI891" t="s">
        <v>131</v>
      </c>
      <c r="CJ891" t="s">
        <v>226</v>
      </c>
      <c r="CK891" t="s">
        <v>491</v>
      </c>
      <c r="CL891" t="s">
        <v>228</v>
      </c>
      <c r="CM891" t="s">
        <v>234</v>
      </c>
      <c r="CN891" t="s">
        <v>73</v>
      </c>
      <c r="CO891">
        <v>-162.80000000000001</v>
      </c>
      <c r="CP891">
        <v>42196832</v>
      </c>
      <c r="CQ891" s="73">
        <v>45360.923622685186</v>
      </c>
      <c r="CR891" t="s">
        <v>229</v>
      </c>
      <c r="CS891" t="s">
        <v>131</v>
      </c>
      <c r="CU891" t="s">
        <v>225</v>
      </c>
    </row>
    <row r="892" spans="1:99">
      <c r="A892" t="s">
        <v>127</v>
      </c>
      <c r="B892" t="s">
        <v>90</v>
      </c>
      <c r="J892" t="s">
        <v>225</v>
      </c>
      <c r="K892" t="s">
        <v>225</v>
      </c>
      <c r="M892" s="73">
        <v>45360.923622685186</v>
      </c>
      <c r="N892">
        <v>42196825</v>
      </c>
      <c r="O892">
        <v>-666</v>
      </c>
      <c r="P892" t="s">
        <v>73</v>
      </c>
      <c r="Q892">
        <v>-666</v>
      </c>
      <c r="R892" t="s">
        <v>73</v>
      </c>
      <c r="U892" t="s">
        <v>226</v>
      </c>
      <c r="V892" t="s">
        <v>491</v>
      </c>
      <c r="W892" t="s">
        <v>228</v>
      </c>
      <c r="X892" t="s">
        <v>229</v>
      </c>
      <c r="Y892" t="s">
        <v>127</v>
      </c>
      <c r="AD892" t="s">
        <v>73</v>
      </c>
      <c r="AE892">
        <v>-666</v>
      </c>
      <c r="AF892">
        <v>42196825</v>
      </c>
      <c r="AG892" s="73">
        <v>45360.923622685186</v>
      </c>
      <c r="AH892" t="s">
        <v>226</v>
      </c>
      <c r="AI892" t="s">
        <v>491</v>
      </c>
      <c r="AJ892" t="s">
        <v>228</v>
      </c>
      <c r="AK892" t="s">
        <v>229</v>
      </c>
      <c r="AL892" t="s">
        <v>127</v>
      </c>
      <c r="AP892" t="s">
        <v>230</v>
      </c>
      <c r="AQ892" t="s">
        <v>231</v>
      </c>
      <c r="AT892" t="s">
        <v>232</v>
      </c>
      <c r="AU892">
        <v>-99</v>
      </c>
      <c r="AV892" t="s">
        <v>73</v>
      </c>
      <c r="AW892">
        <v>-666</v>
      </c>
      <c r="AX892">
        <v>42196825</v>
      </c>
      <c r="AY892" s="73">
        <v>45360.923622685186</v>
      </c>
      <c r="AZ892" t="s">
        <v>226</v>
      </c>
      <c r="BA892" t="s">
        <v>491</v>
      </c>
      <c r="BB892" t="s">
        <v>228</v>
      </c>
      <c r="BC892" t="s">
        <v>229</v>
      </c>
      <c r="BD892" t="s">
        <v>127</v>
      </c>
      <c r="BI892" t="s">
        <v>233</v>
      </c>
      <c r="BJ892" t="s">
        <v>0</v>
      </c>
      <c r="BK892">
        <v>42196821</v>
      </c>
      <c r="BN892" t="s">
        <v>73</v>
      </c>
      <c r="BR892">
        <v>-666</v>
      </c>
      <c r="BS892">
        <v>42196825</v>
      </c>
      <c r="BT892" s="73">
        <v>45360.923622685186</v>
      </c>
      <c r="BU892" t="s">
        <v>226</v>
      </c>
      <c r="BV892" t="s">
        <v>491</v>
      </c>
      <c r="BW892" t="s">
        <v>228</v>
      </c>
      <c r="CH892" t="s">
        <v>229</v>
      </c>
      <c r="CI892" t="s">
        <v>127</v>
      </c>
      <c r="CJ892" t="s">
        <v>226</v>
      </c>
      <c r="CK892" t="s">
        <v>491</v>
      </c>
      <c r="CL892" t="s">
        <v>228</v>
      </c>
      <c r="CM892" t="s">
        <v>234</v>
      </c>
      <c r="CN892" t="s">
        <v>73</v>
      </c>
      <c r="CO892">
        <v>-666</v>
      </c>
      <c r="CP892">
        <v>42196825</v>
      </c>
      <c r="CQ892" s="73">
        <v>45360.923622685186</v>
      </c>
      <c r="CR892" t="s">
        <v>229</v>
      </c>
      <c r="CS892" t="s">
        <v>127</v>
      </c>
      <c r="CU892" t="s">
        <v>225</v>
      </c>
    </row>
    <row r="893" spans="1:99">
      <c r="A893" t="s">
        <v>133</v>
      </c>
      <c r="B893" t="s">
        <v>90</v>
      </c>
      <c r="J893" t="s">
        <v>225</v>
      </c>
      <c r="K893" t="s">
        <v>225</v>
      </c>
      <c r="M893" s="73">
        <v>45360.923622685186</v>
      </c>
      <c r="N893">
        <v>42196818</v>
      </c>
      <c r="O893">
        <v>-592</v>
      </c>
      <c r="P893" t="s">
        <v>73</v>
      </c>
      <c r="Q893">
        <v>-592</v>
      </c>
      <c r="R893" t="s">
        <v>73</v>
      </c>
      <c r="U893" t="s">
        <v>226</v>
      </c>
      <c r="V893" t="s">
        <v>491</v>
      </c>
      <c r="W893" t="s">
        <v>228</v>
      </c>
      <c r="X893" t="s">
        <v>229</v>
      </c>
      <c r="Y893" t="s">
        <v>133</v>
      </c>
      <c r="AD893" t="s">
        <v>73</v>
      </c>
      <c r="AE893">
        <v>-592</v>
      </c>
      <c r="AF893">
        <v>42196818</v>
      </c>
      <c r="AG893" s="73">
        <v>45360.923622685186</v>
      </c>
      <c r="AH893" t="s">
        <v>226</v>
      </c>
      <c r="AI893" t="s">
        <v>491</v>
      </c>
      <c r="AJ893" t="s">
        <v>228</v>
      </c>
      <c r="AK893" t="s">
        <v>229</v>
      </c>
      <c r="AL893" t="s">
        <v>133</v>
      </c>
      <c r="AP893" t="s">
        <v>230</v>
      </c>
      <c r="AQ893" t="s">
        <v>231</v>
      </c>
      <c r="AT893" t="s">
        <v>232</v>
      </c>
      <c r="AU893">
        <v>-99</v>
      </c>
      <c r="AV893" t="s">
        <v>73</v>
      </c>
      <c r="AW893">
        <v>-592</v>
      </c>
      <c r="AX893">
        <v>42196818</v>
      </c>
      <c r="AY893" s="73">
        <v>45360.923622685186</v>
      </c>
      <c r="AZ893" t="s">
        <v>226</v>
      </c>
      <c r="BA893" t="s">
        <v>491</v>
      </c>
      <c r="BB893" t="s">
        <v>228</v>
      </c>
      <c r="BC893" t="s">
        <v>229</v>
      </c>
      <c r="BD893" t="s">
        <v>133</v>
      </c>
      <c r="BI893" t="s">
        <v>233</v>
      </c>
      <c r="BJ893" t="s">
        <v>0</v>
      </c>
      <c r="BK893">
        <v>42196814</v>
      </c>
      <c r="BN893" t="s">
        <v>73</v>
      </c>
      <c r="BR893">
        <v>-592</v>
      </c>
      <c r="BS893">
        <v>42196818</v>
      </c>
      <c r="BT893" s="73">
        <v>45360.923622685186</v>
      </c>
      <c r="BU893" t="s">
        <v>226</v>
      </c>
      <c r="BV893" t="s">
        <v>491</v>
      </c>
      <c r="BW893" t="s">
        <v>228</v>
      </c>
      <c r="CH893" t="s">
        <v>229</v>
      </c>
      <c r="CI893" t="s">
        <v>133</v>
      </c>
      <c r="CJ893" t="s">
        <v>226</v>
      </c>
      <c r="CK893" t="s">
        <v>491</v>
      </c>
      <c r="CL893" t="s">
        <v>228</v>
      </c>
      <c r="CM893" t="s">
        <v>234</v>
      </c>
      <c r="CN893" t="s">
        <v>73</v>
      </c>
      <c r="CO893">
        <v>-592</v>
      </c>
      <c r="CP893">
        <v>42196818</v>
      </c>
      <c r="CQ893" s="73">
        <v>45360.923622685186</v>
      </c>
      <c r="CR893" t="s">
        <v>229</v>
      </c>
      <c r="CS893" t="s">
        <v>133</v>
      </c>
      <c r="CU893" t="s">
        <v>225</v>
      </c>
    </row>
    <row r="894" spans="1:99">
      <c r="A894" t="s">
        <v>99</v>
      </c>
      <c r="B894" t="s">
        <v>98</v>
      </c>
      <c r="J894" t="s">
        <v>225</v>
      </c>
      <c r="K894" t="s">
        <v>225</v>
      </c>
      <c r="M894" s="73">
        <v>45360.923611111109</v>
      </c>
      <c r="N894">
        <v>42192143</v>
      </c>
      <c r="O894">
        <v>1418.56</v>
      </c>
      <c r="P894" t="s">
        <v>73</v>
      </c>
      <c r="Q894">
        <v>1418.56</v>
      </c>
      <c r="R894" t="s">
        <v>73</v>
      </c>
      <c r="U894" t="s">
        <v>226</v>
      </c>
      <c r="V894" t="s">
        <v>492</v>
      </c>
      <c r="W894" t="s">
        <v>235</v>
      </c>
      <c r="X894" t="s">
        <v>229</v>
      </c>
      <c r="Y894" t="s">
        <v>99</v>
      </c>
      <c r="AD894" t="s">
        <v>73</v>
      </c>
      <c r="AE894">
        <v>1418.56</v>
      </c>
      <c r="AF894">
        <v>42192143</v>
      </c>
      <c r="AG894" s="73">
        <v>45360.923611111109</v>
      </c>
      <c r="AH894" t="s">
        <v>226</v>
      </c>
      <c r="AI894" t="s">
        <v>492</v>
      </c>
      <c r="AJ894" t="s">
        <v>235</v>
      </c>
      <c r="AK894" t="s">
        <v>229</v>
      </c>
      <c r="AL894" t="s">
        <v>99</v>
      </c>
      <c r="AP894" t="s">
        <v>230</v>
      </c>
      <c r="AQ894" t="s">
        <v>231</v>
      </c>
      <c r="AT894" t="s">
        <v>232</v>
      </c>
      <c r="AU894">
        <v>-99</v>
      </c>
      <c r="AV894" t="s">
        <v>73</v>
      </c>
      <c r="AW894">
        <v>1418.56</v>
      </c>
      <c r="AX894">
        <v>42192143</v>
      </c>
      <c r="AY894" s="73">
        <v>45360.923611111109</v>
      </c>
      <c r="AZ894" t="s">
        <v>226</v>
      </c>
      <c r="BA894" t="s">
        <v>492</v>
      </c>
      <c r="BB894" t="s">
        <v>235</v>
      </c>
      <c r="BC894" t="s">
        <v>229</v>
      </c>
      <c r="BD894" t="s">
        <v>99</v>
      </c>
      <c r="BI894" t="s">
        <v>233</v>
      </c>
      <c r="BJ894" t="s">
        <v>0</v>
      </c>
      <c r="BK894">
        <v>42192139</v>
      </c>
      <c r="BN894" t="s">
        <v>73</v>
      </c>
      <c r="BO894">
        <v>42192141</v>
      </c>
      <c r="BR894">
        <v>1418.56</v>
      </c>
      <c r="BS894">
        <v>42192143</v>
      </c>
      <c r="BT894" s="73">
        <v>45360.923611111109</v>
      </c>
      <c r="BU894" t="s">
        <v>226</v>
      </c>
      <c r="BV894" t="s">
        <v>492</v>
      </c>
      <c r="BW894" t="s">
        <v>235</v>
      </c>
      <c r="CH894" t="s">
        <v>229</v>
      </c>
      <c r="CI894" t="s">
        <v>99</v>
      </c>
      <c r="CJ894" t="s">
        <v>226</v>
      </c>
      <c r="CK894" t="s">
        <v>492</v>
      </c>
      <c r="CL894" t="s">
        <v>235</v>
      </c>
      <c r="CM894" t="s">
        <v>236</v>
      </c>
      <c r="CN894" t="s">
        <v>73</v>
      </c>
      <c r="CO894">
        <v>1418.56</v>
      </c>
      <c r="CP894">
        <v>42192143</v>
      </c>
      <c r="CQ894" s="73">
        <v>45360.923611111109</v>
      </c>
      <c r="CR894" t="s">
        <v>229</v>
      </c>
      <c r="CS894" t="s">
        <v>99</v>
      </c>
      <c r="CU894" t="s">
        <v>225</v>
      </c>
    </row>
    <row r="895" spans="1:99">
      <c r="A895" t="s">
        <v>71</v>
      </c>
      <c r="B895" t="s">
        <v>77</v>
      </c>
      <c r="J895" t="s">
        <v>225</v>
      </c>
      <c r="K895" t="s">
        <v>225</v>
      </c>
      <c r="M895" s="73">
        <v>45360.923611111109</v>
      </c>
      <c r="N895">
        <v>42192136</v>
      </c>
      <c r="O895">
        <v>0.85</v>
      </c>
      <c r="P895" t="s">
        <v>73</v>
      </c>
      <c r="Q895">
        <v>0.85</v>
      </c>
      <c r="R895" t="s">
        <v>73</v>
      </c>
      <c r="U895" t="s">
        <v>226</v>
      </c>
      <c r="V895" t="s">
        <v>492</v>
      </c>
      <c r="W895" t="s">
        <v>237</v>
      </c>
      <c r="X895" t="s">
        <v>229</v>
      </c>
      <c r="Y895" t="s">
        <v>71</v>
      </c>
      <c r="AD895" t="s">
        <v>73</v>
      </c>
      <c r="AE895">
        <v>0.85</v>
      </c>
      <c r="AF895">
        <v>42192136</v>
      </c>
      <c r="AG895" s="73">
        <v>45360.923611111109</v>
      </c>
      <c r="AH895" t="s">
        <v>226</v>
      </c>
      <c r="AI895" t="s">
        <v>492</v>
      </c>
      <c r="AJ895" t="s">
        <v>237</v>
      </c>
      <c r="AK895" t="s">
        <v>229</v>
      </c>
      <c r="AL895" t="s">
        <v>71</v>
      </c>
      <c r="AP895" t="s">
        <v>230</v>
      </c>
      <c r="AQ895" t="s">
        <v>231</v>
      </c>
      <c r="AT895" t="s">
        <v>232</v>
      </c>
      <c r="AU895">
        <v>-99</v>
      </c>
      <c r="AV895" t="s">
        <v>73</v>
      </c>
      <c r="AW895">
        <v>0.85</v>
      </c>
      <c r="AX895">
        <v>42192136</v>
      </c>
      <c r="AY895" s="73">
        <v>45360.923611111109</v>
      </c>
      <c r="AZ895" t="s">
        <v>226</v>
      </c>
      <c r="BA895" t="s">
        <v>492</v>
      </c>
      <c r="BB895" t="s">
        <v>237</v>
      </c>
      <c r="BC895" t="s">
        <v>229</v>
      </c>
      <c r="BD895" t="s">
        <v>71</v>
      </c>
      <c r="BI895" t="s">
        <v>233</v>
      </c>
      <c r="BJ895" t="s">
        <v>0</v>
      </c>
      <c r="BK895">
        <v>42192132</v>
      </c>
      <c r="BN895" t="s">
        <v>73</v>
      </c>
      <c r="BO895">
        <v>42192134</v>
      </c>
      <c r="BR895">
        <v>0.85</v>
      </c>
      <c r="BS895">
        <v>42192136</v>
      </c>
      <c r="BT895" s="73">
        <v>45360.923611111109</v>
      </c>
      <c r="BU895" t="s">
        <v>226</v>
      </c>
      <c r="BV895" t="s">
        <v>492</v>
      </c>
      <c r="BW895" t="s">
        <v>237</v>
      </c>
      <c r="CH895" t="s">
        <v>229</v>
      </c>
      <c r="CI895" t="s">
        <v>71</v>
      </c>
      <c r="CJ895" t="s">
        <v>226</v>
      </c>
      <c r="CK895" t="s">
        <v>492</v>
      </c>
      <c r="CL895" t="s">
        <v>237</v>
      </c>
      <c r="CM895" t="s">
        <v>236</v>
      </c>
      <c r="CN895" t="s">
        <v>73</v>
      </c>
      <c r="CO895">
        <v>0.85</v>
      </c>
      <c r="CP895">
        <v>42192136</v>
      </c>
      <c r="CQ895" s="73">
        <v>45360.923611111109</v>
      </c>
      <c r="CR895" t="s">
        <v>229</v>
      </c>
      <c r="CS895" t="s">
        <v>71</v>
      </c>
      <c r="CU895" t="s">
        <v>225</v>
      </c>
    </row>
    <row r="896" spans="1:99">
      <c r="A896" t="s">
        <v>131</v>
      </c>
      <c r="B896" t="s">
        <v>90</v>
      </c>
      <c r="J896" t="s">
        <v>225</v>
      </c>
      <c r="K896" t="s">
        <v>225</v>
      </c>
      <c r="M896" s="73">
        <v>45360.923611111109</v>
      </c>
      <c r="N896">
        <v>42192129</v>
      </c>
      <c r="O896">
        <v>-160</v>
      </c>
      <c r="P896" t="s">
        <v>73</v>
      </c>
      <c r="Q896">
        <v>-160</v>
      </c>
      <c r="R896" t="s">
        <v>73</v>
      </c>
      <c r="U896" t="s">
        <v>226</v>
      </c>
      <c r="V896" t="s">
        <v>492</v>
      </c>
      <c r="W896" t="s">
        <v>228</v>
      </c>
      <c r="X896" t="s">
        <v>229</v>
      </c>
      <c r="Y896" t="s">
        <v>131</v>
      </c>
      <c r="AD896" t="s">
        <v>73</v>
      </c>
      <c r="AE896">
        <v>-160</v>
      </c>
      <c r="AF896">
        <v>42192129</v>
      </c>
      <c r="AG896" s="73">
        <v>45360.923611111109</v>
      </c>
      <c r="AH896" t="s">
        <v>226</v>
      </c>
      <c r="AI896" t="s">
        <v>492</v>
      </c>
      <c r="AJ896" t="s">
        <v>228</v>
      </c>
      <c r="AK896" t="s">
        <v>229</v>
      </c>
      <c r="AL896" t="s">
        <v>131</v>
      </c>
      <c r="AP896" t="s">
        <v>230</v>
      </c>
      <c r="AQ896" t="s">
        <v>231</v>
      </c>
      <c r="AT896" t="s">
        <v>232</v>
      </c>
      <c r="AU896">
        <v>-99</v>
      </c>
      <c r="AV896" t="s">
        <v>73</v>
      </c>
      <c r="AW896">
        <v>-160</v>
      </c>
      <c r="AX896">
        <v>42192129</v>
      </c>
      <c r="AY896" s="73">
        <v>45360.923611111109</v>
      </c>
      <c r="AZ896" t="s">
        <v>226</v>
      </c>
      <c r="BA896" t="s">
        <v>492</v>
      </c>
      <c r="BB896" t="s">
        <v>228</v>
      </c>
      <c r="BC896" t="s">
        <v>229</v>
      </c>
      <c r="BD896" t="s">
        <v>131</v>
      </c>
      <c r="BI896" t="s">
        <v>233</v>
      </c>
      <c r="BJ896" t="s">
        <v>0</v>
      </c>
      <c r="BK896">
        <v>42192125</v>
      </c>
      <c r="BN896" t="s">
        <v>73</v>
      </c>
      <c r="BR896">
        <v>-160</v>
      </c>
      <c r="BS896">
        <v>42192129</v>
      </c>
      <c r="BT896" s="73">
        <v>45360.923611111109</v>
      </c>
      <c r="BU896" t="s">
        <v>226</v>
      </c>
      <c r="BV896" t="s">
        <v>492</v>
      </c>
      <c r="BW896" t="s">
        <v>228</v>
      </c>
      <c r="CH896" t="s">
        <v>229</v>
      </c>
      <c r="CI896" t="s">
        <v>131</v>
      </c>
      <c r="CJ896" t="s">
        <v>226</v>
      </c>
      <c r="CK896" t="s">
        <v>492</v>
      </c>
      <c r="CL896" t="s">
        <v>228</v>
      </c>
      <c r="CM896" t="s">
        <v>234</v>
      </c>
      <c r="CN896" t="s">
        <v>73</v>
      </c>
      <c r="CO896">
        <v>-160</v>
      </c>
      <c r="CP896">
        <v>42192129</v>
      </c>
      <c r="CQ896" s="73">
        <v>45360.923611111109</v>
      </c>
      <c r="CR896" t="s">
        <v>229</v>
      </c>
      <c r="CS896" t="s">
        <v>131</v>
      </c>
      <c r="CU896" t="s">
        <v>225</v>
      </c>
    </row>
    <row r="897" spans="1:99">
      <c r="A897" t="s">
        <v>127</v>
      </c>
      <c r="B897" t="s">
        <v>90</v>
      </c>
      <c r="J897" t="s">
        <v>225</v>
      </c>
      <c r="K897" t="s">
        <v>225</v>
      </c>
      <c r="M897" s="73">
        <v>45360.923611111109</v>
      </c>
      <c r="N897">
        <v>42192122</v>
      </c>
      <c r="O897">
        <v>-659.1</v>
      </c>
      <c r="P897" t="s">
        <v>73</v>
      </c>
      <c r="Q897">
        <v>-659.1</v>
      </c>
      <c r="R897" t="s">
        <v>73</v>
      </c>
      <c r="U897" t="s">
        <v>226</v>
      </c>
      <c r="V897" t="s">
        <v>492</v>
      </c>
      <c r="W897" t="s">
        <v>228</v>
      </c>
      <c r="X897" t="s">
        <v>229</v>
      </c>
      <c r="Y897" t="s">
        <v>127</v>
      </c>
      <c r="AD897" t="s">
        <v>73</v>
      </c>
      <c r="AE897">
        <v>-659.1</v>
      </c>
      <c r="AF897">
        <v>42192122</v>
      </c>
      <c r="AG897" s="73">
        <v>45360.923611111109</v>
      </c>
      <c r="AH897" t="s">
        <v>226</v>
      </c>
      <c r="AI897" t="s">
        <v>492</v>
      </c>
      <c r="AJ897" t="s">
        <v>228</v>
      </c>
      <c r="AK897" t="s">
        <v>229</v>
      </c>
      <c r="AL897" t="s">
        <v>127</v>
      </c>
      <c r="AP897" t="s">
        <v>230</v>
      </c>
      <c r="AQ897" t="s">
        <v>231</v>
      </c>
      <c r="AT897" t="s">
        <v>232</v>
      </c>
      <c r="AU897">
        <v>-99</v>
      </c>
      <c r="AV897" t="s">
        <v>73</v>
      </c>
      <c r="AW897">
        <v>-659.1</v>
      </c>
      <c r="AX897">
        <v>42192122</v>
      </c>
      <c r="AY897" s="73">
        <v>45360.923611111109</v>
      </c>
      <c r="AZ897" t="s">
        <v>226</v>
      </c>
      <c r="BA897" t="s">
        <v>492</v>
      </c>
      <c r="BB897" t="s">
        <v>228</v>
      </c>
      <c r="BC897" t="s">
        <v>229</v>
      </c>
      <c r="BD897" t="s">
        <v>127</v>
      </c>
      <c r="BI897" t="s">
        <v>233</v>
      </c>
      <c r="BJ897" t="s">
        <v>0</v>
      </c>
      <c r="BK897">
        <v>42192118</v>
      </c>
      <c r="BN897" t="s">
        <v>73</v>
      </c>
      <c r="BR897">
        <v>-659.1</v>
      </c>
      <c r="BS897">
        <v>42192122</v>
      </c>
      <c r="BT897" s="73">
        <v>45360.923611111109</v>
      </c>
      <c r="BU897" t="s">
        <v>226</v>
      </c>
      <c r="BV897" t="s">
        <v>492</v>
      </c>
      <c r="BW897" t="s">
        <v>228</v>
      </c>
      <c r="CH897" t="s">
        <v>229</v>
      </c>
      <c r="CI897" t="s">
        <v>127</v>
      </c>
      <c r="CJ897" t="s">
        <v>226</v>
      </c>
      <c r="CK897" t="s">
        <v>492</v>
      </c>
      <c r="CL897" t="s">
        <v>228</v>
      </c>
      <c r="CM897" t="s">
        <v>234</v>
      </c>
      <c r="CN897" t="s">
        <v>73</v>
      </c>
      <c r="CO897">
        <v>-659.1</v>
      </c>
      <c r="CP897">
        <v>42192122</v>
      </c>
      <c r="CQ897" s="73">
        <v>45360.923611111109</v>
      </c>
      <c r="CR897" t="s">
        <v>229</v>
      </c>
      <c r="CS897" t="s">
        <v>127</v>
      </c>
      <c r="CU897" t="s">
        <v>225</v>
      </c>
    </row>
    <row r="898" spans="1:99">
      <c r="A898" t="s">
        <v>133</v>
      </c>
      <c r="B898" t="s">
        <v>90</v>
      </c>
      <c r="J898" t="s">
        <v>225</v>
      </c>
      <c r="K898" t="s">
        <v>225</v>
      </c>
      <c r="M898" s="73">
        <v>45360.923611111109</v>
      </c>
      <c r="N898">
        <v>42192115</v>
      </c>
      <c r="O898">
        <v>-584.9</v>
      </c>
      <c r="P898" t="s">
        <v>73</v>
      </c>
      <c r="Q898">
        <v>-584.9</v>
      </c>
      <c r="R898" t="s">
        <v>73</v>
      </c>
      <c r="U898" t="s">
        <v>226</v>
      </c>
      <c r="V898" t="s">
        <v>492</v>
      </c>
      <c r="W898" t="s">
        <v>228</v>
      </c>
      <c r="X898" t="s">
        <v>229</v>
      </c>
      <c r="Y898" t="s">
        <v>133</v>
      </c>
      <c r="AD898" t="s">
        <v>73</v>
      </c>
      <c r="AE898">
        <v>-584.9</v>
      </c>
      <c r="AF898">
        <v>42192115</v>
      </c>
      <c r="AG898" s="73">
        <v>45360.923611111109</v>
      </c>
      <c r="AH898" t="s">
        <v>226</v>
      </c>
      <c r="AI898" t="s">
        <v>492</v>
      </c>
      <c r="AJ898" t="s">
        <v>228</v>
      </c>
      <c r="AK898" t="s">
        <v>229</v>
      </c>
      <c r="AL898" t="s">
        <v>133</v>
      </c>
      <c r="AP898" t="s">
        <v>230</v>
      </c>
      <c r="AQ898" t="s">
        <v>231</v>
      </c>
      <c r="AT898" t="s">
        <v>232</v>
      </c>
      <c r="AU898">
        <v>-99</v>
      </c>
      <c r="AV898" t="s">
        <v>73</v>
      </c>
      <c r="AW898">
        <v>-584.9</v>
      </c>
      <c r="AX898">
        <v>42192115</v>
      </c>
      <c r="AY898" s="73">
        <v>45360.923611111109</v>
      </c>
      <c r="AZ898" t="s">
        <v>226</v>
      </c>
      <c r="BA898" t="s">
        <v>492</v>
      </c>
      <c r="BB898" t="s">
        <v>228</v>
      </c>
      <c r="BC898" t="s">
        <v>229</v>
      </c>
      <c r="BD898" t="s">
        <v>133</v>
      </c>
      <c r="BI898" t="s">
        <v>233</v>
      </c>
      <c r="BJ898" t="s">
        <v>0</v>
      </c>
      <c r="BK898">
        <v>42192111</v>
      </c>
      <c r="BN898" t="s">
        <v>73</v>
      </c>
      <c r="BR898">
        <v>-584.9</v>
      </c>
      <c r="BS898">
        <v>42192115</v>
      </c>
      <c r="BT898" s="73">
        <v>45360.923611111109</v>
      </c>
      <c r="BU898" t="s">
        <v>226</v>
      </c>
      <c r="BV898" t="s">
        <v>492</v>
      </c>
      <c r="BW898" t="s">
        <v>228</v>
      </c>
      <c r="CH898" t="s">
        <v>229</v>
      </c>
      <c r="CI898" t="s">
        <v>133</v>
      </c>
      <c r="CJ898" t="s">
        <v>226</v>
      </c>
      <c r="CK898" t="s">
        <v>492</v>
      </c>
      <c r="CL898" t="s">
        <v>228</v>
      </c>
      <c r="CM898" t="s">
        <v>234</v>
      </c>
      <c r="CN898" t="s">
        <v>73</v>
      </c>
      <c r="CO898">
        <v>-584.9</v>
      </c>
      <c r="CP898">
        <v>42192115</v>
      </c>
      <c r="CQ898" s="73">
        <v>45360.923611111109</v>
      </c>
      <c r="CR898" t="s">
        <v>229</v>
      </c>
      <c r="CS898" t="s">
        <v>133</v>
      </c>
      <c r="CU898" t="s">
        <v>225</v>
      </c>
    </row>
    <row r="899" spans="1:99">
      <c r="A899" t="s">
        <v>87</v>
      </c>
      <c r="B899" t="s">
        <v>90</v>
      </c>
      <c r="J899" t="s">
        <v>225</v>
      </c>
      <c r="K899" t="s">
        <v>225</v>
      </c>
      <c r="M899" s="73">
        <v>45360.923611111109</v>
      </c>
      <c r="N899">
        <v>42192108</v>
      </c>
      <c r="O899">
        <v>-58.4</v>
      </c>
      <c r="P899" t="s">
        <v>73</v>
      </c>
      <c r="Q899">
        <v>-58.4</v>
      </c>
      <c r="R899" t="s">
        <v>73</v>
      </c>
      <c r="U899" t="s">
        <v>226</v>
      </c>
      <c r="V899" t="s">
        <v>492</v>
      </c>
      <c r="W899" t="s">
        <v>228</v>
      </c>
      <c r="X899" t="s">
        <v>229</v>
      </c>
      <c r="Y899" t="s">
        <v>87</v>
      </c>
      <c r="AD899" t="s">
        <v>73</v>
      </c>
      <c r="AE899">
        <v>-58.4</v>
      </c>
      <c r="AF899">
        <v>42192108</v>
      </c>
      <c r="AG899" s="73">
        <v>45360.923611111109</v>
      </c>
      <c r="AH899" t="s">
        <v>226</v>
      </c>
      <c r="AI899" t="s">
        <v>492</v>
      </c>
      <c r="AJ899" t="s">
        <v>228</v>
      </c>
      <c r="AK899" t="s">
        <v>229</v>
      </c>
      <c r="AL899" t="s">
        <v>87</v>
      </c>
      <c r="AP899" t="s">
        <v>230</v>
      </c>
      <c r="AQ899" t="s">
        <v>231</v>
      </c>
      <c r="AT899" t="s">
        <v>232</v>
      </c>
      <c r="AU899">
        <v>-99</v>
      </c>
      <c r="AV899" t="s">
        <v>73</v>
      </c>
      <c r="AW899">
        <v>-58.4</v>
      </c>
      <c r="AX899">
        <v>42192108</v>
      </c>
      <c r="AY899" s="73">
        <v>45360.923611111109</v>
      </c>
      <c r="AZ899" t="s">
        <v>226</v>
      </c>
      <c r="BA899" t="s">
        <v>492</v>
      </c>
      <c r="BB899" t="s">
        <v>228</v>
      </c>
      <c r="BC899" t="s">
        <v>229</v>
      </c>
      <c r="BD899" t="s">
        <v>87</v>
      </c>
      <c r="BI899" t="s">
        <v>233</v>
      </c>
      <c r="BJ899" t="s">
        <v>0</v>
      </c>
      <c r="BK899">
        <v>42192104</v>
      </c>
      <c r="BN899" t="s">
        <v>73</v>
      </c>
      <c r="BR899">
        <v>-58.4</v>
      </c>
      <c r="BS899">
        <v>42192108</v>
      </c>
      <c r="BT899" s="73">
        <v>45360.923611111109</v>
      </c>
      <c r="BU899" t="s">
        <v>226</v>
      </c>
      <c r="BV899" t="s">
        <v>492</v>
      </c>
      <c r="BW899" t="s">
        <v>228</v>
      </c>
      <c r="CH899" t="s">
        <v>229</v>
      </c>
      <c r="CI899" t="s">
        <v>87</v>
      </c>
      <c r="CJ899" t="s">
        <v>226</v>
      </c>
      <c r="CK899" t="s">
        <v>492</v>
      </c>
      <c r="CL899" t="s">
        <v>228</v>
      </c>
      <c r="CM899" t="s">
        <v>234</v>
      </c>
      <c r="CN899" t="s">
        <v>73</v>
      </c>
      <c r="CO899">
        <v>-58.4</v>
      </c>
      <c r="CP899">
        <v>42192108</v>
      </c>
      <c r="CQ899" s="73">
        <v>45360.923611111109</v>
      </c>
      <c r="CR899" t="s">
        <v>229</v>
      </c>
      <c r="CS899" t="s">
        <v>87</v>
      </c>
      <c r="CU899" t="s">
        <v>225</v>
      </c>
    </row>
    <row r="900" spans="1:99">
      <c r="A900" t="s">
        <v>52</v>
      </c>
      <c r="B900" t="s">
        <v>92</v>
      </c>
      <c r="J900" t="s">
        <v>225</v>
      </c>
      <c r="K900" t="s">
        <v>225</v>
      </c>
      <c r="M900" s="73">
        <v>45360.707141203704</v>
      </c>
      <c r="N900">
        <v>42164239</v>
      </c>
      <c r="O900">
        <v>-100</v>
      </c>
      <c r="P900" t="s">
        <v>45</v>
      </c>
      <c r="Q900">
        <v>-100</v>
      </c>
      <c r="R900" t="s">
        <v>45</v>
      </c>
      <c r="U900" t="s">
        <v>226</v>
      </c>
      <c r="V900" t="s">
        <v>493</v>
      </c>
      <c r="W900" t="s">
        <v>228</v>
      </c>
      <c r="X900" t="s">
        <v>229</v>
      </c>
      <c r="Y900" t="s">
        <v>52</v>
      </c>
      <c r="AD900" t="s">
        <v>45</v>
      </c>
      <c r="AE900">
        <v>-100</v>
      </c>
      <c r="AF900">
        <v>42164239</v>
      </c>
      <c r="AG900" s="73">
        <v>45360.707141203704</v>
      </c>
      <c r="AH900" t="s">
        <v>226</v>
      </c>
      <c r="AI900" t="s">
        <v>493</v>
      </c>
      <c r="AJ900" t="s">
        <v>228</v>
      </c>
      <c r="AK900" t="s">
        <v>229</v>
      </c>
      <c r="AL900" t="s">
        <v>52</v>
      </c>
      <c r="AP900" t="s">
        <v>230</v>
      </c>
      <c r="AQ900" t="s">
        <v>231</v>
      </c>
      <c r="AT900" t="s">
        <v>232</v>
      </c>
      <c r="AU900">
        <v>-99</v>
      </c>
      <c r="AV900" t="s">
        <v>45</v>
      </c>
      <c r="AW900">
        <v>-100</v>
      </c>
      <c r="AX900">
        <v>42164239</v>
      </c>
      <c r="AY900" s="73">
        <v>45360.707141203704</v>
      </c>
      <c r="AZ900" t="s">
        <v>226</v>
      </c>
      <c r="BA900" t="s">
        <v>493</v>
      </c>
      <c r="BB900" t="s">
        <v>228</v>
      </c>
      <c r="BC900" t="s">
        <v>229</v>
      </c>
      <c r="BD900" t="s">
        <v>52</v>
      </c>
      <c r="BI900" t="s">
        <v>233</v>
      </c>
      <c r="BJ900" t="s">
        <v>0</v>
      </c>
      <c r="BK900">
        <v>42164173</v>
      </c>
      <c r="BN900" t="s">
        <v>45</v>
      </c>
      <c r="BR900">
        <v>-100</v>
      </c>
      <c r="BS900">
        <v>42164239</v>
      </c>
      <c r="BT900" s="73">
        <v>45360.707141203704</v>
      </c>
      <c r="BU900" t="s">
        <v>226</v>
      </c>
      <c r="BV900" t="s">
        <v>493</v>
      </c>
      <c r="BW900" t="s">
        <v>228</v>
      </c>
      <c r="CH900" t="s">
        <v>229</v>
      </c>
      <c r="CI900" t="s">
        <v>52</v>
      </c>
      <c r="CJ900" t="s">
        <v>226</v>
      </c>
      <c r="CK900" t="s">
        <v>493</v>
      </c>
      <c r="CL900" t="s">
        <v>228</v>
      </c>
      <c r="CM900" t="s">
        <v>234</v>
      </c>
      <c r="CN900" t="s">
        <v>45</v>
      </c>
      <c r="CO900">
        <v>-100</v>
      </c>
      <c r="CP900">
        <v>42164239</v>
      </c>
      <c r="CQ900" s="73">
        <v>45360.707141203704</v>
      </c>
      <c r="CR900" t="s">
        <v>229</v>
      </c>
      <c r="CS900" t="s">
        <v>52</v>
      </c>
      <c r="CU900" t="s">
        <v>225</v>
      </c>
    </row>
    <row r="901" spans="1:99">
      <c r="A901" t="s">
        <v>101</v>
      </c>
      <c r="B901" t="s">
        <v>98</v>
      </c>
      <c r="J901" t="s">
        <v>225</v>
      </c>
      <c r="K901" t="s">
        <v>225</v>
      </c>
      <c r="M901" s="73">
        <v>45360.707141203704</v>
      </c>
      <c r="N901">
        <v>42164238</v>
      </c>
      <c r="O901">
        <v>-5</v>
      </c>
      <c r="P901" t="s">
        <v>73</v>
      </c>
      <c r="Q901">
        <v>-5</v>
      </c>
      <c r="R901" t="s">
        <v>73</v>
      </c>
      <c r="U901" t="s">
        <v>226</v>
      </c>
      <c r="V901" t="s">
        <v>493</v>
      </c>
      <c r="W901" t="s">
        <v>228</v>
      </c>
      <c r="X901" t="s">
        <v>229</v>
      </c>
      <c r="Y901" t="s">
        <v>101</v>
      </c>
      <c r="AD901" t="s">
        <v>73</v>
      </c>
      <c r="AE901">
        <v>-5</v>
      </c>
      <c r="AF901">
        <v>42164238</v>
      </c>
      <c r="AG901" s="73">
        <v>45360.707141203704</v>
      </c>
      <c r="AH901" t="s">
        <v>226</v>
      </c>
      <c r="AI901" t="s">
        <v>493</v>
      </c>
      <c r="AJ901" t="s">
        <v>228</v>
      </c>
      <c r="AK901" t="s">
        <v>229</v>
      </c>
      <c r="AL901" t="s">
        <v>101</v>
      </c>
      <c r="AP901" t="s">
        <v>230</v>
      </c>
      <c r="AQ901" t="s">
        <v>231</v>
      </c>
      <c r="AT901" t="s">
        <v>232</v>
      </c>
      <c r="AU901">
        <v>-99</v>
      </c>
      <c r="AV901" t="s">
        <v>73</v>
      </c>
      <c r="AW901">
        <v>-5</v>
      </c>
      <c r="AX901">
        <v>42164238</v>
      </c>
      <c r="AY901" s="73">
        <v>45360.707141203704</v>
      </c>
      <c r="AZ901" t="s">
        <v>226</v>
      </c>
      <c r="BA901" t="s">
        <v>493</v>
      </c>
      <c r="BB901" t="s">
        <v>228</v>
      </c>
      <c r="BC901" t="s">
        <v>229</v>
      </c>
      <c r="BD901" t="s">
        <v>101</v>
      </c>
      <c r="BI901" t="s">
        <v>233</v>
      </c>
      <c r="BJ901" t="s">
        <v>0</v>
      </c>
      <c r="BK901">
        <v>42164173</v>
      </c>
      <c r="BN901" t="s">
        <v>73</v>
      </c>
      <c r="BR901">
        <v>-5</v>
      </c>
      <c r="BS901">
        <v>42164238</v>
      </c>
      <c r="BT901" s="73">
        <v>45360.707141203704</v>
      </c>
      <c r="BU901" t="s">
        <v>226</v>
      </c>
      <c r="BV901" t="s">
        <v>493</v>
      </c>
      <c r="BW901" t="s">
        <v>228</v>
      </c>
      <c r="CH901" t="s">
        <v>229</v>
      </c>
      <c r="CI901" t="s">
        <v>101</v>
      </c>
      <c r="CJ901" t="s">
        <v>226</v>
      </c>
      <c r="CK901" t="s">
        <v>493</v>
      </c>
      <c r="CL901" t="s">
        <v>228</v>
      </c>
      <c r="CM901" t="s">
        <v>234</v>
      </c>
      <c r="CN901" t="s">
        <v>73</v>
      </c>
      <c r="CO901">
        <v>-5</v>
      </c>
      <c r="CP901">
        <v>42164238</v>
      </c>
      <c r="CQ901" s="73">
        <v>45360.707141203704</v>
      </c>
      <c r="CR901" t="s">
        <v>229</v>
      </c>
      <c r="CS901" t="s">
        <v>101</v>
      </c>
      <c r="CU901" t="s">
        <v>225</v>
      </c>
    </row>
    <row r="902" spans="1:99">
      <c r="A902" t="s">
        <v>107</v>
      </c>
      <c r="B902" t="s">
        <v>98</v>
      </c>
      <c r="J902" t="s">
        <v>225</v>
      </c>
      <c r="K902" t="s">
        <v>225</v>
      </c>
      <c r="M902" s="73">
        <v>45360.707141203704</v>
      </c>
      <c r="N902">
        <v>42164237</v>
      </c>
      <c r="O902">
        <v>100</v>
      </c>
      <c r="P902" t="s">
        <v>104</v>
      </c>
      <c r="Q902">
        <v>100</v>
      </c>
      <c r="R902" t="s">
        <v>104</v>
      </c>
      <c r="S902">
        <v>5</v>
      </c>
      <c r="T902" t="s">
        <v>73</v>
      </c>
      <c r="U902" t="s">
        <v>226</v>
      </c>
      <c r="V902" t="s">
        <v>493</v>
      </c>
      <c r="W902" t="s">
        <v>235</v>
      </c>
      <c r="X902" t="s">
        <v>229</v>
      </c>
      <c r="Y902" t="s">
        <v>107</v>
      </c>
      <c r="AD902" t="s">
        <v>104</v>
      </c>
      <c r="AE902">
        <v>100</v>
      </c>
      <c r="AF902">
        <v>42164237</v>
      </c>
      <c r="AG902" s="73">
        <v>45360.707141203704</v>
      </c>
      <c r="AH902" t="s">
        <v>226</v>
      </c>
      <c r="AI902" t="s">
        <v>493</v>
      </c>
      <c r="AJ902" t="s">
        <v>235</v>
      </c>
      <c r="AK902" t="s">
        <v>229</v>
      </c>
      <c r="AL902" t="s">
        <v>107</v>
      </c>
      <c r="AP902" t="s">
        <v>230</v>
      </c>
      <c r="AQ902" t="s">
        <v>231</v>
      </c>
      <c r="AT902" t="s">
        <v>232</v>
      </c>
      <c r="AU902">
        <v>-99</v>
      </c>
      <c r="AV902" t="s">
        <v>104</v>
      </c>
      <c r="AW902">
        <v>100</v>
      </c>
      <c r="AX902">
        <v>42164237</v>
      </c>
      <c r="AY902" s="73">
        <v>45360.707141203704</v>
      </c>
      <c r="AZ902" t="s">
        <v>226</v>
      </c>
      <c r="BA902" t="s">
        <v>493</v>
      </c>
      <c r="BB902" t="s">
        <v>235</v>
      </c>
      <c r="BC902" t="s">
        <v>229</v>
      </c>
      <c r="BD902" t="s">
        <v>107</v>
      </c>
      <c r="BI902" t="s">
        <v>233</v>
      </c>
      <c r="BJ902" t="s">
        <v>0</v>
      </c>
      <c r="BK902">
        <v>42164173</v>
      </c>
      <c r="BN902" t="s">
        <v>104</v>
      </c>
      <c r="BO902">
        <v>42164219</v>
      </c>
      <c r="BR902">
        <v>100</v>
      </c>
      <c r="BS902">
        <v>42164237</v>
      </c>
      <c r="BT902" s="73">
        <v>45360.707141203704</v>
      </c>
      <c r="BU902" t="s">
        <v>226</v>
      </c>
      <c r="BV902" t="s">
        <v>493</v>
      </c>
      <c r="BW902" t="s">
        <v>235</v>
      </c>
      <c r="CH902" t="s">
        <v>229</v>
      </c>
      <c r="CI902" t="s">
        <v>107</v>
      </c>
      <c r="CJ902" t="s">
        <v>226</v>
      </c>
      <c r="CK902" t="s">
        <v>493</v>
      </c>
      <c r="CL902" t="s">
        <v>235</v>
      </c>
      <c r="CM902" t="s">
        <v>236</v>
      </c>
      <c r="CN902" t="s">
        <v>104</v>
      </c>
      <c r="CO902">
        <v>100</v>
      </c>
      <c r="CP902">
        <v>42164237</v>
      </c>
      <c r="CQ902" s="73">
        <v>45360.707141203704</v>
      </c>
      <c r="CR902" t="s">
        <v>229</v>
      </c>
      <c r="CS902" t="s">
        <v>107</v>
      </c>
      <c r="CU902" t="s">
        <v>225</v>
      </c>
    </row>
    <row r="903" spans="1:99">
      <c r="A903" t="s">
        <v>113</v>
      </c>
      <c r="B903" t="s">
        <v>90</v>
      </c>
      <c r="J903" t="s">
        <v>225</v>
      </c>
      <c r="K903" t="s">
        <v>225</v>
      </c>
      <c r="M903" s="73">
        <v>45360.590289351851</v>
      </c>
      <c r="N903">
        <v>42192202</v>
      </c>
      <c r="O903">
        <v>-300</v>
      </c>
      <c r="P903" t="s">
        <v>115</v>
      </c>
      <c r="Q903">
        <v>-300</v>
      </c>
      <c r="R903" t="s">
        <v>115</v>
      </c>
      <c r="U903" t="s">
        <v>226</v>
      </c>
      <c r="V903" t="s">
        <v>492</v>
      </c>
      <c r="W903" t="s">
        <v>228</v>
      </c>
      <c r="X903" t="s">
        <v>229</v>
      </c>
      <c r="Y903" t="s">
        <v>113</v>
      </c>
      <c r="AD903" t="s">
        <v>115</v>
      </c>
      <c r="AE903">
        <v>-300</v>
      </c>
      <c r="AF903">
        <v>42192202</v>
      </c>
      <c r="AG903" s="73">
        <v>45360.590289351851</v>
      </c>
      <c r="AH903" t="s">
        <v>226</v>
      </c>
      <c r="AI903" t="s">
        <v>492</v>
      </c>
      <c r="AJ903" t="s">
        <v>228</v>
      </c>
      <c r="AK903" t="s">
        <v>229</v>
      </c>
      <c r="AL903" t="s">
        <v>113</v>
      </c>
      <c r="AP903" t="s">
        <v>230</v>
      </c>
      <c r="AQ903" t="s">
        <v>231</v>
      </c>
      <c r="AT903" t="s">
        <v>232</v>
      </c>
      <c r="AU903">
        <v>-99</v>
      </c>
      <c r="AV903" t="s">
        <v>115</v>
      </c>
      <c r="AW903">
        <v>-300</v>
      </c>
      <c r="AX903">
        <v>42192202</v>
      </c>
      <c r="AY903" s="73">
        <v>45360.590289351851</v>
      </c>
      <c r="AZ903" t="s">
        <v>226</v>
      </c>
      <c r="BA903" t="s">
        <v>492</v>
      </c>
      <c r="BB903" t="s">
        <v>228</v>
      </c>
      <c r="BC903" t="s">
        <v>229</v>
      </c>
      <c r="BD903" t="s">
        <v>113</v>
      </c>
      <c r="BI903" t="s">
        <v>233</v>
      </c>
      <c r="BJ903" t="s">
        <v>0</v>
      </c>
      <c r="BK903">
        <v>42192180</v>
      </c>
      <c r="BN903" t="s">
        <v>115</v>
      </c>
      <c r="BR903">
        <v>-300</v>
      </c>
      <c r="BS903">
        <v>42192202</v>
      </c>
      <c r="BT903" s="73">
        <v>45360.590289351851</v>
      </c>
      <c r="BU903" t="s">
        <v>226</v>
      </c>
      <c r="BV903" t="s">
        <v>492</v>
      </c>
      <c r="BW903" t="s">
        <v>228</v>
      </c>
      <c r="CH903" t="s">
        <v>229</v>
      </c>
      <c r="CI903" t="s">
        <v>113</v>
      </c>
      <c r="CJ903" t="s">
        <v>226</v>
      </c>
      <c r="CK903" t="s">
        <v>492</v>
      </c>
      <c r="CL903" t="s">
        <v>228</v>
      </c>
      <c r="CM903" t="s">
        <v>234</v>
      </c>
      <c r="CN903" t="s">
        <v>115</v>
      </c>
      <c r="CO903">
        <v>-300</v>
      </c>
      <c r="CP903">
        <v>42192202</v>
      </c>
      <c r="CQ903" s="73">
        <v>45360.590289351851</v>
      </c>
      <c r="CR903" t="s">
        <v>229</v>
      </c>
      <c r="CS903" t="s">
        <v>113</v>
      </c>
      <c r="CU903" t="s">
        <v>225</v>
      </c>
    </row>
    <row r="904" spans="1:99">
      <c r="A904" t="s">
        <v>129</v>
      </c>
      <c r="B904" t="s">
        <v>90</v>
      </c>
      <c r="J904" t="s">
        <v>225</v>
      </c>
      <c r="K904" t="s">
        <v>225</v>
      </c>
      <c r="M904" s="73">
        <v>45360.590289351851</v>
      </c>
      <c r="N904">
        <v>42192201</v>
      </c>
      <c r="O904">
        <v>-5.9</v>
      </c>
      <c r="P904" t="s">
        <v>73</v>
      </c>
      <c r="Q904">
        <v>-5.9</v>
      </c>
      <c r="R904" t="s">
        <v>73</v>
      </c>
      <c r="U904" t="s">
        <v>226</v>
      </c>
      <c r="V904" t="s">
        <v>492</v>
      </c>
      <c r="W904" t="s">
        <v>228</v>
      </c>
      <c r="X904" t="s">
        <v>229</v>
      </c>
      <c r="Y904" t="s">
        <v>129</v>
      </c>
      <c r="AD904" t="s">
        <v>73</v>
      </c>
      <c r="AE904">
        <v>-5.9</v>
      </c>
      <c r="AF904">
        <v>42192201</v>
      </c>
      <c r="AG904" s="73">
        <v>45360.590289351851</v>
      </c>
      <c r="AH904" t="s">
        <v>226</v>
      </c>
      <c r="AI904" t="s">
        <v>492</v>
      </c>
      <c r="AJ904" t="s">
        <v>228</v>
      </c>
      <c r="AK904" t="s">
        <v>229</v>
      </c>
      <c r="AL904" t="s">
        <v>129</v>
      </c>
      <c r="AP904" t="s">
        <v>230</v>
      </c>
      <c r="AQ904" t="s">
        <v>231</v>
      </c>
      <c r="AT904" t="s">
        <v>232</v>
      </c>
      <c r="AU904">
        <v>-99</v>
      </c>
      <c r="AV904" t="s">
        <v>73</v>
      </c>
      <c r="AW904">
        <v>-5.9</v>
      </c>
      <c r="AX904">
        <v>42192201</v>
      </c>
      <c r="AY904" s="73">
        <v>45360.590289351851</v>
      </c>
      <c r="AZ904" t="s">
        <v>226</v>
      </c>
      <c r="BA904" t="s">
        <v>492</v>
      </c>
      <c r="BB904" t="s">
        <v>228</v>
      </c>
      <c r="BC904" t="s">
        <v>229</v>
      </c>
      <c r="BD904" t="s">
        <v>129</v>
      </c>
      <c r="BI904" t="s">
        <v>233</v>
      </c>
      <c r="BJ904" t="s">
        <v>0</v>
      </c>
      <c r="BK904">
        <v>42192180</v>
      </c>
      <c r="BN904" t="s">
        <v>73</v>
      </c>
      <c r="BR904">
        <v>-5.9</v>
      </c>
      <c r="BS904">
        <v>42192201</v>
      </c>
      <c r="BT904" s="73">
        <v>45360.590289351851</v>
      </c>
      <c r="BU904" t="s">
        <v>226</v>
      </c>
      <c r="BV904" t="s">
        <v>492</v>
      </c>
      <c r="BW904" t="s">
        <v>228</v>
      </c>
      <c r="CH904" t="s">
        <v>229</v>
      </c>
      <c r="CI904" t="s">
        <v>129</v>
      </c>
      <c r="CJ904" t="s">
        <v>226</v>
      </c>
      <c r="CK904" t="s">
        <v>492</v>
      </c>
      <c r="CL904" t="s">
        <v>228</v>
      </c>
      <c r="CM904" t="s">
        <v>234</v>
      </c>
      <c r="CN904" t="s">
        <v>73</v>
      </c>
      <c r="CO904">
        <v>-5.9</v>
      </c>
      <c r="CP904">
        <v>42192201</v>
      </c>
      <c r="CQ904" s="73">
        <v>45360.590289351851</v>
      </c>
      <c r="CR904" t="s">
        <v>229</v>
      </c>
      <c r="CS904" t="s">
        <v>129</v>
      </c>
      <c r="CU904" t="s">
        <v>225</v>
      </c>
    </row>
    <row r="905" spans="1:99">
      <c r="A905" t="s">
        <v>101</v>
      </c>
      <c r="B905" t="s">
        <v>98</v>
      </c>
      <c r="J905" t="s">
        <v>225</v>
      </c>
      <c r="K905" t="s">
        <v>225</v>
      </c>
      <c r="M905" s="73">
        <v>45360.590277777781</v>
      </c>
      <c r="N905">
        <v>42164970</v>
      </c>
      <c r="O905">
        <v>1416.51</v>
      </c>
      <c r="P905" t="s">
        <v>73</v>
      </c>
      <c r="Q905">
        <v>1416.51</v>
      </c>
      <c r="R905" t="s">
        <v>73</v>
      </c>
      <c r="U905" t="s">
        <v>226</v>
      </c>
      <c r="V905" t="s">
        <v>494</v>
      </c>
      <c r="W905" t="s">
        <v>235</v>
      </c>
      <c r="X905" t="s">
        <v>229</v>
      </c>
      <c r="Y905" t="s">
        <v>101</v>
      </c>
      <c r="AD905" t="s">
        <v>73</v>
      </c>
      <c r="AE905">
        <v>1416.51</v>
      </c>
      <c r="AF905">
        <v>42164970</v>
      </c>
      <c r="AG905" s="73">
        <v>45360.590277777781</v>
      </c>
      <c r="AH905" t="s">
        <v>226</v>
      </c>
      <c r="AI905" t="s">
        <v>494</v>
      </c>
      <c r="AJ905" t="s">
        <v>235</v>
      </c>
      <c r="AK905" t="s">
        <v>229</v>
      </c>
      <c r="AL905" t="s">
        <v>101</v>
      </c>
      <c r="AP905" t="s">
        <v>230</v>
      </c>
      <c r="AQ905" t="s">
        <v>231</v>
      </c>
      <c r="AT905" t="s">
        <v>232</v>
      </c>
      <c r="AU905">
        <v>-99</v>
      </c>
      <c r="AV905" t="s">
        <v>73</v>
      </c>
      <c r="AW905">
        <v>1416.51</v>
      </c>
      <c r="AX905">
        <v>42164970</v>
      </c>
      <c r="AY905" s="73">
        <v>45360.590277777781</v>
      </c>
      <c r="AZ905" t="s">
        <v>226</v>
      </c>
      <c r="BA905" t="s">
        <v>494</v>
      </c>
      <c r="BB905" t="s">
        <v>235</v>
      </c>
      <c r="BC905" t="s">
        <v>229</v>
      </c>
      <c r="BD905" t="s">
        <v>101</v>
      </c>
      <c r="BI905" t="s">
        <v>233</v>
      </c>
      <c r="BJ905" t="s">
        <v>0</v>
      </c>
      <c r="BK905">
        <v>42164966</v>
      </c>
      <c r="BN905" t="s">
        <v>73</v>
      </c>
      <c r="BO905">
        <v>42164968</v>
      </c>
      <c r="BR905">
        <v>1416.51</v>
      </c>
      <c r="BS905">
        <v>42164970</v>
      </c>
      <c r="BT905" s="73">
        <v>45360.590277777781</v>
      </c>
      <c r="BU905" t="s">
        <v>226</v>
      </c>
      <c r="BV905" t="s">
        <v>494</v>
      </c>
      <c r="BW905" t="s">
        <v>235</v>
      </c>
      <c r="CH905" t="s">
        <v>229</v>
      </c>
      <c r="CI905" t="s">
        <v>101</v>
      </c>
      <c r="CJ905" t="s">
        <v>226</v>
      </c>
      <c r="CK905" t="s">
        <v>494</v>
      </c>
      <c r="CL905" t="s">
        <v>235</v>
      </c>
      <c r="CM905" t="s">
        <v>236</v>
      </c>
      <c r="CN905" t="s">
        <v>73</v>
      </c>
      <c r="CO905">
        <v>1416.51</v>
      </c>
      <c r="CP905">
        <v>42164970</v>
      </c>
      <c r="CQ905" s="73">
        <v>45360.590277777781</v>
      </c>
      <c r="CR905" t="s">
        <v>229</v>
      </c>
      <c r="CS905" t="s">
        <v>101</v>
      </c>
      <c r="CU905" t="s">
        <v>225</v>
      </c>
    </row>
    <row r="906" spans="1:99">
      <c r="A906" t="s">
        <v>71</v>
      </c>
      <c r="B906" t="s">
        <v>77</v>
      </c>
      <c r="J906" t="s">
        <v>225</v>
      </c>
      <c r="K906" t="s">
        <v>225</v>
      </c>
      <c r="M906" s="73">
        <v>45360.590277777781</v>
      </c>
      <c r="N906">
        <v>42164963</v>
      </c>
      <c r="O906">
        <v>0.85</v>
      </c>
      <c r="P906" t="s">
        <v>73</v>
      </c>
      <c r="Q906">
        <v>0.85</v>
      </c>
      <c r="R906" t="s">
        <v>73</v>
      </c>
      <c r="U906" t="s">
        <v>226</v>
      </c>
      <c r="V906" t="s">
        <v>494</v>
      </c>
      <c r="W906" t="s">
        <v>237</v>
      </c>
      <c r="X906" t="s">
        <v>229</v>
      </c>
      <c r="Y906" t="s">
        <v>71</v>
      </c>
      <c r="AD906" t="s">
        <v>73</v>
      </c>
      <c r="AE906">
        <v>0.85</v>
      </c>
      <c r="AF906">
        <v>42164963</v>
      </c>
      <c r="AG906" s="73">
        <v>45360.590277777781</v>
      </c>
      <c r="AH906" t="s">
        <v>226</v>
      </c>
      <c r="AI906" t="s">
        <v>494</v>
      </c>
      <c r="AJ906" t="s">
        <v>237</v>
      </c>
      <c r="AK906" t="s">
        <v>229</v>
      </c>
      <c r="AL906" t="s">
        <v>71</v>
      </c>
      <c r="AP906" t="s">
        <v>230</v>
      </c>
      <c r="AQ906" t="s">
        <v>231</v>
      </c>
      <c r="AT906" t="s">
        <v>232</v>
      </c>
      <c r="AU906">
        <v>-99</v>
      </c>
      <c r="AV906" t="s">
        <v>73</v>
      </c>
      <c r="AW906">
        <v>0.85</v>
      </c>
      <c r="AX906">
        <v>42164963</v>
      </c>
      <c r="AY906" s="73">
        <v>45360.590277777781</v>
      </c>
      <c r="AZ906" t="s">
        <v>226</v>
      </c>
      <c r="BA906" t="s">
        <v>494</v>
      </c>
      <c r="BB906" t="s">
        <v>237</v>
      </c>
      <c r="BC906" t="s">
        <v>229</v>
      </c>
      <c r="BD906" t="s">
        <v>71</v>
      </c>
      <c r="BI906" t="s">
        <v>233</v>
      </c>
      <c r="BJ906" t="s">
        <v>0</v>
      </c>
      <c r="BK906">
        <v>42164959</v>
      </c>
      <c r="BN906" t="s">
        <v>73</v>
      </c>
      <c r="BO906">
        <v>42164961</v>
      </c>
      <c r="BR906">
        <v>0.85</v>
      </c>
      <c r="BS906">
        <v>42164963</v>
      </c>
      <c r="BT906" s="73">
        <v>45360.590277777781</v>
      </c>
      <c r="BU906" t="s">
        <v>226</v>
      </c>
      <c r="BV906" t="s">
        <v>494</v>
      </c>
      <c r="BW906" t="s">
        <v>237</v>
      </c>
      <c r="CH906" t="s">
        <v>229</v>
      </c>
      <c r="CI906" t="s">
        <v>71</v>
      </c>
      <c r="CJ906" t="s">
        <v>226</v>
      </c>
      <c r="CK906" t="s">
        <v>494</v>
      </c>
      <c r="CL906" t="s">
        <v>237</v>
      </c>
      <c r="CM906" t="s">
        <v>236</v>
      </c>
      <c r="CN906" t="s">
        <v>73</v>
      </c>
      <c r="CO906">
        <v>0.85</v>
      </c>
      <c r="CP906">
        <v>42164963</v>
      </c>
      <c r="CQ906" s="73">
        <v>45360.590277777781</v>
      </c>
      <c r="CR906" t="s">
        <v>229</v>
      </c>
      <c r="CS906" t="s">
        <v>71</v>
      </c>
      <c r="CU906" t="s">
        <v>225</v>
      </c>
    </row>
    <row r="907" spans="1:99">
      <c r="A907" t="s">
        <v>127</v>
      </c>
      <c r="B907" t="s">
        <v>90</v>
      </c>
      <c r="J907" t="s">
        <v>225</v>
      </c>
      <c r="K907" t="s">
        <v>225</v>
      </c>
      <c r="M907" s="73">
        <v>45360.590277777781</v>
      </c>
      <c r="N907">
        <v>42164956</v>
      </c>
      <c r="O907">
        <v>-658.9</v>
      </c>
      <c r="P907" t="s">
        <v>73</v>
      </c>
      <c r="Q907">
        <v>-658.9</v>
      </c>
      <c r="R907" t="s">
        <v>73</v>
      </c>
      <c r="U907" t="s">
        <v>226</v>
      </c>
      <c r="V907" t="s">
        <v>494</v>
      </c>
      <c r="W907" t="s">
        <v>228</v>
      </c>
      <c r="X907" t="s">
        <v>229</v>
      </c>
      <c r="Y907" t="s">
        <v>127</v>
      </c>
      <c r="AD907" t="s">
        <v>73</v>
      </c>
      <c r="AE907">
        <v>-658.9</v>
      </c>
      <c r="AF907">
        <v>42164956</v>
      </c>
      <c r="AG907" s="73">
        <v>45360.590277777781</v>
      </c>
      <c r="AH907" t="s">
        <v>226</v>
      </c>
      <c r="AI907" t="s">
        <v>494</v>
      </c>
      <c r="AJ907" t="s">
        <v>228</v>
      </c>
      <c r="AK907" t="s">
        <v>229</v>
      </c>
      <c r="AL907" t="s">
        <v>127</v>
      </c>
      <c r="AP907" t="s">
        <v>230</v>
      </c>
      <c r="AQ907" t="s">
        <v>231</v>
      </c>
      <c r="AT907" t="s">
        <v>232</v>
      </c>
      <c r="AU907">
        <v>-99</v>
      </c>
      <c r="AV907" t="s">
        <v>73</v>
      </c>
      <c r="AW907">
        <v>-658.9</v>
      </c>
      <c r="AX907">
        <v>42164956</v>
      </c>
      <c r="AY907" s="73">
        <v>45360.590277777781</v>
      </c>
      <c r="AZ907" t="s">
        <v>226</v>
      </c>
      <c r="BA907" t="s">
        <v>494</v>
      </c>
      <c r="BB907" t="s">
        <v>228</v>
      </c>
      <c r="BC907" t="s">
        <v>229</v>
      </c>
      <c r="BD907" t="s">
        <v>127</v>
      </c>
      <c r="BI907" t="s">
        <v>233</v>
      </c>
      <c r="BJ907" t="s">
        <v>0</v>
      </c>
      <c r="BK907">
        <v>42164952</v>
      </c>
      <c r="BN907" t="s">
        <v>73</v>
      </c>
      <c r="BR907">
        <v>-658.9</v>
      </c>
      <c r="BS907">
        <v>42164956</v>
      </c>
      <c r="BT907" s="73">
        <v>45360.590277777781</v>
      </c>
      <c r="BU907" t="s">
        <v>226</v>
      </c>
      <c r="BV907" t="s">
        <v>494</v>
      </c>
      <c r="BW907" t="s">
        <v>228</v>
      </c>
      <c r="CH907" t="s">
        <v>229</v>
      </c>
      <c r="CI907" t="s">
        <v>127</v>
      </c>
      <c r="CJ907" t="s">
        <v>226</v>
      </c>
      <c r="CK907" t="s">
        <v>494</v>
      </c>
      <c r="CL907" t="s">
        <v>228</v>
      </c>
      <c r="CM907" t="s">
        <v>234</v>
      </c>
      <c r="CN907" t="s">
        <v>73</v>
      </c>
      <c r="CO907">
        <v>-658.9</v>
      </c>
      <c r="CP907">
        <v>42164956</v>
      </c>
      <c r="CQ907" s="73">
        <v>45360.590277777781</v>
      </c>
      <c r="CR907" t="s">
        <v>229</v>
      </c>
      <c r="CS907" t="s">
        <v>127</v>
      </c>
      <c r="CU907" t="s">
        <v>225</v>
      </c>
    </row>
    <row r="908" spans="1:99">
      <c r="A908" t="s">
        <v>131</v>
      </c>
      <c r="B908" t="s">
        <v>90</v>
      </c>
      <c r="J908" t="s">
        <v>225</v>
      </c>
      <c r="K908" t="s">
        <v>225</v>
      </c>
      <c r="M908" s="73">
        <v>45360.590277777781</v>
      </c>
      <c r="N908">
        <v>42164949</v>
      </c>
      <c r="O908">
        <v>-159.9</v>
      </c>
      <c r="P908" t="s">
        <v>73</v>
      </c>
      <c r="Q908">
        <v>-159.9</v>
      </c>
      <c r="R908" t="s">
        <v>73</v>
      </c>
      <c r="U908" t="s">
        <v>226</v>
      </c>
      <c r="V908" t="s">
        <v>494</v>
      </c>
      <c r="W908" t="s">
        <v>228</v>
      </c>
      <c r="X908" t="s">
        <v>229</v>
      </c>
      <c r="Y908" t="s">
        <v>131</v>
      </c>
      <c r="AD908" t="s">
        <v>73</v>
      </c>
      <c r="AE908">
        <v>-159.9</v>
      </c>
      <c r="AF908">
        <v>42164949</v>
      </c>
      <c r="AG908" s="73">
        <v>45360.590277777781</v>
      </c>
      <c r="AH908" t="s">
        <v>226</v>
      </c>
      <c r="AI908" t="s">
        <v>494</v>
      </c>
      <c r="AJ908" t="s">
        <v>228</v>
      </c>
      <c r="AK908" t="s">
        <v>229</v>
      </c>
      <c r="AL908" t="s">
        <v>131</v>
      </c>
      <c r="AP908" t="s">
        <v>230</v>
      </c>
      <c r="AQ908" t="s">
        <v>231</v>
      </c>
      <c r="AT908" t="s">
        <v>232</v>
      </c>
      <c r="AU908">
        <v>-99</v>
      </c>
      <c r="AV908" t="s">
        <v>73</v>
      </c>
      <c r="AW908">
        <v>-159.9</v>
      </c>
      <c r="AX908">
        <v>42164949</v>
      </c>
      <c r="AY908" s="73">
        <v>45360.590277777781</v>
      </c>
      <c r="AZ908" t="s">
        <v>226</v>
      </c>
      <c r="BA908" t="s">
        <v>494</v>
      </c>
      <c r="BB908" t="s">
        <v>228</v>
      </c>
      <c r="BC908" t="s">
        <v>229</v>
      </c>
      <c r="BD908" t="s">
        <v>131</v>
      </c>
      <c r="BI908" t="s">
        <v>233</v>
      </c>
      <c r="BJ908" t="s">
        <v>0</v>
      </c>
      <c r="BK908">
        <v>42164945</v>
      </c>
      <c r="BN908" t="s">
        <v>73</v>
      </c>
      <c r="BR908">
        <v>-159.9</v>
      </c>
      <c r="BS908">
        <v>42164949</v>
      </c>
      <c r="BT908" s="73">
        <v>45360.590277777781</v>
      </c>
      <c r="BU908" t="s">
        <v>226</v>
      </c>
      <c r="BV908" t="s">
        <v>494</v>
      </c>
      <c r="BW908" t="s">
        <v>228</v>
      </c>
      <c r="CH908" t="s">
        <v>229</v>
      </c>
      <c r="CI908" t="s">
        <v>131</v>
      </c>
      <c r="CJ908" t="s">
        <v>226</v>
      </c>
      <c r="CK908" t="s">
        <v>494</v>
      </c>
      <c r="CL908" t="s">
        <v>228</v>
      </c>
      <c r="CM908" t="s">
        <v>234</v>
      </c>
      <c r="CN908" t="s">
        <v>73</v>
      </c>
      <c r="CO908">
        <v>-159.9</v>
      </c>
      <c r="CP908">
        <v>42164949</v>
      </c>
      <c r="CQ908" s="73">
        <v>45360.590277777781</v>
      </c>
      <c r="CR908" t="s">
        <v>229</v>
      </c>
      <c r="CS908" t="s">
        <v>131</v>
      </c>
      <c r="CU908" t="s">
        <v>225</v>
      </c>
    </row>
    <row r="909" spans="1:99">
      <c r="A909" t="s">
        <v>87</v>
      </c>
      <c r="B909" t="s">
        <v>90</v>
      </c>
      <c r="J909" t="s">
        <v>225</v>
      </c>
      <c r="K909" t="s">
        <v>225</v>
      </c>
      <c r="M909" s="73">
        <v>45360.590277777781</v>
      </c>
      <c r="N909">
        <v>42164942</v>
      </c>
      <c r="O909">
        <v>-58.4</v>
      </c>
      <c r="P909" t="s">
        <v>73</v>
      </c>
      <c r="Q909">
        <v>-58.4</v>
      </c>
      <c r="R909" t="s">
        <v>73</v>
      </c>
      <c r="U909" t="s">
        <v>226</v>
      </c>
      <c r="V909" t="s">
        <v>494</v>
      </c>
      <c r="W909" t="s">
        <v>228</v>
      </c>
      <c r="X909" t="s">
        <v>229</v>
      </c>
      <c r="Y909" t="s">
        <v>87</v>
      </c>
      <c r="AD909" t="s">
        <v>73</v>
      </c>
      <c r="AE909">
        <v>-58.4</v>
      </c>
      <c r="AF909">
        <v>42164942</v>
      </c>
      <c r="AG909" s="73">
        <v>45360.590277777781</v>
      </c>
      <c r="AH909" t="s">
        <v>226</v>
      </c>
      <c r="AI909" t="s">
        <v>494</v>
      </c>
      <c r="AJ909" t="s">
        <v>228</v>
      </c>
      <c r="AK909" t="s">
        <v>229</v>
      </c>
      <c r="AL909" t="s">
        <v>87</v>
      </c>
      <c r="AP909" t="s">
        <v>230</v>
      </c>
      <c r="AQ909" t="s">
        <v>231</v>
      </c>
      <c r="AT909" t="s">
        <v>232</v>
      </c>
      <c r="AU909">
        <v>-99</v>
      </c>
      <c r="AV909" t="s">
        <v>73</v>
      </c>
      <c r="AW909">
        <v>-58.4</v>
      </c>
      <c r="AX909">
        <v>42164942</v>
      </c>
      <c r="AY909" s="73">
        <v>45360.590277777781</v>
      </c>
      <c r="AZ909" t="s">
        <v>226</v>
      </c>
      <c r="BA909" t="s">
        <v>494</v>
      </c>
      <c r="BB909" t="s">
        <v>228</v>
      </c>
      <c r="BC909" t="s">
        <v>229</v>
      </c>
      <c r="BD909" t="s">
        <v>87</v>
      </c>
      <c r="BI909" t="s">
        <v>233</v>
      </c>
      <c r="BJ909" t="s">
        <v>0</v>
      </c>
      <c r="BK909">
        <v>42164938</v>
      </c>
      <c r="BN909" t="s">
        <v>73</v>
      </c>
      <c r="BR909">
        <v>-58.4</v>
      </c>
      <c r="BS909">
        <v>42164942</v>
      </c>
      <c r="BT909" s="73">
        <v>45360.590277777781</v>
      </c>
      <c r="BU909" t="s">
        <v>226</v>
      </c>
      <c r="BV909" t="s">
        <v>494</v>
      </c>
      <c r="BW909" t="s">
        <v>228</v>
      </c>
      <c r="CH909" t="s">
        <v>229</v>
      </c>
      <c r="CI909" t="s">
        <v>87</v>
      </c>
      <c r="CJ909" t="s">
        <v>226</v>
      </c>
      <c r="CK909" t="s">
        <v>494</v>
      </c>
      <c r="CL909" t="s">
        <v>228</v>
      </c>
      <c r="CM909" t="s">
        <v>234</v>
      </c>
      <c r="CN909" t="s">
        <v>73</v>
      </c>
      <c r="CO909">
        <v>-58.4</v>
      </c>
      <c r="CP909">
        <v>42164942</v>
      </c>
      <c r="CQ909" s="73">
        <v>45360.590277777781</v>
      </c>
      <c r="CR909" t="s">
        <v>229</v>
      </c>
      <c r="CS909" t="s">
        <v>87</v>
      </c>
      <c r="CU909" t="s">
        <v>225</v>
      </c>
    </row>
    <row r="910" spans="1:99">
      <c r="A910" t="s">
        <v>133</v>
      </c>
      <c r="B910" t="s">
        <v>90</v>
      </c>
      <c r="J910" t="s">
        <v>225</v>
      </c>
      <c r="K910" t="s">
        <v>225</v>
      </c>
      <c r="M910" s="73">
        <v>45360.590277777781</v>
      </c>
      <c r="N910">
        <v>42164935</v>
      </c>
      <c r="O910">
        <v>-584.5</v>
      </c>
      <c r="P910" t="s">
        <v>73</v>
      </c>
      <c r="Q910">
        <v>-584.5</v>
      </c>
      <c r="R910" t="s">
        <v>73</v>
      </c>
      <c r="U910" t="s">
        <v>226</v>
      </c>
      <c r="V910" t="s">
        <v>494</v>
      </c>
      <c r="W910" t="s">
        <v>228</v>
      </c>
      <c r="X910" t="s">
        <v>229</v>
      </c>
      <c r="Y910" t="s">
        <v>133</v>
      </c>
      <c r="AD910" t="s">
        <v>73</v>
      </c>
      <c r="AE910">
        <v>-584.5</v>
      </c>
      <c r="AF910">
        <v>42164935</v>
      </c>
      <c r="AG910" s="73">
        <v>45360.590277777781</v>
      </c>
      <c r="AH910" t="s">
        <v>226</v>
      </c>
      <c r="AI910" t="s">
        <v>494</v>
      </c>
      <c r="AJ910" t="s">
        <v>228</v>
      </c>
      <c r="AK910" t="s">
        <v>229</v>
      </c>
      <c r="AL910" t="s">
        <v>133</v>
      </c>
      <c r="AP910" t="s">
        <v>230</v>
      </c>
      <c r="AQ910" t="s">
        <v>231</v>
      </c>
      <c r="AT910" t="s">
        <v>232</v>
      </c>
      <c r="AU910">
        <v>-99</v>
      </c>
      <c r="AV910" t="s">
        <v>73</v>
      </c>
      <c r="AW910">
        <v>-584.5</v>
      </c>
      <c r="AX910">
        <v>42164935</v>
      </c>
      <c r="AY910" s="73">
        <v>45360.590277777781</v>
      </c>
      <c r="AZ910" t="s">
        <v>226</v>
      </c>
      <c r="BA910" t="s">
        <v>494</v>
      </c>
      <c r="BB910" t="s">
        <v>228</v>
      </c>
      <c r="BC910" t="s">
        <v>229</v>
      </c>
      <c r="BD910" t="s">
        <v>133</v>
      </c>
      <c r="BI910" t="s">
        <v>233</v>
      </c>
      <c r="BJ910" t="s">
        <v>0</v>
      </c>
      <c r="BK910">
        <v>42164931</v>
      </c>
      <c r="BN910" t="s">
        <v>73</v>
      </c>
      <c r="BR910">
        <v>-584.5</v>
      </c>
      <c r="BS910">
        <v>42164935</v>
      </c>
      <c r="BT910" s="73">
        <v>45360.590277777781</v>
      </c>
      <c r="BU910" t="s">
        <v>226</v>
      </c>
      <c r="BV910" t="s">
        <v>494</v>
      </c>
      <c r="BW910" t="s">
        <v>228</v>
      </c>
      <c r="CH910" t="s">
        <v>229</v>
      </c>
      <c r="CI910" t="s">
        <v>133</v>
      </c>
      <c r="CJ910" t="s">
        <v>226</v>
      </c>
      <c r="CK910" t="s">
        <v>494</v>
      </c>
      <c r="CL910" t="s">
        <v>228</v>
      </c>
      <c r="CM910" t="s">
        <v>234</v>
      </c>
      <c r="CN910" t="s">
        <v>73</v>
      </c>
      <c r="CO910">
        <v>-584.5</v>
      </c>
      <c r="CP910">
        <v>42164935</v>
      </c>
      <c r="CQ910" s="73">
        <v>45360.590277777781</v>
      </c>
      <c r="CR910" t="s">
        <v>229</v>
      </c>
      <c r="CS910" t="s">
        <v>133</v>
      </c>
      <c r="CU910" t="s">
        <v>225</v>
      </c>
    </row>
    <row r="911" spans="1:99">
      <c r="A911" t="s">
        <v>42</v>
      </c>
      <c r="B911" t="s">
        <v>92</v>
      </c>
      <c r="J911" t="s">
        <v>225</v>
      </c>
      <c r="K911" t="s">
        <v>225</v>
      </c>
      <c r="M911" s="73">
        <v>45360.583333333336</v>
      </c>
      <c r="N911">
        <v>42191400</v>
      </c>
      <c r="O911">
        <v>-8488</v>
      </c>
      <c r="P911" t="s">
        <v>45</v>
      </c>
      <c r="Q911">
        <v>-8488</v>
      </c>
      <c r="R911" t="s">
        <v>45</v>
      </c>
      <c r="U911" t="s">
        <v>226</v>
      </c>
      <c r="V911" t="s">
        <v>495</v>
      </c>
      <c r="W911" t="s">
        <v>228</v>
      </c>
      <c r="X911" t="s">
        <v>229</v>
      </c>
      <c r="Y911" t="s">
        <v>42</v>
      </c>
      <c r="AD911" t="s">
        <v>45</v>
      </c>
      <c r="AE911">
        <v>-8488</v>
      </c>
      <c r="AF911">
        <v>42191400</v>
      </c>
      <c r="AG911" s="73">
        <v>45360.583333333336</v>
      </c>
      <c r="AH911" t="s">
        <v>226</v>
      </c>
      <c r="AI911" t="s">
        <v>495</v>
      </c>
      <c r="AJ911" t="s">
        <v>228</v>
      </c>
      <c r="AK911" t="s">
        <v>229</v>
      </c>
      <c r="AL911" t="s">
        <v>42</v>
      </c>
      <c r="AP911" t="s">
        <v>230</v>
      </c>
      <c r="AQ911" t="s">
        <v>231</v>
      </c>
      <c r="AT911" t="s">
        <v>232</v>
      </c>
      <c r="AU911">
        <v>-99</v>
      </c>
      <c r="AV911" t="s">
        <v>45</v>
      </c>
      <c r="AW911">
        <v>-8488</v>
      </c>
      <c r="AX911">
        <v>42191400</v>
      </c>
      <c r="AY911" s="73">
        <v>45360.583333333336</v>
      </c>
      <c r="AZ911" t="s">
        <v>226</v>
      </c>
      <c r="BA911" t="s">
        <v>495</v>
      </c>
      <c r="BB911" t="s">
        <v>228</v>
      </c>
      <c r="BC911" t="s">
        <v>229</v>
      </c>
      <c r="BD911" t="s">
        <v>42</v>
      </c>
      <c r="BI911" t="s">
        <v>233</v>
      </c>
      <c r="BJ911" t="s">
        <v>0</v>
      </c>
      <c r="BK911">
        <v>42191384</v>
      </c>
      <c r="BN911" t="s">
        <v>45</v>
      </c>
      <c r="BR911">
        <v>-8488</v>
      </c>
      <c r="BS911">
        <v>42191400</v>
      </c>
      <c r="BT911" s="73">
        <v>45360.583333333336</v>
      </c>
      <c r="BU911" t="s">
        <v>226</v>
      </c>
      <c r="BV911" t="s">
        <v>495</v>
      </c>
      <c r="BW911" t="s">
        <v>228</v>
      </c>
      <c r="CH911" t="s">
        <v>229</v>
      </c>
      <c r="CI911" t="s">
        <v>42</v>
      </c>
      <c r="CJ911" t="s">
        <v>226</v>
      </c>
      <c r="CK911" t="s">
        <v>495</v>
      </c>
      <c r="CL911" t="s">
        <v>228</v>
      </c>
      <c r="CM911" t="s">
        <v>234</v>
      </c>
      <c r="CN911" t="s">
        <v>45</v>
      </c>
      <c r="CO911">
        <v>-8488</v>
      </c>
      <c r="CP911">
        <v>42191400</v>
      </c>
      <c r="CQ911" s="73">
        <v>45360.583333333336</v>
      </c>
      <c r="CR911" t="s">
        <v>229</v>
      </c>
      <c r="CS911" t="s">
        <v>42</v>
      </c>
      <c r="CU911" t="s">
        <v>225</v>
      </c>
    </row>
    <row r="912" spans="1:99">
      <c r="A912" t="s">
        <v>99</v>
      </c>
      <c r="B912" t="s">
        <v>98</v>
      </c>
      <c r="J912" t="s">
        <v>225</v>
      </c>
      <c r="K912" t="s">
        <v>225</v>
      </c>
      <c r="M912" s="73">
        <v>45360.583333333336</v>
      </c>
      <c r="N912">
        <v>42191399</v>
      </c>
      <c r="O912">
        <v>-424</v>
      </c>
      <c r="P912" t="s">
        <v>73</v>
      </c>
      <c r="Q912">
        <v>-424</v>
      </c>
      <c r="R912" t="s">
        <v>73</v>
      </c>
      <c r="U912" t="s">
        <v>226</v>
      </c>
      <c r="V912" t="s">
        <v>495</v>
      </c>
      <c r="W912" t="s">
        <v>228</v>
      </c>
      <c r="X912" t="s">
        <v>229</v>
      </c>
      <c r="Y912" t="s">
        <v>99</v>
      </c>
      <c r="AD912" t="s">
        <v>73</v>
      </c>
      <c r="AE912">
        <v>-424</v>
      </c>
      <c r="AF912">
        <v>42191399</v>
      </c>
      <c r="AG912" s="73">
        <v>45360.583333333336</v>
      </c>
      <c r="AH912" t="s">
        <v>226</v>
      </c>
      <c r="AI912" t="s">
        <v>495</v>
      </c>
      <c r="AJ912" t="s">
        <v>228</v>
      </c>
      <c r="AK912" t="s">
        <v>229</v>
      </c>
      <c r="AL912" t="s">
        <v>99</v>
      </c>
      <c r="AP912" t="s">
        <v>230</v>
      </c>
      <c r="AQ912" t="s">
        <v>231</v>
      </c>
      <c r="AT912" t="s">
        <v>232</v>
      </c>
      <c r="AU912">
        <v>-99</v>
      </c>
      <c r="AV912" t="s">
        <v>73</v>
      </c>
      <c r="AW912">
        <v>-424</v>
      </c>
      <c r="AX912">
        <v>42191399</v>
      </c>
      <c r="AY912" s="73">
        <v>45360.583333333336</v>
      </c>
      <c r="AZ912" t="s">
        <v>226</v>
      </c>
      <c r="BA912" t="s">
        <v>495</v>
      </c>
      <c r="BB912" t="s">
        <v>228</v>
      </c>
      <c r="BC912" t="s">
        <v>229</v>
      </c>
      <c r="BD912" t="s">
        <v>99</v>
      </c>
      <c r="BI912" t="s">
        <v>233</v>
      </c>
      <c r="BJ912" t="s">
        <v>0</v>
      </c>
      <c r="BK912">
        <v>42191384</v>
      </c>
      <c r="BN912" t="s">
        <v>73</v>
      </c>
      <c r="BR912">
        <v>-424</v>
      </c>
      <c r="BS912">
        <v>42191399</v>
      </c>
      <c r="BT912" s="73">
        <v>45360.583333333336</v>
      </c>
      <c r="BU912" t="s">
        <v>226</v>
      </c>
      <c r="BV912" t="s">
        <v>495</v>
      </c>
      <c r="BW912" t="s">
        <v>228</v>
      </c>
      <c r="CH912" t="s">
        <v>229</v>
      </c>
      <c r="CI912" t="s">
        <v>99</v>
      </c>
      <c r="CJ912" t="s">
        <v>226</v>
      </c>
      <c r="CK912" t="s">
        <v>495</v>
      </c>
      <c r="CL912" t="s">
        <v>228</v>
      </c>
      <c r="CM912" t="s">
        <v>234</v>
      </c>
      <c r="CN912" t="s">
        <v>73</v>
      </c>
      <c r="CO912">
        <v>-424</v>
      </c>
      <c r="CP912">
        <v>42191399</v>
      </c>
      <c r="CQ912" s="73">
        <v>45360.583333333336</v>
      </c>
      <c r="CR912" t="s">
        <v>229</v>
      </c>
      <c r="CS912" t="s">
        <v>99</v>
      </c>
      <c r="CU912" t="s">
        <v>225</v>
      </c>
    </row>
    <row r="913" spans="1:99">
      <c r="A913" t="s">
        <v>103</v>
      </c>
      <c r="B913" t="s">
        <v>98</v>
      </c>
      <c r="J913" t="s">
        <v>225</v>
      </c>
      <c r="K913" t="s">
        <v>225</v>
      </c>
      <c r="M913" s="73">
        <v>45360.583333333336</v>
      </c>
      <c r="N913">
        <v>42191398</v>
      </c>
      <c r="O913">
        <v>8480</v>
      </c>
      <c r="P913" t="s">
        <v>104</v>
      </c>
      <c r="Q913">
        <v>8480</v>
      </c>
      <c r="R913" t="s">
        <v>104</v>
      </c>
      <c r="S913">
        <v>424</v>
      </c>
      <c r="T913" t="s">
        <v>73</v>
      </c>
      <c r="U913" t="s">
        <v>226</v>
      </c>
      <c r="V913" t="s">
        <v>495</v>
      </c>
      <c r="W913" t="s">
        <v>235</v>
      </c>
      <c r="X913" t="s">
        <v>229</v>
      </c>
      <c r="Y913" t="s">
        <v>103</v>
      </c>
      <c r="AD913" t="s">
        <v>104</v>
      </c>
      <c r="AE913">
        <v>8480</v>
      </c>
      <c r="AF913">
        <v>42191398</v>
      </c>
      <c r="AG913" s="73">
        <v>45360.583333333336</v>
      </c>
      <c r="AH913" t="s">
        <v>226</v>
      </c>
      <c r="AI913" t="s">
        <v>495</v>
      </c>
      <c r="AJ913" t="s">
        <v>235</v>
      </c>
      <c r="AK913" t="s">
        <v>229</v>
      </c>
      <c r="AL913" t="s">
        <v>103</v>
      </c>
      <c r="AP913" t="s">
        <v>230</v>
      </c>
      <c r="AQ913" t="s">
        <v>231</v>
      </c>
      <c r="AT913" t="s">
        <v>232</v>
      </c>
      <c r="AU913">
        <v>-99</v>
      </c>
      <c r="AV913" t="s">
        <v>104</v>
      </c>
      <c r="AW913">
        <v>8480</v>
      </c>
      <c r="AX913">
        <v>42191398</v>
      </c>
      <c r="AY913" s="73">
        <v>45360.583333333336</v>
      </c>
      <c r="AZ913" t="s">
        <v>226</v>
      </c>
      <c r="BA913" t="s">
        <v>495</v>
      </c>
      <c r="BB913" t="s">
        <v>235</v>
      </c>
      <c r="BC913" t="s">
        <v>229</v>
      </c>
      <c r="BD913" t="s">
        <v>103</v>
      </c>
      <c r="BI913" t="s">
        <v>233</v>
      </c>
      <c r="BJ913" t="s">
        <v>0</v>
      </c>
      <c r="BK913">
        <v>42191384</v>
      </c>
      <c r="BN913" t="s">
        <v>104</v>
      </c>
      <c r="BO913">
        <v>42191390</v>
      </c>
      <c r="BR913">
        <v>8480</v>
      </c>
      <c r="BS913">
        <v>42191398</v>
      </c>
      <c r="BT913" s="73">
        <v>45360.583333333336</v>
      </c>
      <c r="BU913" t="s">
        <v>226</v>
      </c>
      <c r="BV913" t="s">
        <v>495</v>
      </c>
      <c r="BW913" t="s">
        <v>235</v>
      </c>
      <c r="CH913" t="s">
        <v>229</v>
      </c>
      <c r="CI913" t="s">
        <v>103</v>
      </c>
      <c r="CJ913" t="s">
        <v>226</v>
      </c>
      <c r="CK913" t="s">
        <v>495</v>
      </c>
      <c r="CL913" t="s">
        <v>235</v>
      </c>
      <c r="CM913" t="s">
        <v>236</v>
      </c>
      <c r="CN913" t="s">
        <v>104</v>
      </c>
      <c r="CO913">
        <v>8480</v>
      </c>
      <c r="CP913">
        <v>42191398</v>
      </c>
      <c r="CQ913" s="73">
        <v>45360.583333333336</v>
      </c>
      <c r="CR913" t="s">
        <v>229</v>
      </c>
      <c r="CS913" t="s">
        <v>103</v>
      </c>
      <c r="CU913" t="s">
        <v>225</v>
      </c>
    </row>
    <row r="914" spans="1:99">
      <c r="A914" t="s">
        <v>111</v>
      </c>
      <c r="B914" t="s">
        <v>77</v>
      </c>
      <c r="J914" t="s">
        <v>225</v>
      </c>
      <c r="K914" t="s">
        <v>225</v>
      </c>
      <c r="M914" s="73">
        <v>45360.583333333336</v>
      </c>
      <c r="N914">
        <v>42191397</v>
      </c>
      <c r="O914">
        <v>8</v>
      </c>
      <c r="P914" t="s">
        <v>45</v>
      </c>
      <c r="Q914">
        <v>8</v>
      </c>
      <c r="R914" t="s">
        <v>45</v>
      </c>
      <c r="U914" t="s">
        <v>226</v>
      </c>
      <c r="V914" t="s">
        <v>495</v>
      </c>
      <c r="W914" t="s">
        <v>237</v>
      </c>
      <c r="X914" t="s">
        <v>229</v>
      </c>
      <c r="Y914" t="s">
        <v>111</v>
      </c>
      <c r="AD914" t="s">
        <v>45</v>
      </c>
      <c r="AE914">
        <v>8</v>
      </c>
      <c r="AF914">
        <v>42191397</v>
      </c>
      <c r="AG914" s="73">
        <v>45360.583333333336</v>
      </c>
      <c r="AH914" t="s">
        <v>226</v>
      </c>
      <c r="AI914" t="s">
        <v>495</v>
      </c>
      <c r="AJ914" t="s">
        <v>237</v>
      </c>
      <c r="AK914" t="s">
        <v>229</v>
      </c>
      <c r="AL914" t="s">
        <v>111</v>
      </c>
      <c r="AP914" t="s">
        <v>230</v>
      </c>
      <c r="AQ914" t="s">
        <v>231</v>
      </c>
      <c r="AT914" t="s">
        <v>232</v>
      </c>
      <c r="AU914">
        <v>-99</v>
      </c>
      <c r="AV914" t="s">
        <v>45</v>
      </c>
      <c r="AW914">
        <v>8</v>
      </c>
      <c r="AX914">
        <v>42191397</v>
      </c>
      <c r="AY914" s="73">
        <v>45360.583333333336</v>
      </c>
      <c r="AZ914" t="s">
        <v>226</v>
      </c>
      <c r="BA914" t="s">
        <v>495</v>
      </c>
      <c r="BB914" t="s">
        <v>237</v>
      </c>
      <c r="BC914" t="s">
        <v>229</v>
      </c>
      <c r="BD914" t="s">
        <v>111</v>
      </c>
      <c r="BI914" t="s">
        <v>233</v>
      </c>
      <c r="BJ914" t="s">
        <v>0</v>
      </c>
      <c r="BK914">
        <v>42191384</v>
      </c>
      <c r="BN914" t="s">
        <v>45</v>
      </c>
      <c r="BO914">
        <v>42191392</v>
      </c>
      <c r="BR914">
        <v>8</v>
      </c>
      <c r="BS914">
        <v>42191397</v>
      </c>
      <c r="BT914" s="73">
        <v>45360.583333333336</v>
      </c>
      <c r="BU914" t="s">
        <v>226</v>
      </c>
      <c r="BV914" t="s">
        <v>495</v>
      </c>
      <c r="BW914" t="s">
        <v>237</v>
      </c>
      <c r="CH914" t="s">
        <v>229</v>
      </c>
      <c r="CI914" t="s">
        <v>111</v>
      </c>
      <c r="CJ914" t="s">
        <v>226</v>
      </c>
      <c r="CK914" t="s">
        <v>495</v>
      </c>
      <c r="CL914" t="s">
        <v>237</v>
      </c>
      <c r="CM914" t="s">
        <v>236</v>
      </c>
      <c r="CN914" t="s">
        <v>45</v>
      </c>
      <c r="CO914">
        <v>8</v>
      </c>
      <c r="CP914">
        <v>42191397</v>
      </c>
      <c r="CQ914" s="73">
        <v>45360.583333333336</v>
      </c>
      <c r="CR914" t="s">
        <v>229</v>
      </c>
      <c r="CS914" t="s">
        <v>111</v>
      </c>
      <c r="CU914" t="s">
        <v>225</v>
      </c>
    </row>
    <row r="915" spans="1:99">
      <c r="A915" t="s">
        <v>42</v>
      </c>
      <c r="B915" t="s">
        <v>92</v>
      </c>
      <c r="J915" t="s">
        <v>225</v>
      </c>
      <c r="K915" t="s">
        <v>225</v>
      </c>
      <c r="M915" s="73">
        <v>45360.583333333336</v>
      </c>
      <c r="N915">
        <v>42191382</v>
      </c>
      <c r="O915">
        <v>-700</v>
      </c>
      <c r="P915" t="s">
        <v>45</v>
      </c>
      <c r="Q915">
        <v>-700</v>
      </c>
      <c r="R915" t="s">
        <v>45</v>
      </c>
      <c r="U915" t="s">
        <v>226</v>
      </c>
      <c r="V915" t="s">
        <v>496</v>
      </c>
      <c r="W915" t="s">
        <v>228</v>
      </c>
      <c r="X915" t="s">
        <v>229</v>
      </c>
      <c r="Y915" t="s">
        <v>42</v>
      </c>
      <c r="AD915" t="s">
        <v>45</v>
      </c>
      <c r="AE915">
        <v>-700</v>
      </c>
      <c r="AF915">
        <v>42191382</v>
      </c>
      <c r="AG915" s="73">
        <v>45360.583333333336</v>
      </c>
      <c r="AH915" t="s">
        <v>226</v>
      </c>
      <c r="AI915" t="s">
        <v>496</v>
      </c>
      <c r="AJ915" t="s">
        <v>228</v>
      </c>
      <c r="AK915" t="s">
        <v>229</v>
      </c>
      <c r="AL915" t="s">
        <v>42</v>
      </c>
      <c r="AP915" t="s">
        <v>230</v>
      </c>
      <c r="AQ915" t="s">
        <v>231</v>
      </c>
      <c r="AT915" t="s">
        <v>232</v>
      </c>
      <c r="AU915">
        <v>-99</v>
      </c>
      <c r="AV915" t="s">
        <v>45</v>
      </c>
      <c r="AW915">
        <v>-700</v>
      </c>
      <c r="AX915">
        <v>42191382</v>
      </c>
      <c r="AY915" s="73">
        <v>45360.583333333336</v>
      </c>
      <c r="AZ915" t="s">
        <v>226</v>
      </c>
      <c r="BA915" t="s">
        <v>496</v>
      </c>
      <c r="BB915" t="s">
        <v>228</v>
      </c>
      <c r="BC915" t="s">
        <v>229</v>
      </c>
      <c r="BD915" t="s">
        <v>42</v>
      </c>
      <c r="BI915" t="s">
        <v>233</v>
      </c>
      <c r="BJ915" t="s">
        <v>0</v>
      </c>
      <c r="BK915">
        <v>42191370</v>
      </c>
      <c r="BN915" t="s">
        <v>45</v>
      </c>
      <c r="BR915">
        <v>-700</v>
      </c>
      <c r="BS915">
        <v>42191382</v>
      </c>
      <c r="BT915" s="73">
        <v>45360.583333333336</v>
      </c>
      <c r="BU915" t="s">
        <v>226</v>
      </c>
      <c r="BV915" t="s">
        <v>496</v>
      </c>
      <c r="BW915" t="s">
        <v>228</v>
      </c>
      <c r="CH915" t="s">
        <v>229</v>
      </c>
      <c r="CI915" t="s">
        <v>42</v>
      </c>
      <c r="CJ915" t="s">
        <v>226</v>
      </c>
      <c r="CK915" t="s">
        <v>496</v>
      </c>
      <c r="CL915" t="s">
        <v>228</v>
      </c>
      <c r="CM915" t="s">
        <v>234</v>
      </c>
      <c r="CN915" t="s">
        <v>45</v>
      </c>
      <c r="CO915">
        <v>-700</v>
      </c>
      <c r="CP915">
        <v>42191382</v>
      </c>
      <c r="CQ915" s="73">
        <v>45360.583333333336</v>
      </c>
      <c r="CR915" t="s">
        <v>229</v>
      </c>
      <c r="CS915" t="s">
        <v>42</v>
      </c>
      <c r="CU915" t="s">
        <v>225</v>
      </c>
    </row>
    <row r="916" spans="1:99">
      <c r="A916" t="s">
        <v>99</v>
      </c>
      <c r="B916" t="s">
        <v>98</v>
      </c>
      <c r="J916" t="s">
        <v>225</v>
      </c>
      <c r="K916" t="s">
        <v>225</v>
      </c>
      <c r="M916" s="73">
        <v>45360.583333333336</v>
      </c>
      <c r="N916">
        <v>42191381</v>
      </c>
      <c r="O916">
        <v>-35</v>
      </c>
      <c r="P916" t="s">
        <v>73</v>
      </c>
      <c r="Q916">
        <v>-35</v>
      </c>
      <c r="R916" t="s">
        <v>73</v>
      </c>
      <c r="U916" t="s">
        <v>226</v>
      </c>
      <c r="V916" t="s">
        <v>496</v>
      </c>
      <c r="W916" t="s">
        <v>228</v>
      </c>
      <c r="X916" t="s">
        <v>229</v>
      </c>
      <c r="Y916" t="s">
        <v>99</v>
      </c>
      <c r="AD916" t="s">
        <v>73</v>
      </c>
      <c r="AE916">
        <v>-35</v>
      </c>
      <c r="AF916">
        <v>42191381</v>
      </c>
      <c r="AG916" s="73">
        <v>45360.583333333336</v>
      </c>
      <c r="AH916" t="s">
        <v>226</v>
      </c>
      <c r="AI916" t="s">
        <v>496</v>
      </c>
      <c r="AJ916" t="s">
        <v>228</v>
      </c>
      <c r="AK916" t="s">
        <v>229</v>
      </c>
      <c r="AL916" t="s">
        <v>99</v>
      </c>
      <c r="AP916" t="s">
        <v>230</v>
      </c>
      <c r="AQ916" t="s">
        <v>231</v>
      </c>
      <c r="AT916" t="s">
        <v>232</v>
      </c>
      <c r="AU916">
        <v>-99</v>
      </c>
      <c r="AV916" t="s">
        <v>73</v>
      </c>
      <c r="AW916">
        <v>-35</v>
      </c>
      <c r="AX916">
        <v>42191381</v>
      </c>
      <c r="AY916" s="73">
        <v>45360.583333333336</v>
      </c>
      <c r="AZ916" t="s">
        <v>226</v>
      </c>
      <c r="BA916" t="s">
        <v>496</v>
      </c>
      <c r="BB916" t="s">
        <v>228</v>
      </c>
      <c r="BC916" t="s">
        <v>229</v>
      </c>
      <c r="BD916" t="s">
        <v>99</v>
      </c>
      <c r="BI916" t="s">
        <v>233</v>
      </c>
      <c r="BJ916" t="s">
        <v>0</v>
      </c>
      <c r="BK916">
        <v>42191370</v>
      </c>
      <c r="BN916" t="s">
        <v>73</v>
      </c>
      <c r="BR916">
        <v>-35</v>
      </c>
      <c r="BS916">
        <v>42191381</v>
      </c>
      <c r="BT916" s="73">
        <v>45360.583333333336</v>
      </c>
      <c r="BU916" t="s">
        <v>226</v>
      </c>
      <c r="BV916" t="s">
        <v>496</v>
      </c>
      <c r="BW916" t="s">
        <v>228</v>
      </c>
      <c r="CH916" t="s">
        <v>229</v>
      </c>
      <c r="CI916" t="s">
        <v>99</v>
      </c>
      <c r="CJ916" t="s">
        <v>226</v>
      </c>
      <c r="CK916" t="s">
        <v>496</v>
      </c>
      <c r="CL916" t="s">
        <v>228</v>
      </c>
      <c r="CM916" t="s">
        <v>234</v>
      </c>
      <c r="CN916" t="s">
        <v>73</v>
      </c>
      <c r="CO916">
        <v>-35</v>
      </c>
      <c r="CP916">
        <v>42191381</v>
      </c>
      <c r="CQ916" s="73">
        <v>45360.583333333336</v>
      </c>
      <c r="CR916" t="s">
        <v>229</v>
      </c>
      <c r="CS916" t="s">
        <v>99</v>
      </c>
      <c r="CU916" t="s">
        <v>225</v>
      </c>
    </row>
    <row r="917" spans="1:99">
      <c r="A917" t="s">
        <v>103</v>
      </c>
      <c r="B917" t="s">
        <v>98</v>
      </c>
      <c r="J917" t="s">
        <v>225</v>
      </c>
      <c r="K917" t="s">
        <v>225</v>
      </c>
      <c r="M917" s="73">
        <v>45360.583333333336</v>
      </c>
      <c r="N917">
        <v>42191380</v>
      </c>
      <c r="O917">
        <v>700</v>
      </c>
      <c r="P917" t="s">
        <v>104</v>
      </c>
      <c r="Q917">
        <v>700</v>
      </c>
      <c r="R917" t="s">
        <v>104</v>
      </c>
      <c r="S917">
        <v>35</v>
      </c>
      <c r="T917" t="s">
        <v>73</v>
      </c>
      <c r="U917" t="s">
        <v>226</v>
      </c>
      <c r="V917" t="s">
        <v>496</v>
      </c>
      <c r="W917" t="s">
        <v>235</v>
      </c>
      <c r="X917" t="s">
        <v>229</v>
      </c>
      <c r="Y917" t="s">
        <v>103</v>
      </c>
      <c r="AD917" t="s">
        <v>104</v>
      </c>
      <c r="AE917">
        <v>700</v>
      </c>
      <c r="AF917">
        <v>42191380</v>
      </c>
      <c r="AG917" s="73">
        <v>45360.583333333336</v>
      </c>
      <c r="AH917" t="s">
        <v>226</v>
      </c>
      <c r="AI917" t="s">
        <v>496</v>
      </c>
      <c r="AJ917" t="s">
        <v>235</v>
      </c>
      <c r="AK917" t="s">
        <v>229</v>
      </c>
      <c r="AL917" t="s">
        <v>103</v>
      </c>
      <c r="AP917" t="s">
        <v>230</v>
      </c>
      <c r="AQ917" t="s">
        <v>231</v>
      </c>
      <c r="AT917" t="s">
        <v>232</v>
      </c>
      <c r="AU917">
        <v>-99</v>
      </c>
      <c r="AV917" t="s">
        <v>104</v>
      </c>
      <c r="AW917">
        <v>700</v>
      </c>
      <c r="AX917">
        <v>42191380</v>
      </c>
      <c r="AY917" s="73">
        <v>45360.583333333336</v>
      </c>
      <c r="AZ917" t="s">
        <v>226</v>
      </c>
      <c r="BA917" t="s">
        <v>496</v>
      </c>
      <c r="BB917" t="s">
        <v>235</v>
      </c>
      <c r="BC917" t="s">
        <v>229</v>
      </c>
      <c r="BD917" t="s">
        <v>103</v>
      </c>
      <c r="BI917" t="s">
        <v>233</v>
      </c>
      <c r="BJ917" t="s">
        <v>0</v>
      </c>
      <c r="BK917">
        <v>42191370</v>
      </c>
      <c r="BN917" t="s">
        <v>104</v>
      </c>
      <c r="BO917">
        <v>42191376</v>
      </c>
      <c r="BR917">
        <v>700</v>
      </c>
      <c r="BS917">
        <v>42191380</v>
      </c>
      <c r="BT917" s="73">
        <v>45360.583333333336</v>
      </c>
      <c r="BU917" t="s">
        <v>226</v>
      </c>
      <c r="BV917" t="s">
        <v>496</v>
      </c>
      <c r="BW917" t="s">
        <v>235</v>
      </c>
      <c r="CH917" t="s">
        <v>229</v>
      </c>
      <c r="CI917" t="s">
        <v>103</v>
      </c>
      <c r="CJ917" t="s">
        <v>226</v>
      </c>
      <c r="CK917" t="s">
        <v>496</v>
      </c>
      <c r="CL917" t="s">
        <v>235</v>
      </c>
      <c r="CM917" t="s">
        <v>236</v>
      </c>
      <c r="CN917" t="s">
        <v>104</v>
      </c>
      <c r="CO917">
        <v>700</v>
      </c>
      <c r="CP917">
        <v>42191380</v>
      </c>
      <c r="CQ917" s="73">
        <v>45360.583333333336</v>
      </c>
      <c r="CR917" t="s">
        <v>229</v>
      </c>
      <c r="CS917" t="s">
        <v>103</v>
      </c>
      <c r="CU917" t="s">
        <v>225</v>
      </c>
    </row>
    <row r="918" spans="1:99">
      <c r="A918" t="s">
        <v>52</v>
      </c>
      <c r="B918" t="s">
        <v>92</v>
      </c>
      <c r="J918" t="s">
        <v>225</v>
      </c>
      <c r="K918" t="s">
        <v>225</v>
      </c>
      <c r="M918" s="73">
        <v>45360.583333333336</v>
      </c>
      <c r="N918">
        <v>42191356</v>
      </c>
      <c r="O918">
        <v>-941</v>
      </c>
      <c r="P918" t="s">
        <v>45</v>
      </c>
      <c r="Q918">
        <v>-941</v>
      </c>
      <c r="R918" t="s">
        <v>45</v>
      </c>
      <c r="U918" t="s">
        <v>226</v>
      </c>
      <c r="V918" t="s">
        <v>497</v>
      </c>
      <c r="W918" t="s">
        <v>228</v>
      </c>
      <c r="X918" t="s">
        <v>229</v>
      </c>
      <c r="Y918" t="s">
        <v>52</v>
      </c>
      <c r="AD918" t="s">
        <v>45</v>
      </c>
      <c r="AE918">
        <v>-941</v>
      </c>
      <c r="AF918">
        <v>42191356</v>
      </c>
      <c r="AG918" s="73">
        <v>45360.583333333336</v>
      </c>
      <c r="AH918" t="s">
        <v>226</v>
      </c>
      <c r="AI918" t="s">
        <v>497</v>
      </c>
      <c r="AJ918" t="s">
        <v>228</v>
      </c>
      <c r="AK918" t="s">
        <v>229</v>
      </c>
      <c r="AL918" t="s">
        <v>52</v>
      </c>
      <c r="AP918" t="s">
        <v>230</v>
      </c>
      <c r="AQ918" t="s">
        <v>231</v>
      </c>
      <c r="AT918" t="s">
        <v>232</v>
      </c>
      <c r="AU918">
        <v>-99</v>
      </c>
      <c r="AV918" t="s">
        <v>45</v>
      </c>
      <c r="AW918">
        <v>-941</v>
      </c>
      <c r="AX918">
        <v>42191356</v>
      </c>
      <c r="AY918" s="73">
        <v>45360.583333333336</v>
      </c>
      <c r="AZ918" t="s">
        <v>226</v>
      </c>
      <c r="BA918" t="s">
        <v>497</v>
      </c>
      <c r="BB918" t="s">
        <v>228</v>
      </c>
      <c r="BC918" t="s">
        <v>229</v>
      </c>
      <c r="BD918" t="s">
        <v>52</v>
      </c>
      <c r="BI918" t="s">
        <v>233</v>
      </c>
      <c r="BJ918" t="s">
        <v>0</v>
      </c>
      <c r="BK918">
        <v>42191340</v>
      </c>
      <c r="BN918" t="s">
        <v>45</v>
      </c>
      <c r="BR918">
        <v>-941</v>
      </c>
      <c r="BS918">
        <v>42191356</v>
      </c>
      <c r="BT918" s="73">
        <v>45360.583333333336</v>
      </c>
      <c r="BU918" t="s">
        <v>226</v>
      </c>
      <c r="BV918" t="s">
        <v>497</v>
      </c>
      <c r="BW918" t="s">
        <v>228</v>
      </c>
      <c r="CH918" t="s">
        <v>229</v>
      </c>
      <c r="CI918" t="s">
        <v>52</v>
      </c>
      <c r="CJ918" t="s">
        <v>226</v>
      </c>
      <c r="CK918" t="s">
        <v>497</v>
      </c>
      <c r="CL918" t="s">
        <v>228</v>
      </c>
      <c r="CM918" t="s">
        <v>234</v>
      </c>
      <c r="CN918" t="s">
        <v>45</v>
      </c>
      <c r="CO918">
        <v>-941</v>
      </c>
      <c r="CP918">
        <v>42191356</v>
      </c>
      <c r="CQ918" s="73">
        <v>45360.583333333336</v>
      </c>
      <c r="CR918" t="s">
        <v>229</v>
      </c>
      <c r="CS918" t="s">
        <v>52</v>
      </c>
      <c r="CU918" t="s">
        <v>225</v>
      </c>
    </row>
    <row r="919" spans="1:99">
      <c r="A919" t="s">
        <v>101</v>
      </c>
      <c r="B919" t="s">
        <v>98</v>
      </c>
      <c r="J919" t="s">
        <v>225</v>
      </c>
      <c r="K919" t="s">
        <v>225</v>
      </c>
      <c r="M919" s="73">
        <v>45360.583333333336</v>
      </c>
      <c r="N919">
        <v>42191355</v>
      </c>
      <c r="O919">
        <v>-47</v>
      </c>
      <c r="P919" t="s">
        <v>73</v>
      </c>
      <c r="Q919">
        <v>-47</v>
      </c>
      <c r="R919" t="s">
        <v>73</v>
      </c>
      <c r="U919" t="s">
        <v>226</v>
      </c>
      <c r="V919" t="s">
        <v>497</v>
      </c>
      <c r="W919" t="s">
        <v>228</v>
      </c>
      <c r="X919" t="s">
        <v>229</v>
      </c>
      <c r="Y919" t="s">
        <v>101</v>
      </c>
      <c r="AD919" t="s">
        <v>73</v>
      </c>
      <c r="AE919">
        <v>-47</v>
      </c>
      <c r="AF919">
        <v>42191355</v>
      </c>
      <c r="AG919" s="73">
        <v>45360.583333333336</v>
      </c>
      <c r="AH919" t="s">
        <v>226</v>
      </c>
      <c r="AI919" t="s">
        <v>497</v>
      </c>
      <c r="AJ919" t="s">
        <v>228</v>
      </c>
      <c r="AK919" t="s">
        <v>229</v>
      </c>
      <c r="AL919" t="s">
        <v>101</v>
      </c>
      <c r="AP919" t="s">
        <v>230</v>
      </c>
      <c r="AQ919" t="s">
        <v>231</v>
      </c>
      <c r="AT919" t="s">
        <v>232</v>
      </c>
      <c r="AU919">
        <v>-99</v>
      </c>
      <c r="AV919" t="s">
        <v>73</v>
      </c>
      <c r="AW919">
        <v>-47</v>
      </c>
      <c r="AX919">
        <v>42191355</v>
      </c>
      <c r="AY919" s="73">
        <v>45360.583333333336</v>
      </c>
      <c r="AZ919" t="s">
        <v>226</v>
      </c>
      <c r="BA919" t="s">
        <v>497</v>
      </c>
      <c r="BB919" t="s">
        <v>228</v>
      </c>
      <c r="BC919" t="s">
        <v>229</v>
      </c>
      <c r="BD919" t="s">
        <v>101</v>
      </c>
      <c r="BI919" t="s">
        <v>233</v>
      </c>
      <c r="BJ919" t="s">
        <v>0</v>
      </c>
      <c r="BK919">
        <v>42191340</v>
      </c>
      <c r="BN919" t="s">
        <v>73</v>
      </c>
      <c r="BR919">
        <v>-47</v>
      </c>
      <c r="BS919">
        <v>42191355</v>
      </c>
      <c r="BT919" s="73">
        <v>45360.583333333336</v>
      </c>
      <c r="BU919" t="s">
        <v>226</v>
      </c>
      <c r="BV919" t="s">
        <v>497</v>
      </c>
      <c r="BW919" t="s">
        <v>228</v>
      </c>
      <c r="CH919" t="s">
        <v>229</v>
      </c>
      <c r="CI919" t="s">
        <v>101</v>
      </c>
      <c r="CJ919" t="s">
        <v>226</v>
      </c>
      <c r="CK919" t="s">
        <v>497</v>
      </c>
      <c r="CL919" t="s">
        <v>228</v>
      </c>
      <c r="CM919" t="s">
        <v>234</v>
      </c>
      <c r="CN919" t="s">
        <v>73</v>
      </c>
      <c r="CO919">
        <v>-47</v>
      </c>
      <c r="CP919">
        <v>42191355</v>
      </c>
      <c r="CQ919" s="73">
        <v>45360.583333333336</v>
      </c>
      <c r="CR919" t="s">
        <v>229</v>
      </c>
      <c r="CS919" t="s">
        <v>101</v>
      </c>
      <c r="CU919" t="s">
        <v>225</v>
      </c>
    </row>
    <row r="920" spans="1:99">
      <c r="A920" t="s">
        <v>107</v>
      </c>
      <c r="B920" t="s">
        <v>98</v>
      </c>
      <c r="J920" t="s">
        <v>225</v>
      </c>
      <c r="K920" t="s">
        <v>225</v>
      </c>
      <c r="M920" s="73">
        <v>45360.583333333336</v>
      </c>
      <c r="N920">
        <v>42191354</v>
      </c>
      <c r="O920">
        <v>940</v>
      </c>
      <c r="P920" t="s">
        <v>104</v>
      </c>
      <c r="Q920">
        <v>940</v>
      </c>
      <c r="R920" t="s">
        <v>104</v>
      </c>
      <c r="S920">
        <v>47</v>
      </c>
      <c r="T920" t="s">
        <v>73</v>
      </c>
      <c r="U920" t="s">
        <v>226</v>
      </c>
      <c r="V920" t="s">
        <v>497</v>
      </c>
      <c r="W920" t="s">
        <v>235</v>
      </c>
      <c r="X920" t="s">
        <v>229</v>
      </c>
      <c r="Y920" t="s">
        <v>107</v>
      </c>
      <c r="AD920" t="s">
        <v>104</v>
      </c>
      <c r="AE920">
        <v>940</v>
      </c>
      <c r="AF920">
        <v>42191354</v>
      </c>
      <c r="AG920" s="73">
        <v>45360.583333333336</v>
      </c>
      <c r="AH920" t="s">
        <v>226</v>
      </c>
      <c r="AI920" t="s">
        <v>497</v>
      </c>
      <c r="AJ920" t="s">
        <v>235</v>
      </c>
      <c r="AK920" t="s">
        <v>229</v>
      </c>
      <c r="AL920" t="s">
        <v>107</v>
      </c>
      <c r="AP920" t="s">
        <v>230</v>
      </c>
      <c r="AQ920" t="s">
        <v>231</v>
      </c>
      <c r="AT920" t="s">
        <v>232</v>
      </c>
      <c r="AU920">
        <v>-99</v>
      </c>
      <c r="AV920" t="s">
        <v>104</v>
      </c>
      <c r="AW920">
        <v>940</v>
      </c>
      <c r="AX920">
        <v>42191354</v>
      </c>
      <c r="AY920" s="73">
        <v>45360.583333333336</v>
      </c>
      <c r="AZ920" t="s">
        <v>226</v>
      </c>
      <c r="BA920" t="s">
        <v>497</v>
      </c>
      <c r="BB920" t="s">
        <v>235</v>
      </c>
      <c r="BC920" t="s">
        <v>229</v>
      </c>
      <c r="BD920" t="s">
        <v>107</v>
      </c>
      <c r="BI920" t="s">
        <v>233</v>
      </c>
      <c r="BJ920" t="s">
        <v>0</v>
      </c>
      <c r="BK920">
        <v>42191340</v>
      </c>
      <c r="BN920" t="s">
        <v>104</v>
      </c>
      <c r="BO920">
        <v>42191346</v>
      </c>
      <c r="BR920">
        <v>940</v>
      </c>
      <c r="BS920">
        <v>42191354</v>
      </c>
      <c r="BT920" s="73">
        <v>45360.583333333336</v>
      </c>
      <c r="BU920" t="s">
        <v>226</v>
      </c>
      <c r="BV920" t="s">
        <v>497</v>
      </c>
      <c r="BW920" t="s">
        <v>235</v>
      </c>
      <c r="CH920" t="s">
        <v>229</v>
      </c>
      <c r="CI920" t="s">
        <v>107</v>
      </c>
      <c r="CJ920" t="s">
        <v>226</v>
      </c>
      <c r="CK920" t="s">
        <v>497</v>
      </c>
      <c r="CL920" t="s">
        <v>235</v>
      </c>
      <c r="CM920" t="s">
        <v>236</v>
      </c>
      <c r="CN920" t="s">
        <v>104</v>
      </c>
      <c r="CO920">
        <v>940</v>
      </c>
      <c r="CP920">
        <v>42191354</v>
      </c>
      <c r="CQ920" s="73">
        <v>45360.583333333336</v>
      </c>
      <c r="CR920" t="s">
        <v>229</v>
      </c>
      <c r="CS920" t="s">
        <v>107</v>
      </c>
      <c r="CU920" t="s">
        <v>225</v>
      </c>
    </row>
    <row r="921" spans="1:99">
      <c r="A921" t="s">
        <v>111</v>
      </c>
      <c r="B921" t="s">
        <v>77</v>
      </c>
      <c r="J921" t="s">
        <v>225</v>
      </c>
      <c r="K921" t="s">
        <v>225</v>
      </c>
      <c r="M921" s="73">
        <v>45360.583333333336</v>
      </c>
      <c r="N921">
        <v>42191353</v>
      </c>
      <c r="O921">
        <v>1</v>
      </c>
      <c r="P921" t="s">
        <v>45</v>
      </c>
      <c r="Q921">
        <v>1</v>
      </c>
      <c r="R921" t="s">
        <v>45</v>
      </c>
      <c r="U921" t="s">
        <v>226</v>
      </c>
      <c r="V921" t="s">
        <v>497</v>
      </c>
      <c r="W921" t="s">
        <v>237</v>
      </c>
      <c r="X921" t="s">
        <v>229</v>
      </c>
      <c r="Y921" t="s">
        <v>111</v>
      </c>
      <c r="AD921" t="s">
        <v>45</v>
      </c>
      <c r="AE921">
        <v>1</v>
      </c>
      <c r="AF921">
        <v>42191353</v>
      </c>
      <c r="AG921" s="73">
        <v>45360.583333333336</v>
      </c>
      <c r="AH921" t="s">
        <v>226</v>
      </c>
      <c r="AI921" t="s">
        <v>497</v>
      </c>
      <c r="AJ921" t="s">
        <v>237</v>
      </c>
      <c r="AK921" t="s">
        <v>229</v>
      </c>
      <c r="AL921" t="s">
        <v>111</v>
      </c>
      <c r="AP921" t="s">
        <v>230</v>
      </c>
      <c r="AQ921" t="s">
        <v>231</v>
      </c>
      <c r="AT921" t="s">
        <v>232</v>
      </c>
      <c r="AU921">
        <v>-99</v>
      </c>
      <c r="AV921" t="s">
        <v>45</v>
      </c>
      <c r="AW921">
        <v>1</v>
      </c>
      <c r="AX921">
        <v>42191353</v>
      </c>
      <c r="AY921" s="73">
        <v>45360.583333333336</v>
      </c>
      <c r="AZ921" t="s">
        <v>226</v>
      </c>
      <c r="BA921" t="s">
        <v>497</v>
      </c>
      <c r="BB921" t="s">
        <v>237</v>
      </c>
      <c r="BC921" t="s">
        <v>229</v>
      </c>
      <c r="BD921" t="s">
        <v>111</v>
      </c>
      <c r="BI921" t="s">
        <v>233</v>
      </c>
      <c r="BJ921" t="s">
        <v>0</v>
      </c>
      <c r="BK921">
        <v>42191340</v>
      </c>
      <c r="BN921" t="s">
        <v>45</v>
      </c>
      <c r="BO921">
        <v>42191348</v>
      </c>
      <c r="BR921">
        <v>1</v>
      </c>
      <c r="BS921">
        <v>42191353</v>
      </c>
      <c r="BT921" s="73">
        <v>45360.583333333336</v>
      </c>
      <c r="BU921" t="s">
        <v>226</v>
      </c>
      <c r="BV921" t="s">
        <v>497</v>
      </c>
      <c r="BW921" t="s">
        <v>237</v>
      </c>
      <c r="CH921" t="s">
        <v>229</v>
      </c>
      <c r="CI921" t="s">
        <v>111</v>
      </c>
      <c r="CJ921" t="s">
        <v>226</v>
      </c>
      <c r="CK921" t="s">
        <v>497</v>
      </c>
      <c r="CL921" t="s">
        <v>237</v>
      </c>
      <c r="CM921" t="s">
        <v>236</v>
      </c>
      <c r="CN921" t="s">
        <v>45</v>
      </c>
      <c r="CO921">
        <v>1</v>
      </c>
      <c r="CP921">
        <v>42191353</v>
      </c>
      <c r="CQ921" s="73">
        <v>45360.583333333336</v>
      </c>
      <c r="CR921" t="s">
        <v>229</v>
      </c>
      <c r="CS921" t="s">
        <v>111</v>
      </c>
      <c r="CU921" t="s">
        <v>225</v>
      </c>
    </row>
    <row r="922" spans="1:99">
      <c r="A922" t="s">
        <v>46</v>
      </c>
      <c r="B922" t="s">
        <v>92</v>
      </c>
      <c r="J922" t="s">
        <v>225</v>
      </c>
      <c r="K922" t="s">
        <v>225</v>
      </c>
      <c r="M922" s="73">
        <v>45360.583333333336</v>
      </c>
      <c r="N922">
        <v>42169873</v>
      </c>
      <c r="O922">
        <v>-140</v>
      </c>
      <c r="P922" t="s">
        <v>45</v>
      </c>
      <c r="Q922">
        <v>-140</v>
      </c>
      <c r="R922" t="s">
        <v>45</v>
      </c>
      <c r="U922" t="s">
        <v>226</v>
      </c>
      <c r="V922" t="s">
        <v>498</v>
      </c>
      <c r="W922" t="s">
        <v>228</v>
      </c>
      <c r="X922" t="s">
        <v>229</v>
      </c>
      <c r="Y922" t="s">
        <v>46</v>
      </c>
      <c r="AD922" t="s">
        <v>45</v>
      </c>
      <c r="AE922">
        <v>-140</v>
      </c>
      <c r="AF922">
        <v>42169873</v>
      </c>
      <c r="AG922" s="73">
        <v>45360.583333333336</v>
      </c>
      <c r="AH922" t="s">
        <v>226</v>
      </c>
      <c r="AI922" t="s">
        <v>498</v>
      </c>
      <c r="AJ922" t="s">
        <v>228</v>
      </c>
      <c r="AK922" t="s">
        <v>229</v>
      </c>
      <c r="AL922" t="s">
        <v>46</v>
      </c>
      <c r="AP922" t="s">
        <v>230</v>
      </c>
      <c r="AQ922" t="s">
        <v>231</v>
      </c>
      <c r="AT922" t="s">
        <v>232</v>
      </c>
      <c r="AU922">
        <v>-99</v>
      </c>
      <c r="AV922" t="s">
        <v>45</v>
      </c>
      <c r="AW922">
        <v>-140</v>
      </c>
      <c r="AX922">
        <v>42169873</v>
      </c>
      <c r="AY922" s="73">
        <v>45360.583333333336</v>
      </c>
      <c r="AZ922" t="s">
        <v>226</v>
      </c>
      <c r="BA922" t="s">
        <v>498</v>
      </c>
      <c r="BB922" t="s">
        <v>228</v>
      </c>
      <c r="BC922" t="s">
        <v>229</v>
      </c>
      <c r="BD922" t="s">
        <v>46</v>
      </c>
      <c r="BI922" t="s">
        <v>233</v>
      </c>
      <c r="BJ922" t="s">
        <v>0</v>
      </c>
      <c r="BK922">
        <v>42169849</v>
      </c>
      <c r="BN922" t="s">
        <v>45</v>
      </c>
      <c r="BR922">
        <v>-140</v>
      </c>
      <c r="BS922">
        <v>42169873</v>
      </c>
      <c r="BT922" s="73">
        <v>45360.583333333336</v>
      </c>
      <c r="BU922" t="s">
        <v>226</v>
      </c>
      <c r="BV922" t="s">
        <v>498</v>
      </c>
      <c r="BW922" t="s">
        <v>228</v>
      </c>
      <c r="CH922" t="s">
        <v>229</v>
      </c>
      <c r="CI922" t="s">
        <v>46</v>
      </c>
      <c r="CJ922" t="s">
        <v>226</v>
      </c>
      <c r="CK922" t="s">
        <v>498</v>
      </c>
      <c r="CL922" t="s">
        <v>228</v>
      </c>
      <c r="CM922" t="s">
        <v>234</v>
      </c>
      <c r="CN922" t="s">
        <v>45</v>
      </c>
      <c r="CO922">
        <v>-140</v>
      </c>
      <c r="CP922">
        <v>42169873</v>
      </c>
      <c r="CQ922" s="73">
        <v>45360.583333333336</v>
      </c>
      <c r="CR922" t="s">
        <v>229</v>
      </c>
      <c r="CS922" t="s">
        <v>46</v>
      </c>
      <c r="CU922" t="s">
        <v>225</v>
      </c>
    </row>
    <row r="923" spans="1:99">
      <c r="A923" t="s">
        <v>93</v>
      </c>
      <c r="B923" t="s">
        <v>98</v>
      </c>
      <c r="J923" t="s">
        <v>225</v>
      </c>
      <c r="K923" t="s">
        <v>225</v>
      </c>
      <c r="M923" s="73">
        <v>45360.583333333336</v>
      </c>
      <c r="N923">
        <v>42169872</v>
      </c>
      <c r="O923">
        <v>-7</v>
      </c>
      <c r="P923" t="s">
        <v>73</v>
      </c>
      <c r="Q923">
        <v>-7</v>
      </c>
      <c r="R923" t="s">
        <v>73</v>
      </c>
      <c r="U923" t="s">
        <v>226</v>
      </c>
      <c r="V923" t="s">
        <v>498</v>
      </c>
      <c r="W923" t="s">
        <v>228</v>
      </c>
      <c r="X923" t="s">
        <v>229</v>
      </c>
      <c r="Y923" t="s">
        <v>93</v>
      </c>
      <c r="AD923" t="s">
        <v>73</v>
      </c>
      <c r="AE923">
        <v>-7</v>
      </c>
      <c r="AF923">
        <v>42169872</v>
      </c>
      <c r="AG923" s="73">
        <v>45360.583333333336</v>
      </c>
      <c r="AH923" t="s">
        <v>226</v>
      </c>
      <c r="AI923" t="s">
        <v>498</v>
      </c>
      <c r="AJ923" t="s">
        <v>228</v>
      </c>
      <c r="AK923" t="s">
        <v>229</v>
      </c>
      <c r="AL923" t="s">
        <v>93</v>
      </c>
      <c r="AP923" t="s">
        <v>230</v>
      </c>
      <c r="AQ923" t="s">
        <v>231</v>
      </c>
      <c r="AT923" t="s">
        <v>232</v>
      </c>
      <c r="AU923">
        <v>-99</v>
      </c>
      <c r="AV923" t="s">
        <v>73</v>
      </c>
      <c r="AW923">
        <v>-7</v>
      </c>
      <c r="AX923">
        <v>42169872</v>
      </c>
      <c r="AY923" s="73">
        <v>45360.583333333336</v>
      </c>
      <c r="AZ923" t="s">
        <v>226</v>
      </c>
      <c r="BA923" t="s">
        <v>498</v>
      </c>
      <c r="BB923" t="s">
        <v>228</v>
      </c>
      <c r="BC923" t="s">
        <v>229</v>
      </c>
      <c r="BD923" t="s">
        <v>93</v>
      </c>
      <c r="BI923" t="s">
        <v>233</v>
      </c>
      <c r="BJ923" t="s">
        <v>0</v>
      </c>
      <c r="BK923">
        <v>42169849</v>
      </c>
      <c r="BN923" t="s">
        <v>73</v>
      </c>
      <c r="BR923">
        <v>-7</v>
      </c>
      <c r="BS923">
        <v>42169872</v>
      </c>
      <c r="BT923" s="73">
        <v>45360.583333333336</v>
      </c>
      <c r="BU923" t="s">
        <v>226</v>
      </c>
      <c r="BV923" t="s">
        <v>498</v>
      </c>
      <c r="BW923" t="s">
        <v>228</v>
      </c>
      <c r="CH923" t="s">
        <v>229</v>
      </c>
      <c r="CI923" t="s">
        <v>93</v>
      </c>
      <c r="CJ923" t="s">
        <v>226</v>
      </c>
      <c r="CK923" t="s">
        <v>498</v>
      </c>
      <c r="CL923" t="s">
        <v>228</v>
      </c>
      <c r="CM923" t="s">
        <v>234</v>
      </c>
      <c r="CN923" t="s">
        <v>73</v>
      </c>
      <c r="CO923">
        <v>-7</v>
      </c>
      <c r="CP923">
        <v>42169872</v>
      </c>
      <c r="CQ923" s="73">
        <v>45360.583333333336</v>
      </c>
      <c r="CR923" t="s">
        <v>229</v>
      </c>
      <c r="CS923" t="s">
        <v>93</v>
      </c>
      <c r="CU923" t="s">
        <v>225</v>
      </c>
    </row>
    <row r="924" spans="1:99">
      <c r="A924" t="s">
        <v>108</v>
      </c>
      <c r="B924" t="s">
        <v>98</v>
      </c>
      <c r="J924" t="s">
        <v>225</v>
      </c>
      <c r="K924" t="s">
        <v>225</v>
      </c>
      <c r="M924" s="73">
        <v>45360.583333333336</v>
      </c>
      <c r="N924">
        <v>42169871</v>
      </c>
      <c r="O924">
        <v>140</v>
      </c>
      <c r="P924" t="s">
        <v>104</v>
      </c>
      <c r="Q924">
        <v>140</v>
      </c>
      <c r="R924" t="s">
        <v>104</v>
      </c>
      <c r="S924">
        <v>7</v>
      </c>
      <c r="T924" t="s">
        <v>73</v>
      </c>
      <c r="U924" t="s">
        <v>226</v>
      </c>
      <c r="V924" t="s">
        <v>498</v>
      </c>
      <c r="W924" t="s">
        <v>235</v>
      </c>
      <c r="X924" t="s">
        <v>229</v>
      </c>
      <c r="Y924" t="s">
        <v>108</v>
      </c>
      <c r="AD924" t="s">
        <v>104</v>
      </c>
      <c r="AE924">
        <v>140</v>
      </c>
      <c r="AF924">
        <v>42169871</v>
      </c>
      <c r="AG924" s="73">
        <v>45360.583333333336</v>
      </c>
      <c r="AH924" t="s">
        <v>226</v>
      </c>
      <c r="AI924" t="s">
        <v>498</v>
      </c>
      <c r="AJ924" t="s">
        <v>235</v>
      </c>
      <c r="AK924" t="s">
        <v>229</v>
      </c>
      <c r="AL924" t="s">
        <v>108</v>
      </c>
      <c r="AP924" t="s">
        <v>230</v>
      </c>
      <c r="AQ924" t="s">
        <v>231</v>
      </c>
      <c r="AT924" t="s">
        <v>232</v>
      </c>
      <c r="AU924">
        <v>-99</v>
      </c>
      <c r="AV924" t="s">
        <v>104</v>
      </c>
      <c r="AW924">
        <v>140</v>
      </c>
      <c r="AX924">
        <v>42169871</v>
      </c>
      <c r="AY924" s="73">
        <v>45360.583333333336</v>
      </c>
      <c r="AZ924" t="s">
        <v>226</v>
      </c>
      <c r="BA924" t="s">
        <v>498</v>
      </c>
      <c r="BB924" t="s">
        <v>235</v>
      </c>
      <c r="BC924" t="s">
        <v>229</v>
      </c>
      <c r="BD924" t="s">
        <v>108</v>
      </c>
      <c r="BI924" t="s">
        <v>233</v>
      </c>
      <c r="BJ924" t="s">
        <v>0</v>
      </c>
      <c r="BK924">
        <v>42169849</v>
      </c>
      <c r="BN924" t="s">
        <v>104</v>
      </c>
      <c r="BO924">
        <v>42169867</v>
      </c>
      <c r="BR924">
        <v>140</v>
      </c>
      <c r="BS924">
        <v>42169871</v>
      </c>
      <c r="BT924" s="73">
        <v>45360.583333333336</v>
      </c>
      <c r="BU924" t="s">
        <v>226</v>
      </c>
      <c r="BV924" t="s">
        <v>498</v>
      </c>
      <c r="BW924" t="s">
        <v>235</v>
      </c>
      <c r="CH924" t="s">
        <v>229</v>
      </c>
      <c r="CI924" t="s">
        <v>108</v>
      </c>
      <c r="CJ924" t="s">
        <v>226</v>
      </c>
      <c r="CK924" t="s">
        <v>498</v>
      </c>
      <c r="CL924" t="s">
        <v>235</v>
      </c>
      <c r="CM924" t="s">
        <v>236</v>
      </c>
      <c r="CN924" t="s">
        <v>104</v>
      </c>
      <c r="CO924">
        <v>140</v>
      </c>
      <c r="CP924">
        <v>42169871</v>
      </c>
      <c r="CQ924" s="73">
        <v>45360.583333333336</v>
      </c>
      <c r="CR924" t="s">
        <v>229</v>
      </c>
      <c r="CS924" t="s">
        <v>108</v>
      </c>
      <c r="CU924" t="s">
        <v>225</v>
      </c>
    </row>
    <row r="925" spans="1:99">
      <c r="A925" t="s">
        <v>113</v>
      </c>
      <c r="B925" t="s">
        <v>90</v>
      </c>
      <c r="J925" t="s">
        <v>225</v>
      </c>
      <c r="K925" t="s">
        <v>225</v>
      </c>
      <c r="M925" s="73">
        <v>45360.256956018522</v>
      </c>
      <c r="N925">
        <v>42164991</v>
      </c>
      <c r="O925">
        <v>-300</v>
      </c>
      <c r="P925" t="s">
        <v>115</v>
      </c>
      <c r="Q925">
        <v>-300</v>
      </c>
      <c r="R925" t="s">
        <v>115</v>
      </c>
      <c r="U925" t="s">
        <v>226</v>
      </c>
      <c r="V925" t="s">
        <v>494</v>
      </c>
      <c r="W925" t="s">
        <v>228</v>
      </c>
      <c r="X925" t="s">
        <v>229</v>
      </c>
      <c r="Y925" t="s">
        <v>113</v>
      </c>
      <c r="AD925" t="s">
        <v>115</v>
      </c>
      <c r="AE925">
        <v>-300</v>
      </c>
      <c r="AF925">
        <v>42164991</v>
      </c>
      <c r="AG925" s="73">
        <v>45360.256956018522</v>
      </c>
      <c r="AH925" t="s">
        <v>226</v>
      </c>
      <c r="AI925" t="s">
        <v>494</v>
      </c>
      <c r="AJ925" t="s">
        <v>228</v>
      </c>
      <c r="AK925" t="s">
        <v>229</v>
      </c>
      <c r="AL925" t="s">
        <v>113</v>
      </c>
      <c r="AP925" t="s">
        <v>230</v>
      </c>
      <c r="AQ925" t="s">
        <v>231</v>
      </c>
      <c r="AT925" t="s">
        <v>232</v>
      </c>
      <c r="AU925">
        <v>-99</v>
      </c>
      <c r="AV925" t="s">
        <v>115</v>
      </c>
      <c r="AW925">
        <v>-300</v>
      </c>
      <c r="AX925">
        <v>42164991</v>
      </c>
      <c r="AY925" s="73">
        <v>45360.256956018522</v>
      </c>
      <c r="AZ925" t="s">
        <v>226</v>
      </c>
      <c r="BA925" t="s">
        <v>494</v>
      </c>
      <c r="BB925" t="s">
        <v>228</v>
      </c>
      <c r="BC925" t="s">
        <v>229</v>
      </c>
      <c r="BD925" t="s">
        <v>113</v>
      </c>
      <c r="BI925" t="s">
        <v>233</v>
      </c>
      <c r="BJ925" t="s">
        <v>0</v>
      </c>
      <c r="BK925">
        <v>42164982</v>
      </c>
      <c r="BN925" t="s">
        <v>115</v>
      </c>
      <c r="BR925">
        <v>-300</v>
      </c>
      <c r="BS925">
        <v>42164991</v>
      </c>
      <c r="BT925" s="73">
        <v>45360.256956018522</v>
      </c>
      <c r="BU925" t="s">
        <v>226</v>
      </c>
      <c r="BV925" t="s">
        <v>494</v>
      </c>
      <c r="BW925" t="s">
        <v>228</v>
      </c>
      <c r="CH925" t="s">
        <v>229</v>
      </c>
      <c r="CI925" t="s">
        <v>113</v>
      </c>
      <c r="CJ925" t="s">
        <v>226</v>
      </c>
      <c r="CK925" t="s">
        <v>494</v>
      </c>
      <c r="CL925" t="s">
        <v>228</v>
      </c>
      <c r="CM925" t="s">
        <v>234</v>
      </c>
      <c r="CN925" t="s">
        <v>115</v>
      </c>
      <c r="CO925">
        <v>-300</v>
      </c>
      <c r="CP925">
        <v>42164991</v>
      </c>
      <c r="CQ925" s="73">
        <v>45360.256956018522</v>
      </c>
      <c r="CR925" t="s">
        <v>229</v>
      </c>
      <c r="CS925" t="s">
        <v>113</v>
      </c>
      <c r="CU925" t="s">
        <v>225</v>
      </c>
    </row>
    <row r="926" spans="1:99">
      <c r="A926" t="s">
        <v>129</v>
      </c>
      <c r="B926" t="s">
        <v>90</v>
      </c>
      <c r="J926" t="s">
        <v>225</v>
      </c>
      <c r="K926" t="s">
        <v>225</v>
      </c>
      <c r="M926" s="73">
        <v>45360.256956018522</v>
      </c>
      <c r="N926">
        <v>42164990</v>
      </c>
      <c r="O926">
        <v>-5.9</v>
      </c>
      <c r="P926" t="s">
        <v>73</v>
      </c>
      <c r="Q926">
        <v>-5.9</v>
      </c>
      <c r="R926" t="s">
        <v>73</v>
      </c>
      <c r="U926" t="s">
        <v>226</v>
      </c>
      <c r="V926" t="s">
        <v>494</v>
      </c>
      <c r="W926" t="s">
        <v>228</v>
      </c>
      <c r="X926" t="s">
        <v>229</v>
      </c>
      <c r="Y926" t="s">
        <v>129</v>
      </c>
      <c r="AD926" t="s">
        <v>73</v>
      </c>
      <c r="AE926">
        <v>-5.9</v>
      </c>
      <c r="AF926">
        <v>42164990</v>
      </c>
      <c r="AG926" s="73">
        <v>45360.256956018522</v>
      </c>
      <c r="AH926" t="s">
        <v>226</v>
      </c>
      <c r="AI926" t="s">
        <v>494</v>
      </c>
      <c r="AJ926" t="s">
        <v>228</v>
      </c>
      <c r="AK926" t="s">
        <v>229</v>
      </c>
      <c r="AL926" t="s">
        <v>129</v>
      </c>
      <c r="AP926" t="s">
        <v>230</v>
      </c>
      <c r="AQ926" t="s">
        <v>231</v>
      </c>
      <c r="AT926" t="s">
        <v>232</v>
      </c>
      <c r="AU926">
        <v>-99</v>
      </c>
      <c r="AV926" t="s">
        <v>73</v>
      </c>
      <c r="AW926">
        <v>-5.9</v>
      </c>
      <c r="AX926">
        <v>42164990</v>
      </c>
      <c r="AY926" s="73">
        <v>45360.256956018522</v>
      </c>
      <c r="AZ926" t="s">
        <v>226</v>
      </c>
      <c r="BA926" t="s">
        <v>494</v>
      </c>
      <c r="BB926" t="s">
        <v>228</v>
      </c>
      <c r="BC926" t="s">
        <v>229</v>
      </c>
      <c r="BD926" t="s">
        <v>129</v>
      </c>
      <c r="BI926" t="s">
        <v>233</v>
      </c>
      <c r="BJ926" t="s">
        <v>0</v>
      </c>
      <c r="BK926">
        <v>42164982</v>
      </c>
      <c r="BN926" t="s">
        <v>73</v>
      </c>
      <c r="BR926">
        <v>-5.9</v>
      </c>
      <c r="BS926">
        <v>42164990</v>
      </c>
      <c r="BT926" s="73">
        <v>45360.256956018522</v>
      </c>
      <c r="BU926" t="s">
        <v>226</v>
      </c>
      <c r="BV926" t="s">
        <v>494</v>
      </c>
      <c r="BW926" t="s">
        <v>228</v>
      </c>
      <c r="CH926" t="s">
        <v>229</v>
      </c>
      <c r="CI926" t="s">
        <v>129</v>
      </c>
      <c r="CJ926" t="s">
        <v>226</v>
      </c>
      <c r="CK926" t="s">
        <v>494</v>
      </c>
      <c r="CL926" t="s">
        <v>228</v>
      </c>
      <c r="CM926" t="s">
        <v>234</v>
      </c>
      <c r="CN926" t="s">
        <v>73</v>
      </c>
      <c r="CO926">
        <v>-5.9</v>
      </c>
      <c r="CP926">
        <v>42164990</v>
      </c>
      <c r="CQ926" s="73">
        <v>45360.256956018522</v>
      </c>
      <c r="CR926" t="s">
        <v>229</v>
      </c>
      <c r="CS926" t="s">
        <v>129</v>
      </c>
      <c r="CU926" t="s">
        <v>225</v>
      </c>
    </row>
    <row r="927" spans="1:99">
      <c r="A927" t="s">
        <v>42</v>
      </c>
      <c r="B927" t="s">
        <v>92</v>
      </c>
      <c r="J927" t="s">
        <v>225</v>
      </c>
      <c r="K927" t="s">
        <v>225</v>
      </c>
      <c r="M927" s="73">
        <v>45360.25</v>
      </c>
      <c r="N927">
        <v>42164475</v>
      </c>
      <c r="O927">
        <v>-2955</v>
      </c>
      <c r="P927" t="s">
        <v>45</v>
      </c>
      <c r="Q927">
        <v>-2955</v>
      </c>
      <c r="R927" t="s">
        <v>45</v>
      </c>
      <c r="U927" t="s">
        <v>226</v>
      </c>
      <c r="V927" t="s">
        <v>499</v>
      </c>
      <c r="W927" t="s">
        <v>228</v>
      </c>
      <c r="X927" t="s">
        <v>229</v>
      </c>
      <c r="Y927" t="s">
        <v>42</v>
      </c>
      <c r="AD927" t="s">
        <v>45</v>
      </c>
      <c r="AE927">
        <v>-2955</v>
      </c>
      <c r="AF927">
        <v>42164475</v>
      </c>
      <c r="AG927" s="73">
        <v>45360.25</v>
      </c>
      <c r="AH927" t="s">
        <v>226</v>
      </c>
      <c r="AI927" t="s">
        <v>499</v>
      </c>
      <c r="AJ927" t="s">
        <v>228</v>
      </c>
      <c r="AK927" t="s">
        <v>229</v>
      </c>
      <c r="AL927" t="s">
        <v>42</v>
      </c>
      <c r="AP927" t="s">
        <v>230</v>
      </c>
      <c r="AQ927" t="s">
        <v>231</v>
      </c>
      <c r="AT927" t="s">
        <v>232</v>
      </c>
      <c r="AU927">
        <v>-99</v>
      </c>
      <c r="AV927" t="s">
        <v>45</v>
      </c>
      <c r="AW927">
        <v>-2955</v>
      </c>
      <c r="AX927">
        <v>42164475</v>
      </c>
      <c r="AY927" s="73">
        <v>45360.25</v>
      </c>
      <c r="AZ927" t="s">
        <v>226</v>
      </c>
      <c r="BA927" t="s">
        <v>499</v>
      </c>
      <c r="BB927" t="s">
        <v>228</v>
      </c>
      <c r="BC927" t="s">
        <v>229</v>
      </c>
      <c r="BD927" t="s">
        <v>42</v>
      </c>
      <c r="BI927" t="s">
        <v>233</v>
      </c>
      <c r="BJ927" t="s">
        <v>0</v>
      </c>
      <c r="BK927">
        <v>42164439</v>
      </c>
      <c r="BN927" t="s">
        <v>45</v>
      </c>
      <c r="BR927">
        <v>-2955</v>
      </c>
      <c r="BS927">
        <v>42164475</v>
      </c>
      <c r="BT927" s="73">
        <v>45360.25</v>
      </c>
      <c r="BU927" t="s">
        <v>226</v>
      </c>
      <c r="BV927" t="s">
        <v>499</v>
      </c>
      <c r="BW927" t="s">
        <v>228</v>
      </c>
      <c r="CH927" t="s">
        <v>229</v>
      </c>
      <c r="CI927" t="s">
        <v>42</v>
      </c>
      <c r="CJ927" t="s">
        <v>226</v>
      </c>
      <c r="CK927" t="s">
        <v>499</v>
      </c>
      <c r="CL927" t="s">
        <v>228</v>
      </c>
      <c r="CM927" t="s">
        <v>234</v>
      </c>
      <c r="CN927" t="s">
        <v>45</v>
      </c>
      <c r="CO927">
        <v>-2955</v>
      </c>
      <c r="CP927">
        <v>42164475</v>
      </c>
      <c r="CQ927" s="73">
        <v>45360.25</v>
      </c>
      <c r="CR927" t="s">
        <v>229</v>
      </c>
      <c r="CS927" t="s">
        <v>42</v>
      </c>
      <c r="CU927" t="s">
        <v>225</v>
      </c>
    </row>
    <row r="928" spans="1:99">
      <c r="A928" t="s">
        <v>99</v>
      </c>
      <c r="B928" t="s">
        <v>98</v>
      </c>
      <c r="J928" t="s">
        <v>225</v>
      </c>
      <c r="K928" t="s">
        <v>225</v>
      </c>
      <c r="M928" s="73">
        <v>45360.25</v>
      </c>
      <c r="N928">
        <v>42164474</v>
      </c>
      <c r="O928">
        <v>-147.5</v>
      </c>
      <c r="P928" t="s">
        <v>73</v>
      </c>
      <c r="Q928">
        <v>-147.5</v>
      </c>
      <c r="R928" t="s">
        <v>73</v>
      </c>
      <c r="U928" t="s">
        <v>226</v>
      </c>
      <c r="V928" t="s">
        <v>499</v>
      </c>
      <c r="W928" t="s">
        <v>228</v>
      </c>
      <c r="X928" t="s">
        <v>229</v>
      </c>
      <c r="Y928" t="s">
        <v>99</v>
      </c>
      <c r="AD928" t="s">
        <v>73</v>
      </c>
      <c r="AE928">
        <v>-147.5</v>
      </c>
      <c r="AF928">
        <v>42164474</v>
      </c>
      <c r="AG928" s="73">
        <v>45360.25</v>
      </c>
      <c r="AH928" t="s">
        <v>226</v>
      </c>
      <c r="AI928" t="s">
        <v>499</v>
      </c>
      <c r="AJ928" t="s">
        <v>228</v>
      </c>
      <c r="AK928" t="s">
        <v>229</v>
      </c>
      <c r="AL928" t="s">
        <v>99</v>
      </c>
      <c r="AP928" t="s">
        <v>230</v>
      </c>
      <c r="AQ928" t="s">
        <v>231</v>
      </c>
      <c r="AT928" t="s">
        <v>232</v>
      </c>
      <c r="AU928">
        <v>-99</v>
      </c>
      <c r="AV928" t="s">
        <v>73</v>
      </c>
      <c r="AW928">
        <v>-147.5</v>
      </c>
      <c r="AX928">
        <v>42164474</v>
      </c>
      <c r="AY928" s="73">
        <v>45360.25</v>
      </c>
      <c r="AZ928" t="s">
        <v>226</v>
      </c>
      <c r="BA928" t="s">
        <v>499</v>
      </c>
      <c r="BB928" t="s">
        <v>228</v>
      </c>
      <c r="BC928" t="s">
        <v>229</v>
      </c>
      <c r="BD928" t="s">
        <v>99</v>
      </c>
      <c r="BI928" t="s">
        <v>233</v>
      </c>
      <c r="BJ928" t="s">
        <v>0</v>
      </c>
      <c r="BK928">
        <v>42164439</v>
      </c>
      <c r="BN928" t="s">
        <v>73</v>
      </c>
      <c r="BR928">
        <v>-147.5</v>
      </c>
      <c r="BS928">
        <v>42164474</v>
      </c>
      <c r="BT928" s="73">
        <v>45360.25</v>
      </c>
      <c r="BU928" t="s">
        <v>226</v>
      </c>
      <c r="BV928" t="s">
        <v>499</v>
      </c>
      <c r="BW928" t="s">
        <v>228</v>
      </c>
      <c r="CH928" t="s">
        <v>229</v>
      </c>
      <c r="CI928" t="s">
        <v>99</v>
      </c>
      <c r="CJ928" t="s">
        <v>226</v>
      </c>
      <c r="CK928" t="s">
        <v>499</v>
      </c>
      <c r="CL928" t="s">
        <v>228</v>
      </c>
      <c r="CM928" t="s">
        <v>234</v>
      </c>
      <c r="CN928" t="s">
        <v>73</v>
      </c>
      <c r="CO928">
        <v>-147.5</v>
      </c>
      <c r="CP928">
        <v>42164474</v>
      </c>
      <c r="CQ928" s="73">
        <v>45360.25</v>
      </c>
      <c r="CR928" t="s">
        <v>229</v>
      </c>
      <c r="CS928" t="s">
        <v>99</v>
      </c>
      <c r="CU928" t="s">
        <v>225</v>
      </c>
    </row>
    <row r="929" spans="1:99">
      <c r="A929" t="s">
        <v>103</v>
      </c>
      <c r="B929" t="s">
        <v>98</v>
      </c>
      <c r="J929" t="s">
        <v>225</v>
      </c>
      <c r="K929" t="s">
        <v>225</v>
      </c>
      <c r="M929" s="73">
        <v>45360.25</v>
      </c>
      <c r="N929">
        <v>42164473</v>
      </c>
      <c r="O929">
        <v>2950</v>
      </c>
      <c r="P929" t="s">
        <v>104</v>
      </c>
      <c r="Q929">
        <v>2950</v>
      </c>
      <c r="R929" t="s">
        <v>104</v>
      </c>
      <c r="S929">
        <v>147.5</v>
      </c>
      <c r="T929" t="s">
        <v>73</v>
      </c>
      <c r="U929" t="s">
        <v>226</v>
      </c>
      <c r="V929" t="s">
        <v>499</v>
      </c>
      <c r="W929" t="s">
        <v>235</v>
      </c>
      <c r="X929" t="s">
        <v>229</v>
      </c>
      <c r="Y929" t="s">
        <v>103</v>
      </c>
      <c r="AD929" t="s">
        <v>104</v>
      </c>
      <c r="AE929">
        <v>2950</v>
      </c>
      <c r="AF929">
        <v>42164473</v>
      </c>
      <c r="AG929" s="73">
        <v>45360.25</v>
      </c>
      <c r="AH929" t="s">
        <v>226</v>
      </c>
      <c r="AI929" t="s">
        <v>499</v>
      </c>
      <c r="AJ929" t="s">
        <v>235</v>
      </c>
      <c r="AK929" t="s">
        <v>229</v>
      </c>
      <c r="AL929" t="s">
        <v>103</v>
      </c>
      <c r="AP929" t="s">
        <v>230</v>
      </c>
      <c r="AQ929" t="s">
        <v>231</v>
      </c>
      <c r="AT929" t="s">
        <v>232</v>
      </c>
      <c r="AU929">
        <v>-99</v>
      </c>
      <c r="AV929" t="s">
        <v>104</v>
      </c>
      <c r="AW929">
        <v>2950</v>
      </c>
      <c r="AX929">
        <v>42164473</v>
      </c>
      <c r="AY929" s="73">
        <v>45360.25</v>
      </c>
      <c r="AZ929" t="s">
        <v>226</v>
      </c>
      <c r="BA929" t="s">
        <v>499</v>
      </c>
      <c r="BB929" t="s">
        <v>235</v>
      </c>
      <c r="BC929" t="s">
        <v>229</v>
      </c>
      <c r="BD929" t="s">
        <v>103</v>
      </c>
      <c r="BI929" t="s">
        <v>233</v>
      </c>
      <c r="BJ929" t="s">
        <v>0</v>
      </c>
      <c r="BK929">
        <v>42164439</v>
      </c>
      <c r="BN929" t="s">
        <v>104</v>
      </c>
      <c r="BO929">
        <v>42164453</v>
      </c>
      <c r="BR929">
        <v>2950</v>
      </c>
      <c r="BS929">
        <v>42164473</v>
      </c>
      <c r="BT929" s="73">
        <v>45360.25</v>
      </c>
      <c r="BU929" t="s">
        <v>226</v>
      </c>
      <c r="BV929" t="s">
        <v>499</v>
      </c>
      <c r="BW929" t="s">
        <v>235</v>
      </c>
      <c r="CH929" t="s">
        <v>229</v>
      </c>
      <c r="CI929" t="s">
        <v>103</v>
      </c>
      <c r="CJ929" t="s">
        <v>226</v>
      </c>
      <c r="CK929" t="s">
        <v>499</v>
      </c>
      <c r="CL929" t="s">
        <v>235</v>
      </c>
      <c r="CM929" t="s">
        <v>236</v>
      </c>
      <c r="CN929" t="s">
        <v>104</v>
      </c>
      <c r="CO929">
        <v>2950</v>
      </c>
      <c r="CP929">
        <v>42164473</v>
      </c>
      <c r="CQ929" s="73">
        <v>45360.25</v>
      </c>
      <c r="CR929" t="s">
        <v>229</v>
      </c>
      <c r="CS929" t="s">
        <v>103</v>
      </c>
      <c r="CU929" t="s">
        <v>225</v>
      </c>
    </row>
    <row r="930" spans="1:99">
      <c r="A930" t="s">
        <v>111</v>
      </c>
      <c r="B930" t="s">
        <v>77</v>
      </c>
      <c r="J930" t="s">
        <v>225</v>
      </c>
      <c r="K930" t="s">
        <v>225</v>
      </c>
      <c r="M930" s="73">
        <v>45360.25</v>
      </c>
      <c r="N930">
        <v>42164472</v>
      </c>
      <c r="O930">
        <v>5</v>
      </c>
      <c r="P930" t="s">
        <v>45</v>
      </c>
      <c r="Q930">
        <v>5</v>
      </c>
      <c r="R930" t="s">
        <v>45</v>
      </c>
      <c r="U930" t="s">
        <v>226</v>
      </c>
      <c r="V930" t="s">
        <v>499</v>
      </c>
      <c r="W930" t="s">
        <v>237</v>
      </c>
      <c r="X930" t="s">
        <v>229</v>
      </c>
      <c r="Y930" t="s">
        <v>111</v>
      </c>
      <c r="AD930" t="s">
        <v>45</v>
      </c>
      <c r="AE930">
        <v>5</v>
      </c>
      <c r="AF930">
        <v>42164472</v>
      </c>
      <c r="AG930" s="73">
        <v>45360.25</v>
      </c>
      <c r="AH930" t="s">
        <v>226</v>
      </c>
      <c r="AI930" t="s">
        <v>499</v>
      </c>
      <c r="AJ930" t="s">
        <v>237</v>
      </c>
      <c r="AK930" t="s">
        <v>229</v>
      </c>
      <c r="AL930" t="s">
        <v>111</v>
      </c>
      <c r="AP930" t="s">
        <v>230</v>
      </c>
      <c r="AQ930" t="s">
        <v>231</v>
      </c>
      <c r="AT930" t="s">
        <v>232</v>
      </c>
      <c r="AU930">
        <v>-99</v>
      </c>
      <c r="AV930" t="s">
        <v>45</v>
      </c>
      <c r="AW930">
        <v>5</v>
      </c>
      <c r="AX930">
        <v>42164472</v>
      </c>
      <c r="AY930" s="73">
        <v>45360.25</v>
      </c>
      <c r="AZ930" t="s">
        <v>226</v>
      </c>
      <c r="BA930" t="s">
        <v>499</v>
      </c>
      <c r="BB930" t="s">
        <v>237</v>
      </c>
      <c r="BC930" t="s">
        <v>229</v>
      </c>
      <c r="BD930" t="s">
        <v>111</v>
      </c>
      <c r="BI930" t="s">
        <v>233</v>
      </c>
      <c r="BJ930" t="s">
        <v>0</v>
      </c>
      <c r="BK930">
        <v>42164439</v>
      </c>
      <c r="BN930" t="s">
        <v>45</v>
      </c>
      <c r="BO930">
        <v>42164465</v>
      </c>
      <c r="BR930">
        <v>5</v>
      </c>
      <c r="BS930">
        <v>42164472</v>
      </c>
      <c r="BT930" s="73">
        <v>45360.25</v>
      </c>
      <c r="BU930" t="s">
        <v>226</v>
      </c>
      <c r="BV930" t="s">
        <v>499</v>
      </c>
      <c r="BW930" t="s">
        <v>237</v>
      </c>
      <c r="CH930" t="s">
        <v>229</v>
      </c>
      <c r="CI930" t="s">
        <v>111</v>
      </c>
      <c r="CJ930" t="s">
        <v>226</v>
      </c>
      <c r="CK930" t="s">
        <v>499</v>
      </c>
      <c r="CL930" t="s">
        <v>237</v>
      </c>
      <c r="CM930" t="s">
        <v>236</v>
      </c>
      <c r="CN930" t="s">
        <v>45</v>
      </c>
      <c r="CO930">
        <v>5</v>
      </c>
      <c r="CP930">
        <v>42164472</v>
      </c>
      <c r="CQ930" s="73">
        <v>45360.25</v>
      </c>
      <c r="CR930" t="s">
        <v>229</v>
      </c>
      <c r="CS930" t="s">
        <v>111</v>
      </c>
      <c r="CU930" t="s">
        <v>225</v>
      </c>
    </row>
    <row r="931" spans="1:99">
      <c r="A931" t="s">
        <v>46</v>
      </c>
      <c r="B931" t="s">
        <v>92</v>
      </c>
      <c r="J931" t="s">
        <v>225</v>
      </c>
      <c r="K931" t="s">
        <v>225</v>
      </c>
      <c r="M931" s="73">
        <v>45360.25</v>
      </c>
      <c r="N931">
        <v>42164357</v>
      </c>
      <c r="O931">
        <v>-100</v>
      </c>
      <c r="P931" t="s">
        <v>45</v>
      </c>
      <c r="Q931">
        <v>-100</v>
      </c>
      <c r="R931" t="s">
        <v>45</v>
      </c>
      <c r="U931" t="s">
        <v>226</v>
      </c>
      <c r="V931" t="s">
        <v>500</v>
      </c>
      <c r="W931" t="s">
        <v>228</v>
      </c>
      <c r="X931" t="s">
        <v>229</v>
      </c>
      <c r="Y931" t="s">
        <v>46</v>
      </c>
      <c r="AD931" t="s">
        <v>45</v>
      </c>
      <c r="AE931">
        <v>-100</v>
      </c>
      <c r="AF931">
        <v>42164357</v>
      </c>
      <c r="AG931" s="73">
        <v>45360.25</v>
      </c>
      <c r="AH931" t="s">
        <v>226</v>
      </c>
      <c r="AI931" t="s">
        <v>500</v>
      </c>
      <c r="AJ931" t="s">
        <v>228</v>
      </c>
      <c r="AK931" t="s">
        <v>229</v>
      </c>
      <c r="AL931" t="s">
        <v>46</v>
      </c>
      <c r="AP931" t="s">
        <v>230</v>
      </c>
      <c r="AQ931" t="s">
        <v>231</v>
      </c>
      <c r="AT931" t="s">
        <v>232</v>
      </c>
      <c r="AU931">
        <v>-99</v>
      </c>
      <c r="AV931" t="s">
        <v>45</v>
      </c>
      <c r="AW931">
        <v>-100</v>
      </c>
      <c r="AX931">
        <v>42164357</v>
      </c>
      <c r="AY931" s="73">
        <v>45360.25</v>
      </c>
      <c r="AZ931" t="s">
        <v>226</v>
      </c>
      <c r="BA931" t="s">
        <v>500</v>
      </c>
      <c r="BB931" t="s">
        <v>228</v>
      </c>
      <c r="BC931" t="s">
        <v>229</v>
      </c>
      <c r="BD931" t="s">
        <v>46</v>
      </c>
      <c r="BI931" t="s">
        <v>233</v>
      </c>
      <c r="BJ931" t="s">
        <v>0</v>
      </c>
      <c r="BK931">
        <v>42164328</v>
      </c>
      <c r="BN931" t="s">
        <v>45</v>
      </c>
      <c r="BR931">
        <v>-100</v>
      </c>
      <c r="BS931">
        <v>42164357</v>
      </c>
      <c r="BT931" s="73">
        <v>45360.25</v>
      </c>
      <c r="BU931" t="s">
        <v>226</v>
      </c>
      <c r="BV931" t="s">
        <v>500</v>
      </c>
      <c r="BW931" t="s">
        <v>228</v>
      </c>
      <c r="CH931" t="s">
        <v>229</v>
      </c>
      <c r="CI931" t="s">
        <v>46</v>
      </c>
      <c r="CJ931" t="s">
        <v>226</v>
      </c>
      <c r="CK931" t="s">
        <v>500</v>
      </c>
      <c r="CL931" t="s">
        <v>228</v>
      </c>
      <c r="CM931" t="s">
        <v>234</v>
      </c>
      <c r="CN931" t="s">
        <v>45</v>
      </c>
      <c r="CO931">
        <v>-100</v>
      </c>
      <c r="CP931">
        <v>42164357</v>
      </c>
      <c r="CQ931" s="73">
        <v>45360.25</v>
      </c>
      <c r="CR931" t="s">
        <v>229</v>
      </c>
      <c r="CS931" t="s">
        <v>46</v>
      </c>
      <c r="CU931" t="s">
        <v>225</v>
      </c>
    </row>
    <row r="932" spans="1:99">
      <c r="A932" t="s">
        <v>93</v>
      </c>
      <c r="B932" t="s">
        <v>98</v>
      </c>
      <c r="J932" t="s">
        <v>225</v>
      </c>
      <c r="K932" t="s">
        <v>225</v>
      </c>
      <c r="M932" s="73">
        <v>45360.25</v>
      </c>
      <c r="N932">
        <v>42164356</v>
      </c>
      <c r="O932">
        <v>-5</v>
      </c>
      <c r="P932" t="s">
        <v>73</v>
      </c>
      <c r="Q932">
        <v>-5</v>
      </c>
      <c r="R932" t="s">
        <v>73</v>
      </c>
      <c r="U932" t="s">
        <v>226</v>
      </c>
      <c r="V932" t="s">
        <v>500</v>
      </c>
      <c r="W932" t="s">
        <v>228</v>
      </c>
      <c r="X932" t="s">
        <v>229</v>
      </c>
      <c r="Y932" t="s">
        <v>93</v>
      </c>
      <c r="AD932" t="s">
        <v>73</v>
      </c>
      <c r="AE932">
        <v>-5</v>
      </c>
      <c r="AF932">
        <v>42164356</v>
      </c>
      <c r="AG932" s="73">
        <v>45360.25</v>
      </c>
      <c r="AH932" t="s">
        <v>226</v>
      </c>
      <c r="AI932" t="s">
        <v>500</v>
      </c>
      <c r="AJ932" t="s">
        <v>228</v>
      </c>
      <c r="AK932" t="s">
        <v>229</v>
      </c>
      <c r="AL932" t="s">
        <v>93</v>
      </c>
      <c r="AP932" t="s">
        <v>230</v>
      </c>
      <c r="AQ932" t="s">
        <v>231</v>
      </c>
      <c r="AT932" t="s">
        <v>232</v>
      </c>
      <c r="AU932">
        <v>-99</v>
      </c>
      <c r="AV932" t="s">
        <v>73</v>
      </c>
      <c r="AW932">
        <v>-5</v>
      </c>
      <c r="AX932">
        <v>42164356</v>
      </c>
      <c r="AY932" s="73">
        <v>45360.25</v>
      </c>
      <c r="AZ932" t="s">
        <v>226</v>
      </c>
      <c r="BA932" t="s">
        <v>500</v>
      </c>
      <c r="BB932" t="s">
        <v>228</v>
      </c>
      <c r="BC932" t="s">
        <v>229</v>
      </c>
      <c r="BD932" t="s">
        <v>93</v>
      </c>
      <c r="BI932" t="s">
        <v>233</v>
      </c>
      <c r="BJ932" t="s">
        <v>0</v>
      </c>
      <c r="BK932">
        <v>42164328</v>
      </c>
      <c r="BN932" t="s">
        <v>73</v>
      </c>
      <c r="BR932">
        <v>-5</v>
      </c>
      <c r="BS932">
        <v>42164356</v>
      </c>
      <c r="BT932" s="73">
        <v>45360.25</v>
      </c>
      <c r="BU932" t="s">
        <v>226</v>
      </c>
      <c r="BV932" t="s">
        <v>500</v>
      </c>
      <c r="BW932" t="s">
        <v>228</v>
      </c>
      <c r="CH932" t="s">
        <v>229</v>
      </c>
      <c r="CI932" t="s">
        <v>93</v>
      </c>
      <c r="CJ932" t="s">
        <v>226</v>
      </c>
      <c r="CK932" t="s">
        <v>500</v>
      </c>
      <c r="CL932" t="s">
        <v>228</v>
      </c>
      <c r="CM932" t="s">
        <v>234</v>
      </c>
      <c r="CN932" t="s">
        <v>73</v>
      </c>
      <c r="CO932">
        <v>-5</v>
      </c>
      <c r="CP932">
        <v>42164356</v>
      </c>
      <c r="CQ932" s="73">
        <v>45360.25</v>
      </c>
      <c r="CR932" t="s">
        <v>229</v>
      </c>
      <c r="CS932" t="s">
        <v>93</v>
      </c>
      <c r="CU932" t="s">
        <v>225</v>
      </c>
    </row>
    <row r="933" spans="1:99">
      <c r="A933" t="s">
        <v>108</v>
      </c>
      <c r="B933" t="s">
        <v>98</v>
      </c>
      <c r="J933" t="s">
        <v>225</v>
      </c>
      <c r="K933" t="s">
        <v>225</v>
      </c>
      <c r="M933" s="73">
        <v>45360.25</v>
      </c>
      <c r="N933">
        <v>42164355</v>
      </c>
      <c r="O933">
        <v>100</v>
      </c>
      <c r="P933" t="s">
        <v>104</v>
      </c>
      <c r="Q933">
        <v>100</v>
      </c>
      <c r="R933" t="s">
        <v>104</v>
      </c>
      <c r="S933">
        <v>5</v>
      </c>
      <c r="T933" t="s">
        <v>73</v>
      </c>
      <c r="U933" t="s">
        <v>226</v>
      </c>
      <c r="V933" t="s">
        <v>500</v>
      </c>
      <c r="W933" t="s">
        <v>235</v>
      </c>
      <c r="X933" t="s">
        <v>229</v>
      </c>
      <c r="Y933" t="s">
        <v>108</v>
      </c>
      <c r="AD933" t="s">
        <v>104</v>
      </c>
      <c r="AE933">
        <v>100</v>
      </c>
      <c r="AF933">
        <v>42164355</v>
      </c>
      <c r="AG933" s="73">
        <v>45360.25</v>
      </c>
      <c r="AH933" t="s">
        <v>226</v>
      </c>
      <c r="AI933" t="s">
        <v>500</v>
      </c>
      <c r="AJ933" t="s">
        <v>235</v>
      </c>
      <c r="AK933" t="s">
        <v>229</v>
      </c>
      <c r="AL933" t="s">
        <v>108</v>
      </c>
      <c r="AP933" t="s">
        <v>230</v>
      </c>
      <c r="AQ933" t="s">
        <v>231</v>
      </c>
      <c r="AT933" t="s">
        <v>232</v>
      </c>
      <c r="AU933">
        <v>-99</v>
      </c>
      <c r="AV933" t="s">
        <v>104</v>
      </c>
      <c r="AW933">
        <v>100</v>
      </c>
      <c r="AX933">
        <v>42164355</v>
      </c>
      <c r="AY933" s="73">
        <v>45360.25</v>
      </c>
      <c r="AZ933" t="s">
        <v>226</v>
      </c>
      <c r="BA933" t="s">
        <v>500</v>
      </c>
      <c r="BB933" t="s">
        <v>235</v>
      </c>
      <c r="BC933" t="s">
        <v>229</v>
      </c>
      <c r="BD933" t="s">
        <v>108</v>
      </c>
      <c r="BI933" t="s">
        <v>233</v>
      </c>
      <c r="BJ933" t="s">
        <v>0</v>
      </c>
      <c r="BK933">
        <v>42164328</v>
      </c>
      <c r="BN933" t="s">
        <v>104</v>
      </c>
      <c r="BO933">
        <v>42164334</v>
      </c>
      <c r="BR933">
        <v>100</v>
      </c>
      <c r="BS933">
        <v>42164355</v>
      </c>
      <c r="BT933" s="73">
        <v>45360.25</v>
      </c>
      <c r="BU933" t="s">
        <v>226</v>
      </c>
      <c r="BV933" t="s">
        <v>500</v>
      </c>
      <c r="BW933" t="s">
        <v>235</v>
      </c>
      <c r="CH933" t="s">
        <v>229</v>
      </c>
      <c r="CI933" t="s">
        <v>108</v>
      </c>
      <c r="CJ933" t="s">
        <v>226</v>
      </c>
      <c r="CK933" t="s">
        <v>500</v>
      </c>
      <c r="CL933" t="s">
        <v>235</v>
      </c>
      <c r="CM933" t="s">
        <v>236</v>
      </c>
      <c r="CN933" t="s">
        <v>104</v>
      </c>
      <c r="CO933">
        <v>100</v>
      </c>
      <c r="CP933">
        <v>42164355</v>
      </c>
      <c r="CQ933" s="73">
        <v>45360.25</v>
      </c>
      <c r="CR933" t="s">
        <v>229</v>
      </c>
      <c r="CS933" t="s">
        <v>108</v>
      </c>
      <c r="CU933" t="s">
        <v>225</v>
      </c>
    </row>
    <row r="934" spans="1:99">
      <c r="A934" t="s">
        <v>42</v>
      </c>
      <c r="B934" t="s">
        <v>92</v>
      </c>
      <c r="J934" t="s">
        <v>225</v>
      </c>
      <c r="K934" t="s">
        <v>225</v>
      </c>
      <c r="M934" s="73">
        <v>45359.950694444444</v>
      </c>
      <c r="N934">
        <v>42154189</v>
      </c>
      <c r="O934">
        <v>-7607</v>
      </c>
      <c r="P934" t="s">
        <v>45</v>
      </c>
      <c r="Q934">
        <v>-7607</v>
      </c>
      <c r="R934" t="s">
        <v>45</v>
      </c>
      <c r="U934" t="s">
        <v>226</v>
      </c>
      <c r="V934" t="s">
        <v>501</v>
      </c>
      <c r="W934" t="s">
        <v>228</v>
      </c>
      <c r="X934" t="s">
        <v>229</v>
      </c>
      <c r="Y934" t="s">
        <v>42</v>
      </c>
      <c r="AD934" t="s">
        <v>45</v>
      </c>
      <c r="AE934">
        <v>-7607</v>
      </c>
      <c r="AF934">
        <v>42154189</v>
      </c>
      <c r="AG934" s="73">
        <v>45359.950694444444</v>
      </c>
      <c r="AH934" t="s">
        <v>226</v>
      </c>
      <c r="AI934" t="s">
        <v>501</v>
      </c>
      <c r="AJ934" t="s">
        <v>228</v>
      </c>
      <c r="AK934" t="s">
        <v>229</v>
      </c>
      <c r="AL934" t="s">
        <v>42</v>
      </c>
      <c r="AP934" t="s">
        <v>230</v>
      </c>
      <c r="AQ934" t="s">
        <v>231</v>
      </c>
      <c r="AT934" t="s">
        <v>232</v>
      </c>
      <c r="AU934">
        <v>-99</v>
      </c>
      <c r="AV934" t="s">
        <v>45</v>
      </c>
      <c r="AW934">
        <v>-7607</v>
      </c>
      <c r="AX934">
        <v>42154189</v>
      </c>
      <c r="AY934" s="73">
        <v>45359.950694444444</v>
      </c>
      <c r="AZ934" t="s">
        <v>226</v>
      </c>
      <c r="BA934" t="s">
        <v>501</v>
      </c>
      <c r="BB934" t="s">
        <v>228</v>
      </c>
      <c r="BC934" t="s">
        <v>229</v>
      </c>
      <c r="BD934" t="s">
        <v>42</v>
      </c>
      <c r="BI934" t="s">
        <v>233</v>
      </c>
      <c r="BJ934" t="s">
        <v>0</v>
      </c>
      <c r="BK934">
        <v>42154173</v>
      </c>
      <c r="BN934" t="s">
        <v>45</v>
      </c>
      <c r="BR934">
        <v>-7607</v>
      </c>
      <c r="BS934">
        <v>42154189</v>
      </c>
      <c r="BT934" s="73">
        <v>45359.950694444444</v>
      </c>
      <c r="BU934" t="s">
        <v>226</v>
      </c>
      <c r="BV934" t="s">
        <v>501</v>
      </c>
      <c r="BW934" t="s">
        <v>228</v>
      </c>
      <c r="CH934" t="s">
        <v>229</v>
      </c>
      <c r="CI934" t="s">
        <v>42</v>
      </c>
      <c r="CJ934" t="s">
        <v>226</v>
      </c>
      <c r="CK934" t="s">
        <v>501</v>
      </c>
      <c r="CL934" t="s">
        <v>228</v>
      </c>
      <c r="CM934" t="s">
        <v>234</v>
      </c>
      <c r="CN934" t="s">
        <v>45</v>
      </c>
      <c r="CO934">
        <v>-7607</v>
      </c>
      <c r="CP934">
        <v>42154189</v>
      </c>
      <c r="CQ934" s="73">
        <v>45359.950694444444</v>
      </c>
      <c r="CR934" t="s">
        <v>229</v>
      </c>
      <c r="CS934" t="s">
        <v>42</v>
      </c>
      <c r="CU934" t="s">
        <v>225</v>
      </c>
    </row>
    <row r="935" spans="1:99">
      <c r="A935" t="s">
        <v>99</v>
      </c>
      <c r="B935" t="s">
        <v>98</v>
      </c>
      <c r="J935" t="s">
        <v>225</v>
      </c>
      <c r="K935" t="s">
        <v>225</v>
      </c>
      <c r="M935" s="73">
        <v>45359.950694444444</v>
      </c>
      <c r="N935">
        <v>42154188</v>
      </c>
      <c r="O935">
        <v>-380</v>
      </c>
      <c r="P935" t="s">
        <v>73</v>
      </c>
      <c r="Q935">
        <v>-380</v>
      </c>
      <c r="R935" t="s">
        <v>73</v>
      </c>
      <c r="U935" t="s">
        <v>226</v>
      </c>
      <c r="V935" t="s">
        <v>501</v>
      </c>
      <c r="W935" t="s">
        <v>228</v>
      </c>
      <c r="X935" t="s">
        <v>229</v>
      </c>
      <c r="Y935" t="s">
        <v>99</v>
      </c>
      <c r="AD935" t="s">
        <v>73</v>
      </c>
      <c r="AE935">
        <v>-380</v>
      </c>
      <c r="AF935">
        <v>42154188</v>
      </c>
      <c r="AG935" s="73">
        <v>45359.950694444444</v>
      </c>
      <c r="AH935" t="s">
        <v>226</v>
      </c>
      <c r="AI935" t="s">
        <v>501</v>
      </c>
      <c r="AJ935" t="s">
        <v>228</v>
      </c>
      <c r="AK935" t="s">
        <v>229</v>
      </c>
      <c r="AL935" t="s">
        <v>99</v>
      </c>
      <c r="AP935" t="s">
        <v>230</v>
      </c>
      <c r="AQ935" t="s">
        <v>231</v>
      </c>
      <c r="AT935" t="s">
        <v>232</v>
      </c>
      <c r="AU935">
        <v>-99</v>
      </c>
      <c r="AV935" t="s">
        <v>73</v>
      </c>
      <c r="AW935">
        <v>-380</v>
      </c>
      <c r="AX935">
        <v>42154188</v>
      </c>
      <c r="AY935" s="73">
        <v>45359.950694444444</v>
      </c>
      <c r="AZ935" t="s">
        <v>226</v>
      </c>
      <c r="BA935" t="s">
        <v>501</v>
      </c>
      <c r="BB935" t="s">
        <v>228</v>
      </c>
      <c r="BC935" t="s">
        <v>229</v>
      </c>
      <c r="BD935" t="s">
        <v>99</v>
      </c>
      <c r="BI935" t="s">
        <v>233</v>
      </c>
      <c r="BJ935" t="s">
        <v>0</v>
      </c>
      <c r="BK935">
        <v>42154173</v>
      </c>
      <c r="BN935" t="s">
        <v>73</v>
      </c>
      <c r="BR935">
        <v>-380</v>
      </c>
      <c r="BS935">
        <v>42154188</v>
      </c>
      <c r="BT935" s="73">
        <v>45359.950694444444</v>
      </c>
      <c r="BU935" t="s">
        <v>226</v>
      </c>
      <c r="BV935" t="s">
        <v>501</v>
      </c>
      <c r="BW935" t="s">
        <v>228</v>
      </c>
      <c r="CH935" t="s">
        <v>229</v>
      </c>
      <c r="CI935" t="s">
        <v>99</v>
      </c>
      <c r="CJ935" t="s">
        <v>226</v>
      </c>
      <c r="CK935" t="s">
        <v>501</v>
      </c>
      <c r="CL935" t="s">
        <v>228</v>
      </c>
      <c r="CM935" t="s">
        <v>234</v>
      </c>
      <c r="CN935" t="s">
        <v>73</v>
      </c>
      <c r="CO935">
        <v>-380</v>
      </c>
      <c r="CP935">
        <v>42154188</v>
      </c>
      <c r="CQ935" s="73">
        <v>45359.950694444444</v>
      </c>
      <c r="CR935" t="s">
        <v>229</v>
      </c>
      <c r="CS935" t="s">
        <v>99</v>
      </c>
      <c r="CU935" t="s">
        <v>225</v>
      </c>
    </row>
    <row r="936" spans="1:99">
      <c r="A936" t="s">
        <v>103</v>
      </c>
      <c r="B936" t="s">
        <v>98</v>
      </c>
      <c r="J936" t="s">
        <v>225</v>
      </c>
      <c r="K936" t="s">
        <v>225</v>
      </c>
      <c r="M936" s="73">
        <v>45359.950694444444</v>
      </c>
      <c r="N936">
        <v>42154187</v>
      </c>
      <c r="O936">
        <v>7600</v>
      </c>
      <c r="P936" t="s">
        <v>104</v>
      </c>
      <c r="Q936">
        <v>7600</v>
      </c>
      <c r="R936" t="s">
        <v>104</v>
      </c>
      <c r="S936">
        <v>380</v>
      </c>
      <c r="T936" t="s">
        <v>73</v>
      </c>
      <c r="U936" t="s">
        <v>226</v>
      </c>
      <c r="V936" t="s">
        <v>501</v>
      </c>
      <c r="W936" t="s">
        <v>235</v>
      </c>
      <c r="X936" t="s">
        <v>229</v>
      </c>
      <c r="Y936" t="s">
        <v>103</v>
      </c>
      <c r="AD936" t="s">
        <v>104</v>
      </c>
      <c r="AE936">
        <v>7600</v>
      </c>
      <c r="AF936">
        <v>42154187</v>
      </c>
      <c r="AG936" s="73">
        <v>45359.950694444444</v>
      </c>
      <c r="AH936" t="s">
        <v>226</v>
      </c>
      <c r="AI936" t="s">
        <v>501</v>
      </c>
      <c r="AJ936" t="s">
        <v>235</v>
      </c>
      <c r="AK936" t="s">
        <v>229</v>
      </c>
      <c r="AL936" t="s">
        <v>103</v>
      </c>
      <c r="AP936" t="s">
        <v>230</v>
      </c>
      <c r="AQ936" t="s">
        <v>231</v>
      </c>
      <c r="AT936" t="s">
        <v>232</v>
      </c>
      <c r="AU936">
        <v>-99</v>
      </c>
      <c r="AV936" t="s">
        <v>104</v>
      </c>
      <c r="AW936">
        <v>7600</v>
      </c>
      <c r="AX936">
        <v>42154187</v>
      </c>
      <c r="AY936" s="73">
        <v>45359.950694444444</v>
      </c>
      <c r="AZ936" t="s">
        <v>226</v>
      </c>
      <c r="BA936" t="s">
        <v>501</v>
      </c>
      <c r="BB936" t="s">
        <v>235</v>
      </c>
      <c r="BC936" t="s">
        <v>229</v>
      </c>
      <c r="BD936" t="s">
        <v>103</v>
      </c>
      <c r="BI936" t="s">
        <v>233</v>
      </c>
      <c r="BJ936" t="s">
        <v>0</v>
      </c>
      <c r="BK936">
        <v>42154173</v>
      </c>
      <c r="BN936" t="s">
        <v>104</v>
      </c>
      <c r="BO936">
        <v>42154179</v>
      </c>
      <c r="BR936">
        <v>7600</v>
      </c>
      <c r="BS936">
        <v>42154187</v>
      </c>
      <c r="BT936" s="73">
        <v>45359.950694444444</v>
      </c>
      <c r="BU936" t="s">
        <v>226</v>
      </c>
      <c r="BV936" t="s">
        <v>501</v>
      </c>
      <c r="BW936" t="s">
        <v>235</v>
      </c>
      <c r="CH936" t="s">
        <v>229</v>
      </c>
      <c r="CI936" t="s">
        <v>103</v>
      </c>
      <c r="CJ936" t="s">
        <v>226</v>
      </c>
      <c r="CK936" t="s">
        <v>501</v>
      </c>
      <c r="CL936" t="s">
        <v>235</v>
      </c>
      <c r="CM936" t="s">
        <v>236</v>
      </c>
      <c r="CN936" t="s">
        <v>104</v>
      </c>
      <c r="CO936">
        <v>7600</v>
      </c>
      <c r="CP936">
        <v>42154187</v>
      </c>
      <c r="CQ936" s="73">
        <v>45359.950694444444</v>
      </c>
      <c r="CR936" t="s">
        <v>229</v>
      </c>
      <c r="CS936" t="s">
        <v>103</v>
      </c>
      <c r="CU936" t="s">
        <v>225</v>
      </c>
    </row>
    <row r="937" spans="1:99">
      <c r="A937" t="s">
        <v>111</v>
      </c>
      <c r="B937" t="s">
        <v>77</v>
      </c>
      <c r="J937" t="s">
        <v>225</v>
      </c>
      <c r="K937" t="s">
        <v>225</v>
      </c>
      <c r="M937" s="73">
        <v>45359.950694444444</v>
      </c>
      <c r="N937">
        <v>42154186</v>
      </c>
      <c r="O937">
        <v>7</v>
      </c>
      <c r="P937" t="s">
        <v>45</v>
      </c>
      <c r="Q937">
        <v>7</v>
      </c>
      <c r="R937" t="s">
        <v>45</v>
      </c>
      <c r="U937" t="s">
        <v>226</v>
      </c>
      <c r="V937" t="s">
        <v>501</v>
      </c>
      <c r="W937" t="s">
        <v>237</v>
      </c>
      <c r="X937" t="s">
        <v>229</v>
      </c>
      <c r="Y937" t="s">
        <v>111</v>
      </c>
      <c r="AD937" t="s">
        <v>45</v>
      </c>
      <c r="AE937">
        <v>7</v>
      </c>
      <c r="AF937">
        <v>42154186</v>
      </c>
      <c r="AG937" s="73">
        <v>45359.950694444444</v>
      </c>
      <c r="AH937" t="s">
        <v>226</v>
      </c>
      <c r="AI937" t="s">
        <v>501</v>
      </c>
      <c r="AJ937" t="s">
        <v>237</v>
      </c>
      <c r="AK937" t="s">
        <v>229</v>
      </c>
      <c r="AL937" t="s">
        <v>111</v>
      </c>
      <c r="AP937" t="s">
        <v>230</v>
      </c>
      <c r="AQ937" t="s">
        <v>231</v>
      </c>
      <c r="AT937" t="s">
        <v>232</v>
      </c>
      <c r="AU937">
        <v>-99</v>
      </c>
      <c r="AV937" t="s">
        <v>45</v>
      </c>
      <c r="AW937">
        <v>7</v>
      </c>
      <c r="AX937">
        <v>42154186</v>
      </c>
      <c r="AY937" s="73">
        <v>45359.950694444444</v>
      </c>
      <c r="AZ937" t="s">
        <v>226</v>
      </c>
      <c r="BA937" t="s">
        <v>501</v>
      </c>
      <c r="BB937" t="s">
        <v>237</v>
      </c>
      <c r="BC937" t="s">
        <v>229</v>
      </c>
      <c r="BD937" t="s">
        <v>111</v>
      </c>
      <c r="BI937" t="s">
        <v>233</v>
      </c>
      <c r="BJ937" t="s">
        <v>0</v>
      </c>
      <c r="BK937">
        <v>42154173</v>
      </c>
      <c r="BN937" t="s">
        <v>45</v>
      </c>
      <c r="BO937">
        <v>42154181</v>
      </c>
      <c r="BR937">
        <v>7</v>
      </c>
      <c r="BS937">
        <v>42154186</v>
      </c>
      <c r="BT937" s="73">
        <v>45359.950694444444</v>
      </c>
      <c r="BU937" t="s">
        <v>226</v>
      </c>
      <c r="BV937" t="s">
        <v>501</v>
      </c>
      <c r="BW937" t="s">
        <v>237</v>
      </c>
      <c r="CH937" t="s">
        <v>229</v>
      </c>
      <c r="CI937" t="s">
        <v>111</v>
      </c>
      <c r="CJ937" t="s">
        <v>226</v>
      </c>
      <c r="CK937" t="s">
        <v>501</v>
      </c>
      <c r="CL937" t="s">
        <v>237</v>
      </c>
      <c r="CM937" t="s">
        <v>236</v>
      </c>
      <c r="CN937" t="s">
        <v>45</v>
      </c>
      <c r="CO937">
        <v>7</v>
      </c>
      <c r="CP937">
        <v>42154186</v>
      </c>
      <c r="CQ937" s="73">
        <v>45359.950694444444</v>
      </c>
      <c r="CR937" t="s">
        <v>229</v>
      </c>
      <c r="CS937" t="s">
        <v>111</v>
      </c>
      <c r="CU937" t="s">
        <v>225</v>
      </c>
    </row>
    <row r="938" spans="1:99">
      <c r="A938" t="s">
        <v>42</v>
      </c>
      <c r="B938" t="s">
        <v>92</v>
      </c>
      <c r="J938" t="s">
        <v>225</v>
      </c>
      <c r="K938" t="s">
        <v>225</v>
      </c>
      <c r="M938" s="73">
        <v>45359.927083333336</v>
      </c>
      <c r="N938">
        <v>42154442</v>
      </c>
      <c r="O938">
        <v>-4853</v>
      </c>
      <c r="P938" t="s">
        <v>45</v>
      </c>
      <c r="Q938">
        <v>-4853</v>
      </c>
      <c r="R938" t="s">
        <v>45</v>
      </c>
      <c r="U938" t="s">
        <v>226</v>
      </c>
      <c r="V938" t="s">
        <v>502</v>
      </c>
      <c r="W938" t="s">
        <v>228</v>
      </c>
      <c r="X938" t="s">
        <v>229</v>
      </c>
      <c r="Y938" t="s">
        <v>42</v>
      </c>
      <c r="AD938" t="s">
        <v>45</v>
      </c>
      <c r="AE938">
        <v>-4853</v>
      </c>
      <c r="AF938">
        <v>42154442</v>
      </c>
      <c r="AG938" s="73">
        <v>45359.927083333336</v>
      </c>
      <c r="AH938" t="s">
        <v>226</v>
      </c>
      <c r="AI938" t="s">
        <v>502</v>
      </c>
      <c r="AJ938" t="s">
        <v>228</v>
      </c>
      <c r="AK938" t="s">
        <v>229</v>
      </c>
      <c r="AL938" t="s">
        <v>42</v>
      </c>
      <c r="AP938" t="s">
        <v>230</v>
      </c>
      <c r="AQ938" t="s">
        <v>231</v>
      </c>
      <c r="AT938" t="s">
        <v>232</v>
      </c>
      <c r="AU938">
        <v>-99</v>
      </c>
      <c r="AV938" t="s">
        <v>45</v>
      </c>
      <c r="AW938">
        <v>-4853</v>
      </c>
      <c r="AX938">
        <v>42154442</v>
      </c>
      <c r="AY938" s="73">
        <v>45359.927083333336</v>
      </c>
      <c r="AZ938" t="s">
        <v>226</v>
      </c>
      <c r="BA938" t="s">
        <v>502</v>
      </c>
      <c r="BB938" t="s">
        <v>228</v>
      </c>
      <c r="BC938" t="s">
        <v>229</v>
      </c>
      <c r="BD938" t="s">
        <v>42</v>
      </c>
      <c r="BI938" t="s">
        <v>233</v>
      </c>
      <c r="BJ938" t="s">
        <v>0</v>
      </c>
      <c r="BK938">
        <v>42154426</v>
      </c>
      <c r="BN938" t="s">
        <v>45</v>
      </c>
      <c r="BR938">
        <v>-4853</v>
      </c>
      <c r="BS938">
        <v>42154442</v>
      </c>
      <c r="BT938" s="73">
        <v>45359.927083333336</v>
      </c>
      <c r="BU938" t="s">
        <v>226</v>
      </c>
      <c r="BV938" t="s">
        <v>502</v>
      </c>
      <c r="BW938" t="s">
        <v>228</v>
      </c>
      <c r="CH938" t="s">
        <v>229</v>
      </c>
      <c r="CI938" t="s">
        <v>42</v>
      </c>
      <c r="CJ938" t="s">
        <v>226</v>
      </c>
      <c r="CK938" t="s">
        <v>502</v>
      </c>
      <c r="CL938" t="s">
        <v>228</v>
      </c>
      <c r="CM938" t="s">
        <v>234</v>
      </c>
      <c r="CN938" t="s">
        <v>45</v>
      </c>
      <c r="CO938">
        <v>-4853</v>
      </c>
      <c r="CP938">
        <v>42154442</v>
      </c>
      <c r="CQ938" s="73">
        <v>45359.927083333336</v>
      </c>
      <c r="CR938" t="s">
        <v>229</v>
      </c>
      <c r="CS938" t="s">
        <v>42</v>
      </c>
      <c r="CU938" t="s">
        <v>225</v>
      </c>
    </row>
    <row r="939" spans="1:99">
      <c r="A939" t="s">
        <v>99</v>
      </c>
      <c r="B939" t="s">
        <v>98</v>
      </c>
      <c r="J939" t="s">
        <v>225</v>
      </c>
      <c r="K939" t="s">
        <v>225</v>
      </c>
      <c r="M939" s="73">
        <v>45359.927083333336</v>
      </c>
      <c r="N939">
        <v>42154441</v>
      </c>
      <c r="O939">
        <v>-242.5</v>
      </c>
      <c r="P939" t="s">
        <v>73</v>
      </c>
      <c r="Q939">
        <v>-242.5</v>
      </c>
      <c r="R939" t="s">
        <v>73</v>
      </c>
      <c r="U939" t="s">
        <v>226</v>
      </c>
      <c r="V939" t="s">
        <v>502</v>
      </c>
      <c r="W939" t="s">
        <v>228</v>
      </c>
      <c r="X939" t="s">
        <v>229</v>
      </c>
      <c r="Y939" t="s">
        <v>99</v>
      </c>
      <c r="AD939" t="s">
        <v>73</v>
      </c>
      <c r="AE939">
        <v>-242.5</v>
      </c>
      <c r="AF939">
        <v>42154441</v>
      </c>
      <c r="AG939" s="73">
        <v>45359.927083333336</v>
      </c>
      <c r="AH939" t="s">
        <v>226</v>
      </c>
      <c r="AI939" t="s">
        <v>502</v>
      </c>
      <c r="AJ939" t="s">
        <v>228</v>
      </c>
      <c r="AK939" t="s">
        <v>229</v>
      </c>
      <c r="AL939" t="s">
        <v>99</v>
      </c>
      <c r="AP939" t="s">
        <v>230</v>
      </c>
      <c r="AQ939" t="s">
        <v>231</v>
      </c>
      <c r="AT939" t="s">
        <v>232</v>
      </c>
      <c r="AU939">
        <v>-99</v>
      </c>
      <c r="AV939" t="s">
        <v>73</v>
      </c>
      <c r="AW939">
        <v>-242.5</v>
      </c>
      <c r="AX939">
        <v>42154441</v>
      </c>
      <c r="AY939" s="73">
        <v>45359.927083333336</v>
      </c>
      <c r="AZ939" t="s">
        <v>226</v>
      </c>
      <c r="BA939" t="s">
        <v>502</v>
      </c>
      <c r="BB939" t="s">
        <v>228</v>
      </c>
      <c r="BC939" t="s">
        <v>229</v>
      </c>
      <c r="BD939" t="s">
        <v>99</v>
      </c>
      <c r="BI939" t="s">
        <v>233</v>
      </c>
      <c r="BJ939" t="s">
        <v>0</v>
      </c>
      <c r="BK939">
        <v>42154426</v>
      </c>
      <c r="BN939" t="s">
        <v>73</v>
      </c>
      <c r="BR939">
        <v>-242.5</v>
      </c>
      <c r="BS939">
        <v>42154441</v>
      </c>
      <c r="BT939" s="73">
        <v>45359.927083333336</v>
      </c>
      <c r="BU939" t="s">
        <v>226</v>
      </c>
      <c r="BV939" t="s">
        <v>502</v>
      </c>
      <c r="BW939" t="s">
        <v>228</v>
      </c>
      <c r="CH939" t="s">
        <v>229</v>
      </c>
      <c r="CI939" t="s">
        <v>99</v>
      </c>
      <c r="CJ939" t="s">
        <v>226</v>
      </c>
      <c r="CK939" t="s">
        <v>502</v>
      </c>
      <c r="CL939" t="s">
        <v>228</v>
      </c>
      <c r="CM939" t="s">
        <v>234</v>
      </c>
      <c r="CN939" t="s">
        <v>73</v>
      </c>
      <c r="CO939">
        <v>-242.5</v>
      </c>
      <c r="CP939">
        <v>42154441</v>
      </c>
      <c r="CQ939" s="73">
        <v>45359.927083333336</v>
      </c>
      <c r="CR939" t="s">
        <v>229</v>
      </c>
      <c r="CS939" t="s">
        <v>99</v>
      </c>
      <c r="CU939" t="s">
        <v>225</v>
      </c>
    </row>
    <row r="940" spans="1:99">
      <c r="A940" t="s">
        <v>103</v>
      </c>
      <c r="B940" t="s">
        <v>98</v>
      </c>
      <c r="J940" t="s">
        <v>225</v>
      </c>
      <c r="K940" t="s">
        <v>225</v>
      </c>
      <c r="M940" s="73">
        <v>45359.927083333336</v>
      </c>
      <c r="N940">
        <v>42154440</v>
      </c>
      <c r="O940">
        <v>4850</v>
      </c>
      <c r="P940" t="s">
        <v>104</v>
      </c>
      <c r="Q940">
        <v>4850</v>
      </c>
      <c r="R940" t="s">
        <v>104</v>
      </c>
      <c r="S940">
        <v>242.5</v>
      </c>
      <c r="T940" t="s">
        <v>73</v>
      </c>
      <c r="U940" t="s">
        <v>226</v>
      </c>
      <c r="V940" t="s">
        <v>502</v>
      </c>
      <c r="W940" t="s">
        <v>235</v>
      </c>
      <c r="X940" t="s">
        <v>229</v>
      </c>
      <c r="Y940" t="s">
        <v>103</v>
      </c>
      <c r="AD940" t="s">
        <v>104</v>
      </c>
      <c r="AE940">
        <v>4850</v>
      </c>
      <c r="AF940">
        <v>42154440</v>
      </c>
      <c r="AG940" s="73">
        <v>45359.927083333336</v>
      </c>
      <c r="AH940" t="s">
        <v>226</v>
      </c>
      <c r="AI940" t="s">
        <v>502</v>
      </c>
      <c r="AJ940" t="s">
        <v>235</v>
      </c>
      <c r="AK940" t="s">
        <v>229</v>
      </c>
      <c r="AL940" t="s">
        <v>103</v>
      </c>
      <c r="AP940" t="s">
        <v>230</v>
      </c>
      <c r="AQ940" t="s">
        <v>231</v>
      </c>
      <c r="AT940" t="s">
        <v>232</v>
      </c>
      <c r="AU940">
        <v>-99</v>
      </c>
      <c r="AV940" t="s">
        <v>104</v>
      </c>
      <c r="AW940">
        <v>4850</v>
      </c>
      <c r="AX940">
        <v>42154440</v>
      </c>
      <c r="AY940" s="73">
        <v>45359.927083333336</v>
      </c>
      <c r="AZ940" t="s">
        <v>226</v>
      </c>
      <c r="BA940" t="s">
        <v>502</v>
      </c>
      <c r="BB940" t="s">
        <v>235</v>
      </c>
      <c r="BC940" t="s">
        <v>229</v>
      </c>
      <c r="BD940" t="s">
        <v>103</v>
      </c>
      <c r="BI940" t="s">
        <v>233</v>
      </c>
      <c r="BJ940" t="s">
        <v>0</v>
      </c>
      <c r="BK940">
        <v>42154426</v>
      </c>
      <c r="BN940" t="s">
        <v>104</v>
      </c>
      <c r="BO940">
        <v>42154432</v>
      </c>
      <c r="BR940">
        <v>4850</v>
      </c>
      <c r="BS940">
        <v>42154440</v>
      </c>
      <c r="BT940" s="73">
        <v>45359.927083333336</v>
      </c>
      <c r="BU940" t="s">
        <v>226</v>
      </c>
      <c r="BV940" t="s">
        <v>502</v>
      </c>
      <c r="BW940" t="s">
        <v>235</v>
      </c>
      <c r="CH940" t="s">
        <v>229</v>
      </c>
      <c r="CI940" t="s">
        <v>103</v>
      </c>
      <c r="CJ940" t="s">
        <v>226</v>
      </c>
      <c r="CK940" t="s">
        <v>502</v>
      </c>
      <c r="CL940" t="s">
        <v>235</v>
      </c>
      <c r="CM940" t="s">
        <v>236</v>
      </c>
      <c r="CN940" t="s">
        <v>104</v>
      </c>
      <c r="CO940">
        <v>4850</v>
      </c>
      <c r="CP940">
        <v>42154440</v>
      </c>
      <c r="CQ940" s="73">
        <v>45359.927083333336</v>
      </c>
      <c r="CR940" t="s">
        <v>229</v>
      </c>
      <c r="CS940" t="s">
        <v>103</v>
      </c>
      <c r="CU940" t="s">
        <v>225</v>
      </c>
    </row>
    <row r="941" spans="1:99">
      <c r="A941" t="s">
        <v>111</v>
      </c>
      <c r="B941" t="s">
        <v>77</v>
      </c>
      <c r="J941" t="s">
        <v>225</v>
      </c>
      <c r="K941" t="s">
        <v>225</v>
      </c>
      <c r="M941" s="73">
        <v>45359.927083333336</v>
      </c>
      <c r="N941">
        <v>42154439</v>
      </c>
      <c r="O941">
        <v>3</v>
      </c>
      <c r="P941" t="s">
        <v>45</v>
      </c>
      <c r="Q941">
        <v>3</v>
      </c>
      <c r="R941" t="s">
        <v>45</v>
      </c>
      <c r="U941" t="s">
        <v>226</v>
      </c>
      <c r="V941" t="s">
        <v>502</v>
      </c>
      <c r="W941" t="s">
        <v>237</v>
      </c>
      <c r="X941" t="s">
        <v>229</v>
      </c>
      <c r="Y941" t="s">
        <v>111</v>
      </c>
      <c r="AD941" t="s">
        <v>45</v>
      </c>
      <c r="AE941">
        <v>3</v>
      </c>
      <c r="AF941">
        <v>42154439</v>
      </c>
      <c r="AG941" s="73">
        <v>45359.927083333336</v>
      </c>
      <c r="AH941" t="s">
        <v>226</v>
      </c>
      <c r="AI941" t="s">
        <v>502</v>
      </c>
      <c r="AJ941" t="s">
        <v>237</v>
      </c>
      <c r="AK941" t="s">
        <v>229</v>
      </c>
      <c r="AL941" t="s">
        <v>111</v>
      </c>
      <c r="AP941" t="s">
        <v>230</v>
      </c>
      <c r="AQ941" t="s">
        <v>231</v>
      </c>
      <c r="AT941" t="s">
        <v>232</v>
      </c>
      <c r="AU941">
        <v>-99</v>
      </c>
      <c r="AV941" t="s">
        <v>45</v>
      </c>
      <c r="AW941">
        <v>3</v>
      </c>
      <c r="AX941">
        <v>42154439</v>
      </c>
      <c r="AY941" s="73">
        <v>45359.927083333336</v>
      </c>
      <c r="AZ941" t="s">
        <v>226</v>
      </c>
      <c r="BA941" t="s">
        <v>502</v>
      </c>
      <c r="BB941" t="s">
        <v>237</v>
      </c>
      <c r="BC941" t="s">
        <v>229</v>
      </c>
      <c r="BD941" t="s">
        <v>111</v>
      </c>
      <c r="BI941" t="s">
        <v>233</v>
      </c>
      <c r="BJ941" t="s">
        <v>0</v>
      </c>
      <c r="BK941">
        <v>42154426</v>
      </c>
      <c r="BN941" t="s">
        <v>45</v>
      </c>
      <c r="BO941">
        <v>42154434</v>
      </c>
      <c r="BR941">
        <v>3</v>
      </c>
      <c r="BS941">
        <v>42154439</v>
      </c>
      <c r="BT941" s="73">
        <v>45359.927083333336</v>
      </c>
      <c r="BU941" t="s">
        <v>226</v>
      </c>
      <c r="BV941" t="s">
        <v>502</v>
      </c>
      <c r="BW941" t="s">
        <v>237</v>
      </c>
      <c r="CH941" t="s">
        <v>229</v>
      </c>
      <c r="CI941" t="s">
        <v>111</v>
      </c>
      <c r="CJ941" t="s">
        <v>226</v>
      </c>
      <c r="CK941" t="s">
        <v>502</v>
      </c>
      <c r="CL941" t="s">
        <v>237</v>
      </c>
      <c r="CM941" t="s">
        <v>236</v>
      </c>
      <c r="CN941" t="s">
        <v>45</v>
      </c>
      <c r="CO941">
        <v>3</v>
      </c>
      <c r="CP941">
        <v>42154439</v>
      </c>
      <c r="CQ941" s="73">
        <v>45359.927083333336</v>
      </c>
      <c r="CR941" t="s">
        <v>229</v>
      </c>
      <c r="CS941" t="s">
        <v>111</v>
      </c>
      <c r="CU941" t="s">
        <v>225</v>
      </c>
    </row>
    <row r="942" spans="1:99">
      <c r="A942" t="s">
        <v>113</v>
      </c>
      <c r="B942" t="s">
        <v>90</v>
      </c>
      <c r="J942" t="s">
        <v>225</v>
      </c>
      <c r="K942" t="s">
        <v>225</v>
      </c>
      <c r="M942" s="73">
        <v>45359.923622685186</v>
      </c>
      <c r="N942">
        <v>42165617</v>
      </c>
      <c r="O942">
        <v>-300</v>
      </c>
      <c r="P942" t="s">
        <v>115</v>
      </c>
      <c r="Q942">
        <v>-300</v>
      </c>
      <c r="R942" t="s">
        <v>115</v>
      </c>
      <c r="U942" t="s">
        <v>226</v>
      </c>
      <c r="V942" t="s">
        <v>503</v>
      </c>
      <c r="W942" t="s">
        <v>228</v>
      </c>
      <c r="X942" t="s">
        <v>229</v>
      </c>
      <c r="Y942" t="s">
        <v>113</v>
      </c>
      <c r="AD942" t="s">
        <v>115</v>
      </c>
      <c r="AE942">
        <v>-300</v>
      </c>
      <c r="AF942">
        <v>42165617</v>
      </c>
      <c r="AG942" s="73">
        <v>45359.923622685186</v>
      </c>
      <c r="AH942" t="s">
        <v>226</v>
      </c>
      <c r="AI942" t="s">
        <v>503</v>
      </c>
      <c r="AJ942" t="s">
        <v>228</v>
      </c>
      <c r="AK942" t="s">
        <v>229</v>
      </c>
      <c r="AL942" t="s">
        <v>113</v>
      </c>
      <c r="AP942" t="s">
        <v>230</v>
      </c>
      <c r="AQ942" t="s">
        <v>231</v>
      </c>
      <c r="AT942" t="s">
        <v>232</v>
      </c>
      <c r="AU942">
        <v>-99</v>
      </c>
      <c r="AV942" t="s">
        <v>115</v>
      </c>
      <c r="AW942">
        <v>-300</v>
      </c>
      <c r="AX942">
        <v>42165617</v>
      </c>
      <c r="AY942" s="73">
        <v>45359.923622685186</v>
      </c>
      <c r="AZ942" t="s">
        <v>226</v>
      </c>
      <c r="BA942" t="s">
        <v>503</v>
      </c>
      <c r="BB942" t="s">
        <v>228</v>
      </c>
      <c r="BC942" t="s">
        <v>229</v>
      </c>
      <c r="BD942" t="s">
        <v>113</v>
      </c>
      <c r="BI942" t="s">
        <v>233</v>
      </c>
      <c r="BJ942" t="s">
        <v>0</v>
      </c>
      <c r="BK942">
        <v>42165602</v>
      </c>
      <c r="BN942" t="s">
        <v>115</v>
      </c>
      <c r="BR942">
        <v>-300</v>
      </c>
      <c r="BS942">
        <v>42165617</v>
      </c>
      <c r="BT942" s="73">
        <v>45359.923622685186</v>
      </c>
      <c r="BU942" t="s">
        <v>226</v>
      </c>
      <c r="BV942" t="s">
        <v>503</v>
      </c>
      <c r="BW942" t="s">
        <v>228</v>
      </c>
      <c r="CH942" t="s">
        <v>229</v>
      </c>
      <c r="CI942" t="s">
        <v>113</v>
      </c>
      <c r="CJ942" t="s">
        <v>226</v>
      </c>
      <c r="CK942" t="s">
        <v>503</v>
      </c>
      <c r="CL942" t="s">
        <v>228</v>
      </c>
      <c r="CM942" t="s">
        <v>234</v>
      </c>
      <c r="CN942" t="s">
        <v>115</v>
      </c>
      <c r="CO942">
        <v>-300</v>
      </c>
      <c r="CP942">
        <v>42165617</v>
      </c>
      <c r="CQ942" s="73">
        <v>45359.923622685186</v>
      </c>
      <c r="CR942" t="s">
        <v>229</v>
      </c>
      <c r="CS942" t="s">
        <v>113</v>
      </c>
      <c r="CU942" t="s">
        <v>225</v>
      </c>
    </row>
    <row r="943" spans="1:99">
      <c r="A943" t="s">
        <v>129</v>
      </c>
      <c r="B943" t="s">
        <v>90</v>
      </c>
      <c r="J943" t="s">
        <v>225</v>
      </c>
      <c r="K943" t="s">
        <v>225</v>
      </c>
      <c r="M943" s="73">
        <v>45359.923622685186</v>
      </c>
      <c r="N943">
        <v>42165616</v>
      </c>
      <c r="O943">
        <v>-6</v>
      </c>
      <c r="P943" t="s">
        <v>73</v>
      </c>
      <c r="Q943">
        <v>-6</v>
      </c>
      <c r="R943" t="s">
        <v>73</v>
      </c>
      <c r="U943" t="s">
        <v>226</v>
      </c>
      <c r="V943" t="s">
        <v>503</v>
      </c>
      <c r="W943" t="s">
        <v>228</v>
      </c>
      <c r="X943" t="s">
        <v>229</v>
      </c>
      <c r="Y943" t="s">
        <v>129</v>
      </c>
      <c r="AD943" t="s">
        <v>73</v>
      </c>
      <c r="AE943">
        <v>-6</v>
      </c>
      <c r="AF943">
        <v>42165616</v>
      </c>
      <c r="AG943" s="73">
        <v>45359.923622685186</v>
      </c>
      <c r="AH943" t="s">
        <v>226</v>
      </c>
      <c r="AI943" t="s">
        <v>503</v>
      </c>
      <c r="AJ943" t="s">
        <v>228</v>
      </c>
      <c r="AK943" t="s">
        <v>229</v>
      </c>
      <c r="AL943" t="s">
        <v>129</v>
      </c>
      <c r="AP943" t="s">
        <v>230</v>
      </c>
      <c r="AQ943" t="s">
        <v>231</v>
      </c>
      <c r="AT943" t="s">
        <v>232</v>
      </c>
      <c r="AU943">
        <v>-99</v>
      </c>
      <c r="AV943" t="s">
        <v>73</v>
      </c>
      <c r="AW943">
        <v>-6</v>
      </c>
      <c r="AX943">
        <v>42165616</v>
      </c>
      <c r="AY943" s="73">
        <v>45359.923622685186</v>
      </c>
      <c r="AZ943" t="s">
        <v>226</v>
      </c>
      <c r="BA943" t="s">
        <v>503</v>
      </c>
      <c r="BB943" t="s">
        <v>228</v>
      </c>
      <c r="BC943" t="s">
        <v>229</v>
      </c>
      <c r="BD943" t="s">
        <v>129</v>
      </c>
      <c r="BI943" t="s">
        <v>233</v>
      </c>
      <c r="BJ943" t="s">
        <v>0</v>
      </c>
      <c r="BK943">
        <v>42165602</v>
      </c>
      <c r="BN943" t="s">
        <v>73</v>
      </c>
      <c r="BR943">
        <v>-6</v>
      </c>
      <c r="BS943">
        <v>42165616</v>
      </c>
      <c r="BT943" s="73">
        <v>45359.923622685186</v>
      </c>
      <c r="BU943" t="s">
        <v>226</v>
      </c>
      <c r="BV943" t="s">
        <v>503</v>
      </c>
      <c r="BW943" t="s">
        <v>228</v>
      </c>
      <c r="CH943" t="s">
        <v>229</v>
      </c>
      <c r="CI943" t="s">
        <v>129</v>
      </c>
      <c r="CJ943" t="s">
        <v>226</v>
      </c>
      <c r="CK943" t="s">
        <v>503</v>
      </c>
      <c r="CL943" t="s">
        <v>228</v>
      </c>
      <c r="CM943" t="s">
        <v>234</v>
      </c>
      <c r="CN943" t="s">
        <v>73</v>
      </c>
      <c r="CO943">
        <v>-6</v>
      </c>
      <c r="CP943">
        <v>42165616</v>
      </c>
      <c r="CQ943" s="73">
        <v>45359.923622685186</v>
      </c>
      <c r="CR943" t="s">
        <v>229</v>
      </c>
      <c r="CS943" t="s">
        <v>129</v>
      </c>
      <c r="CU943" t="s">
        <v>225</v>
      </c>
    </row>
    <row r="944" spans="1:99">
      <c r="A944" t="s">
        <v>99</v>
      </c>
      <c r="B944" t="s">
        <v>98</v>
      </c>
      <c r="J944" t="s">
        <v>225</v>
      </c>
      <c r="K944" t="s">
        <v>225</v>
      </c>
      <c r="M944" s="73">
        <v>45359.923622685186</v>
      </c>
      <c r="N944">
        <v>42165541</v>
      </c>
      <c r="O944">
        <v>1448.25</v>
      </c>
      <c r="P944" t="s">
        <v>73</v>
      </c>
      <c r="Q944">
        <v>1448.25</v>
      </c>
      <c r="R944" t="s">
        <v>73</v>
      </c>
      <c r="U944" t="s">
        <v>226</v>
      </c>
      <c r="V944" t="s">
        <v>503</v>
      </c>
      <c r="W944" t="s">
        <v>235</v>
      </c>
      <c r="X944" t="s">
        <v>229</v>
      </c>
      <c r="Y944" t="s">
        <v>99</v>
      </c>
      <c r="AD944" t="s">
        <v>73</v>
      </c>
      <c r="AE944">
        <v>1448.25</v>
      </c>
      <c r="AF944">
        <v>42165541</v>
      </c>
      <c r="AG944" s="73">
        <v>45359.923622685186</v>
      </c>
      <c r="AH944" t="s">
        <v>226</v>
      </c>
      <c r="AI944" t="s">
        <v>503</v>
      </c>
      <c r="AJ944" t="s">
        <v>235</v>
      </c>
      <c r="AK944" t="s">
        <v>229</v>
      </c>
      <c r="AL944" t="s">
        <v>99</v>
      </c>
      <c r="AP944" t="s">
        <v>230</v>
      </c>
      <c r="AQ944" t="s">
        <v>231</v>
      </c>
      <c r="AT944" t="s">
        <v>232</v>
      </c>
      <c r="AU944">
        <v>-99</v>
      </c>
      <c r="AV944" t="s">
        <v>73</v>
      </c>
      <c r="AW944">
        <v>1448.25</v>
      </c>
      <c r="AX944">
        <v>42165541</v>
      </c>
      <c r="AY944" s="73">
        <v>45359.923622685186</v>
      </c>
      <c r="AZ944" t="s">
        <v>226</v>
      </c>
      <c r="BA944" t="s">
        <v>503</v>
      </c>
      <c r="BB944" t="s">
        <v>235</v>
      </c>
      <c r="BC944" t="s">
        <v>229</v>
      </c>
      <c r="BD944" t="s">
        <v>99</v>
      </c>
      <c r="BI944" t="s">
        <v>233</v>
      </c>
      <c r="BJ944" t="s">
        <v>0</v>
      </c>
      <c r="BK944">
        <v>42165537</v>
      </c>
      <c r="BN944" t="s">
        <v>73</v>
      </c>
      <c r="BO944">
        <v>42165539</v>
      </c>
      <c r="BR944">
        <v>1448.25</v>
      </c>
      <c r="BS944">
        <v>42165541</v>
      </c>
      <c r="BT944" s="73">
        <v>45359.923622685186</v>
      </c>
      <c r="BU944" t="s">
        <v>226</v>
      </c>
      <c r="BV944" t="s">
        <v>503</v>
      </c>
      <c r="BW944" t="s">
        <v>235</v>
      </c>
      <c r="CH944" t="s">
        <v>229</v>
      </c>
      <c r="CI944" t="s">
        <v>99</v>
      </c>
      <c r="CJ944" t="s">
        <v>226</v>
      </c>
      <c r="CK944" t="s">
        <v>503</v>
      </c>
      <c r="CL944" t="s">
        <v>235</v>
      </c>
      <c r="CM944" t="s">
        <v>236</v>
      </c>
      <c r="CN944" t="s">
        <v>73</v>
      </c>
      <c r="CO944">
        <v>1448.25</v>
      </c>
      <c r="CP944">
        <v>42165541</v>
      </c>
      <c r="CQ944" s="73">
        <v>45359.923622685186</v>
      </c>
      <c r="CR944" t="s">
        <v>229</v>
      </c>
      <c r="CS944" t="s">
        <v>99</v>
      </c>
      <c r="CU944" t="s">
        <v>225</v>
      </c>
    </row>
    <row r="945" spans="1:99">
      <c r="A945" t="s">
        <v>71</v>
      </c>
      <c r="B945" t="s">
        <v>77</v>
      </c>
      <c r="J945" t="s">
        <v>225</v>
      </c>
      <c r="K945" t="s">
        <v>225</v>
      </c>
      <c r="M945" s="73">
        <v>45359.923622685186</v>
      </c>
      <c r="N945">
        <v>42165534</v>
      </c>
      <c r="O945">
        <v>1.3</v>
      </c>
      <c r="P945" t="s">
        <v>73</v>
      </c>
      <c r="Q945">
        <v>1.3</v>
      </c>
      <c r="R945" t="s">
        <v>73</v>
      </c>
      <c r="U945" t="s">
        <v>226</v>
      </c>
      <c r="V945" t="s">
        <v>503</v>
      </c>
      <c r="W945" t="s">
        <v>237</v>
      </c>
      <c r="X945" t="s">
        <v>229</v>
      </c>
      <c r="Y945" t="s">
        <v>71</v>
      </c>
      <c r="AD945" t="s">
        <v>73</v>
      </c>
      <c r="AE945">
        <v>1.3</v>
      </c>
      <c r="AF945">
        <v>42165534</v>
      </c>
      <c r="AG945" s="73">
        <v>45359.923622685186</v>
      </c>
      <c r="AH945" t="s">
        <v>226</v>
      </c>
      <c r="AI945" t="s">
        <v>503</v>
      </c>
      <c r="AJ945" t="s">
        <v>237</v>
      </c>
      <c r="AK945" t="s">
        <v>229</v>
      </c>
      <c r="AL945" t="s">
        <v>71</v>
      </c>
      <c r="AP945" t="s">
        <v>230</v>
      </c>
      <c r="AQ945" t="s">
        <v>231</v>
      </c>
      <c r="AT945" t="s">
        <v>232</v>
      </c>
      <c r="AU945">
        <v>-99</v>
      </c>
      <c r="AV945" t="s">
        <v>73</v>
      </c>
      <c r="AW945">
        <v>1.3</v>
      </c>
      <c r="AX945">
        <v>42165534</v>
      </c>
      <c r="AY945" s="73">
        <v>45359.923622685186</v>
      </c>
      <c r="AZ945" t="s">
        <v>226</v>
      </c>
      <c r="BA945" t="s">
        <v>503</v>
      </c>
      <c r="BB945" t="s">
        <v>237</v>
      </c>
      <c r="BC945" t="s">
        <v>229</v>
      </c>
      <c r="BD945" t="s">
        <v>71</v>
      </c>
      <c r="BI945" t="s">
        <v>233</v>
      </c>
      <c r="BJ945" t="s">
        <v>0</v>
      </c>
      <c r="BK945">
        <v>42165530</v>
      </c>
      <c r="BN945" t="s">
        <v>73</v>
      </c>
      <c r="BO945">
        <v>42165532</v>
      </c>
      <c r="BR945">
        <v>1.3</v>
      </c>
      <c r="BS945">
        <v>42165534</v>
      </c>
      <c r="BT945" s="73">
        <v>45359.923622685186</v>
      </c>
      <c r="BU945" t="s">
        <v>226</v>
      </c>
      <c r="BV945" t="s">
        <v>503</v>
      </c>
      <c r="BW945" t="s">
        <v>237</v>
      </c>
      <c r="CH945" t="s">
        <v>229</v>
      </c>
      <c r="CI945" t="s">
        <v>71</v>
      </c>
      <c r="CJ945" t="s">
        <v>226</v>
      </c>
      <c r="CK945" t="s">
        <v>503</v>
      </c>
      <c r="CL945" t="s">
        <v>237</v>
      </c>
      <c r="CM945" t="s">
        <v>236</v>
      </c>
      <c r="CN945" t="s">
        <v>73</v>
      </c>
      <c r="CO945">
        <v>1.3</v>
      </c>
      <c r="CP945">
        <v>42165534</v>
      </c>
      <c r="CQ945" s="73">
        <v>45359.923622685186</v>
      </c>
      <c r="CR945" t="s">
        <v>229</v>
      </c>
      <c r="CS945" t="s">
        <v>71</v>
      </c>
      <c r="CU945" t="s">
        <v>225</v>
      </c>
    </row>
    <row r="946" spans="1:99">
      <c r="A946" t="s">
        <v>87</v>
      </c>
      <c r="B946" t="s">
        <v>90</v>
      </c>
      <c r="J946" t="s">
        <v>225</v>
      </c>
      <c r="K946" t="s">
        <v>225</v>
      </c>
      <c r="M946" s="73">
        <v>45359.923622685186</v>
      </c>
      <c r="N946">
        <v>42165527</v>
      </c>
      <c r="O946">
        <v>-60</v>
      </c>
      <c r="P946" t="s">
        <v>73</v>
      </c>
      <c r="Q946">
        <v>-60</v>
      </c>
      <c r="R946" t="s">
        <v>73</v>
      </c>
      <c r="U946" t="s">
        <v>226</v>
      </c>
      <c r="V946" t="s">
        <v>503</v>
      </c>
      <c r="W946" t="s">
        <v>228</v>
      </c>
      <c r="X946" t="s">
        <v>229</v>
      </c>
      <c r="Y946" t="s">
        <v>87</v>
      </c>
      <c r="AD946" t="s">
        <v>73</v>
      </c>
      <c r="AE946">
        <v>-60</v>
      </c>
      <c r="AF946">
        <v>42165527</v>
      </c>
      <c r="AG946" s="73">
        <v>45359.923622685186</v>
      </c>
      <c r="AH946" t="s">
        <v>226</v>
      </c>
      <c r="AI946" t="s">
        <v>503</v>
      </c>
      <c r="AJ946" t="s">
        <v>228</v>
      </c>
      <c r="AK946" t="s">
        <v>229</v>
      </c>
      <c r="AL946" t="s">
        <v>87</v>
      </c>
      <c r="AP946" t="s">
        <v>230</v>
      </c>
      <c r="AQ946" t="s">
        <v>231</v>
      </c>
      <c r="AT946" t="s">
        <v>232</v>
      </c>
      <c r="AU946">
        <v>-99</v>
      </c>
      <c r="AV946" t="s">
        <v>73</v>
      </c>
      <c r="AW946">
        <v>-60</v>
      </c>
      <c r="AX946">
        <v>42165527</v>
      </c>
      <c r="AY946" s="73">
        <v>45359.923622685186</v>
      </c>
      <c r="AZ946" t="s">
        <v>226</v>
      </c>
      <c r="BA946" t="s">
        <v>503</v>
      </c>
      <c r="BB946" t="s">
        <v>228</v>
      </c>
      <c r="BC946" t="s">
        <v>229</v>
      </c>
      <c r="BD946" t="s">
        <v>87</v>
      </c>
      <c r="BI946" t="s">
        <v>233</v>
      </c>
      <c r="BJ946" t="s">
        <v>0</v>
      </c>
      <c r="BK946">
        <v>42165523</v>
      </c>
      <c r="BN946" t="s">
        <v>73</v>
      </c>
      <c r="BR946">
        <v>-60</v>
      </c>
      <c r="BS946">
        <v>42165527</v>
      </c>
      <c r="BT946" s="73">
        <v>45359.923622685186</v>
      </c>
      <c r="BU946" t="s">
        <v>226</v>
      </c>
      <c r="BV946" t="s">
        <v>503</v>
      </c>
      <c r="BW946" t="s">
        <v>228</v>
      </c>
      <c r="CH946" t="s">
        <v>229</v>
      </c>
      <c r="CI946" t="s">
        <v>87</v>
      </c>
      <c r="CJ946" t="s">
        <v>226</v>
      </c>
      <c r="CK946" t="s">
        <v>503</v>
      </c>
      <c r="CL946" t="s">
        <v>228</v>
      </c>
      <c r="CM946" t="s">
        <v>234</v>
      </c>
      <c r="CN946" t="s">
        <v>73</v>
      </c>
      <c r="CO946">
        <v>-60</v>
      </c>
      <c r="CP946">
        <v>42165527</v>
      </c>
      <c r="CQ946" s="73">
        <v>45359.923622685186</v>
      </c>
      <c r="CR946" t="s">
        <v>229</v>
      </c>
      <c r="CS946" t="s">
        <v>87</v>
      </c>
      <c r="CU946" t="s">
        <v>225</v>
      </c>
    </row>
    <row r="947" spans="1:99">
      <c r="A947" t="s">
        <v>127</v>
      </c>
      <c r="B947" t="s">
        <v>90</v>
      </c>
      <c r="J947" t="s">
        <v>225</v>
      </c>
      <c r="K947" t="s">
        <v>225</v>
      </c>
      <c r="M947" s="73">
        <v>45359.923622685186</v>
      </c>
      <c r="N947">
        <v>42165520</v>
      </c>
      <c r="O947">
        <v>-674.4</v>
      </c>
      <c r="P947" t="s">
        <v>73</v>
      </c>
      <c r="Q947">
        <v>-674.4</v>
      </c>
      <c r="R947" t="s">
        <v>73</v>
      </c>
      <c r="U947" t="s">
        <v>226</v>
      </c>
      <c r="V947" t="s">
        <v>503</v>
      </c>
      <c r="W947" t="s">
        <v>228</v>
      </c>
      <c r="X947" t="s">
        <v>229</v>
      </c>
      <c r="Y947" t="s">
        <v>127</v>
      </c>
      <c r="AD947" t="s">
        <v>73</v>
      </c>
      <c r="AE947">
        <v>-674.4</v>
      </c>
      <c r="AF947">
        <v>42165520</v>
      </c>
      <c r="AG947" s="73">
        <v>45359.923622685186</v>
      </c>
      <c r="AH947" t="s">
        <v>226</v>
      </c>
      <c r="AI947" t="s">
        <v>503</v>
      </c>
      <c r="AJ947" t="s">
        <v>228</v>
      </c>
      <c r="AK947" t="s">
        <v>229</v>
      </c>
      <c r="AL947" t="s">
        <v>127</v>
      </c>
      <c r="AP947" t="s">
        <v>230</v>
      </c>
      <c r="AQ947" t="s">
        <v>231</v>
      </c>
      <c r="AT947" t="s">
        <v>232</v>
      </c>
      <c r="AU947">
        <v>-99</v>
      </c>
      <c r="AV947" t="s">
        <v>73</v>
      </c>
      <c r="AW947">
        <v>-674.4</v>
      </c>
      <c r="AX947">
        <v>42165520</v>
      </c>
      <c r="AY947" s="73">
        <v>45359.923622685186</v>
      </c>
      <c r="AZ947" t="s">
        <v>226</v>
      </c>
      <c r="BA947" t="s">
        <v>503</v>
      </c>
      <c r="BB947" t="s">
        <v>228</v>
      </c>
      <c r="BC947" t="s">
        <v>229</v>
      </c>
      <c r="BD947" t="s">
        <v>127</v>
      </c>
      <c r="BI947" t="s">
        <v>233</v>
      </c>
      <c r="BJ947" t="s">
        <v>0</v>
      </c>
      <c r="BK947">
        <v>42165516</v>
      </c>
      <c r="BN947" t="s">
        <v>73</v>
      </c>
      <c r="BR947">
        <v>-674.4</v>
      </c>
      <c r="BS947">
        <v>42165520</v>
      </c>
      <c r="BT947" s="73">
        <v>45359.923622685186</v>
      </c>
      <c r="BU947" t="s">
        <v>226</v>
      </c>
      <c r="BV947" t="s">
        <v>503</v>
      </c>
      <c r="BW947" t="s">
        <v>228</v>
      </c>
      <c r="CH947" t="s">
        <v>229</v>
      </c>
      <c r="CI947" t="s">
        <v>127</v>
      </c>
      <c r="CJ947" t="s">
        <v>226</v>
      </c>
      <c r="CK947" t="s">
        <v>503</v>
      </c>
      <c r="CL947" t="s">
        <v>228</v>
      </c>
      <c r="CM947" t="s">
        <v>234</v>
      </c>
      <c r="CN947" t="s">
        <v>73</v>
      </c>
      <c r="CO947">
        <v>-674.4</v>
      </c>
      <c r="CP947">
        <v>42165520</v>
      </c>
      <c r="CQ947" s="73">
        <v>45359.923622685186</v>
      </c>
      <c r="CR947" t="s">
        <v>229</v>
      </c>
      <c r="CS947" t="s">
        <v>127</v>
      </c>
      <c r="CU947" t="s">
        <v>225</v>
      </c>
    </row>
    <row r="948" spans="1:99">
      <c r="A948" t="s">
        <v>133</v>
      </c>
      <c r="B948" t="s">
        <v>90</v>
      </c>
      <c r="J948" t="s">
        <v>225</v>
      </c>
      <c r="K948" t="s">
        <v>225</v>
      </c>
      <c r="M948" s="73">
        <v>45359.923622685186</v>
      </c>
      <c r="N948">
        <v>42165513</v>
      </c>
      <c r="O948">
        <v>-599.1</v>
      </c>
      <c r="P948" t="s">
        <v>73</v>
      </c>
      <c r="Q948">
        <v>-599.1</v>
      </c>
      <c r="R948" t="s">
        <v>73</v>
      </c>
      <c r="U948" t="s">
        <v>226</v>
      </c>
      <c r="V948" t="s">
        <v>503</v>
      </c>
      <c r="W948" t="s">
        <v>228</v>
      </c>
      <c r="X948" t="s">
        <v>229</v>
      </c>
      <c r="Y948" t="s">
        <v>133</v>
      </c>
      <c r="AD948" t="s">
        <v>73</v>
      </c>
      <c r="AE948">
        <v>-599.1</v>
      </c>
      <c r="AF948">
        <v>42165513</v>
      </c>
      <c r="AG948" s="73">
        <v>45359.923622685186</v>
      </c>
      <c r="AH948" t="s">
        <v>226</v>
      </c>
      <c r="AI948" t="s">
        <v>503</v>
      </c>
      <c r="AJ948" t="s">
        <v>228</v>
      </c>
      <c r="AK948" t="s">
        <v>229</v>
      </c>
      <c r="AL948" t="s">
        <v>133</v>
      </c>
      <c r="AP948" t="s">
        <v>230</v>
      </c>
      <c r="AQ948" t="s">
        <v>231</v>
      </c>
      <c r="AT948" t="s">
        <v>232</v>
      </c>
      <c r="AU948">
        <v>-99</v>
      </c>
      <c r="AV948" t="s">
        <v>73</v>
      </c>
      <c r="AW948">
        <v>-599.1</v>
      </c>
      <c r="AX948">
        <v>42165513</v>
      </c>
      <c r="AY948" s="73">
        <v>45359.923622685186</v>
      </c>
      <c r="AZ948" t="s">
        <v>226</v>
      </c>
      <c r="BA948" t="s">
        <v>503</v>
      </c>
      <c r="BB948" t="s">
        <v>228</v>
      </c>
      <c r="BC948" t="s">
        <v>229</v>
      </c>
      <c r="BD948" t="s">
        <v>133</v>
      </c>
      <c r="BI948" t="s">
        <v>233</v>
      </c>
      <c r="BJ948" t="s">
        <v>0</v>
      </c>
      <c r="BK948">
        <v>42165509</v>
      </c>
      <c r="BN948" t="s">
        <v>73</v>
      </c>
      <c r="BR948">
        <v>-599.1</v>
      </c>
      <c r="BS948">
        <v>42165513</v>
      </c>
      <c r="BT948" s="73">
        <v>45359.923622685186</v>
      </c>
      <c r="BU948" t="s">
        <v>226</v>
      </c>
      <c r="BV948" t="s">
        <v>503</v>
      </c>
      <c r="BW948" t="s">
        <v>228</v>
      </c>
      <c r="CH948" t="s">
        <v>229</v>
      </c>
      <c r="CI948" t="s">
        <v>133</v>
      </c>
      <c r="CJ948" t="s">
        <v>226</v>
      </c>
      <c r="CK948" t="s">
        <v>503</v>
      </c>
      <c r="CL948" t="s">
        <v>228</v>
      </c>
      <c r="CM948" t="s">
        <v>234</v>
      </c>
      <c r="CN948" t="s">
        <v>73</v>
      </c>
      <c r="CO948">
        <v>-599.1</v>
      </c>
      <c r="CP948">
        <v>42165513</v>
      </c>
      <c r="CQ948" s="73">
        <v>45359.923622685186</v>
      </c>
      <c r="CR948" t="s">
        <v>229</v>
      </c>
      <c r="CS948" t="s">
        <v>133</v>
      </c>
      <c r="CU948" t="s">
        <v>225</v>
      </c>
    </row>
    <row r="949" spans="1:99">
      <c r="A949" t="s">
        <v>131</v>
      </c>
      <c r="B949" t="s">
        <v>90</v>
      </c>
      <c r="J949" t="s">
        <v>225</v>
      </c>
      <c r="K949" t="s">
        <v>225</v>
      </c>
      <c r="M949" s="73">
        <v>45359.923622685186</v>
      </c>
      <c r="N949">
        <v>42165506</v>
      </c>
      <c r="O949">
        <v>-164.7</v>
      </c>
      <c r="P949" t="s">
        <v>73</v>
      </c>
      <c r="Q949">
        <v>-164.7</v>
      </c>
      <c r="R949" t="s">
        <v>73</v>
      </c>
      <c r="U949" t="s">
        <v>226</v>
      </c>
      <c r="V949" t="s">
        <v>503</v>
      </c>
      <c r="W949" t="s">
        <v>228</v>
      </c>
      <c r="X949" t="s">
        <v>229</v>
      </c>
      <c r="Y949" t="s">
        <v>131</v>
      </c>
      <c r="AD949" t="s">
        <v>73</v>
      </c>
      <c r="AE949">
        <v>-164.7</v>
      </c>
      <c r="AF949">
        <v>42165506</v>
      </c>
      <c r="AG949" s="73">
        <v>45359.923622685186</v>
      </c>
      <c r="AH949" t="s">
        <v>226</v>
      </c>
      <c r="AI949" t="s">
        <v>503</v>
      </c>
      <c r="AJ949" t="s">
        <v>228</v>
      </c>
      <c r="AK949" t="s">
        <v>229</v>
      </c>
      <c r="AL949" t="s">
        <v>131</v>
      </c>
      <c r="AP949" t="s">
        <v>230</v>
      </c>
      <c r="AQ949" t="s">
        <v>231</v>
      </c>
      <c r="AT949" t="s">
        <v>232</v>
      </c>
      <c r="AU949">
        <v>-99</v>
      </c>
      <c r="AV949" t="s">
        <v>73</v>
      </c>
      <c r="AW949">
        <v>-164.7</v>
      </c>
      <c r="AX949">
        <v>42165506</v>
      </c>
      <c r="AY949" s="73">
        <v>45359.923622685186</v>
      </c>
      <c r="AZ949" t="s">
        <v>226</v>
      </c>
      <c r="BA949" t="s">
        <v>503</v>
      </c>
      <c r="BB949" t="s">
        <v>228</v>
      </c>
      <c r="BC949" t="s">
        <v>229</v>
      </c>
      <c r="BD949" t="s">
        <v>131</v>
      </c>
      <c r="BI949" t="s">
        <v>233</v>
      </c>
      <c r="BJ949" t="s">
        <v>0</v>
      </c>
      <c r="BK949">
        <v>42165502</v>
      </c>
      <c r="BN949" t="s">
        <v>73</v>
      </c>
      <c r="BR949">
        <v>-164.7</v>
      </c>
      <c r="BS949">
        <v>42165506</v>
      </c>
      <c r="BT949" s="73">
        <v>45359.923622685186</v>
      </c>
      <c r="BU949" t="s">
        <v>226</v>
      </c>
      <c r="BV949" t="s">
        <v>503</v>
      </c>
      <c r="BW949" t="s">
        <v>228</v>
      </c>
      <c r="CH949" t="s">
        <v>229</v>
      </c>
      <c r="CI949" t="s">
        <v>131</v>
      </c>
      <c r="CJ949" t="s">
        <v>226</v>
      </c>
      <c r="CK949" t="s">
        <v>503</v>
      </c>
      <c r="CL949" t="s">
        <v>228</v>
      </c>
      <c r="CM949" t="s">
        <v>234</v>
      </c>
      <c r="CN949" t="s">
        <v>73</v>
      </c>
      <c r="CO949">
        <v>-164.7</v>
      </c>
      <c r="CP949">
        <v>42165506</v>
      </c>
      <c r="CQ949" s="73">
        <v>45359.923622685186</v>
      </c>
      <c r="CR949" t="s">
        <v>229</v>
      </c>
      <c r="CS949" t="s">
        <v>131</v>
      </c>
      <c r="CU949" t="s">
        <v>225</v>
      </c>
    </row>
    <row r="950" spans="1:99">
      <c r="A950" t="s">
        <v>99</v>
      </c>
      <c r="B950" t="s">
        <v>98</v>
      </c>
      <c r="J950" t="s">
        <v>225</v>
      </c>
      <c r="K950" t="s">
        <v>225</v>
      </c>
      <c r="M950" s="73">
        <v>45359.923611111109</v>
      </c>
      <c r="N950">
        <v>42150303</v>
      </c>
      <c r="O950">
        <v>1417.95</v>
      </c>
      <c r="P950" t="s">
        <v>73</v>
      </c>
      <c r="Q950">
        <v>1417.95</v>
      </c>
      <c r="R950" t="s">
        <v>73</v>
      </c>
      <c r="U950" t="s">
        <v>226</v>
      </c>
      <c r="V950" t="s">
        <v>504</v>
      </c>
      <c r="W950" t="s">
        <v>235</v>
      </c>
      <c r="X950" t="s">
        <v>229</v>
      </c>
      <c r="Y950" t="s">
        <v>99</v>
      </c>
      <c r="AD950" t="s">
        <v>73</v>
      </c>
      <c r="AE950">
        <v>1417.95</v>
      </c>
      <c r="AF950">
        <v>42150303</v>
      </c>
      <c r="AG950" s="73">
        <v>45359.923611111109</v>
      </c>
      <c r="AH950" t="s">
        <v>226</v>
      </c>
      <c r="AI950" t="s">
        <v>504</v>
      </c>
      <c r="AJ950" t="s">
        <v>235</v>
      </c>
      <c r="AK950" t="s">
        <v>229</v>
      </c>
      <c r="AL950" t="s">
        <v>99</v>
      </c>
      <c r="AP950" t="s">
        <v>230</v>
      </c>
      <c r="AQ950" t="s">
        <v>231</v>
      </c>
      <c r="AT950" t="s">
        <v>232</v>
      </c>
      <c r="AU950">
        <v>-99</v>
      </c>
      <c r="AV950" t="s">
        <v>73</v>
      </c>
      <c r="AW950">
        <v>1417.95</v>
      </c>
      <c r="AX950">
        <v>42150303</v>
      </c>
      <c r="AY950" s="73">
        <v>45359.923611111109</v>
      </c>
      <c r="AZ950" t="s">
        <v>226</v>
      </c>
      <c r="BA950" t="s">
        <v>504</v>
      </c>
      <c r="BB950" t="s">
        <v>235</v>
      </c>
      <c r="BC950" t="s">
        <v>229</v>
      </c>
      <c r="BD950" t="s">
        <v>99</v>
      </c>
      <c r="BI950" t="s">
        <v>233</v>
      </c>
      <c r="BJ950" t="s">
        <v>0</v>
      </c>
      <c r="BK950">
        <v>42150299</v>
      </c>
      <c r="BN950" t="s">
        <v>73</v>
      </c>
      <c r="BO950">
        <v>42150301</v>
      </c>
      <c r="BR950">
        <v>1417.95</v>
      </c>
      <c r="BS950">
        <v>42150303</v>
      </c>
      <c r="BT950" s="73">
        <v>45359.923611111109</v>
      </c>
      <c r="BU950" t="s">
        <v>226</v>
      </c>
      <c r="BV950" t="s">
        <v>504</v>
      </c>
      <c r="BW950" t="s">
        <v>235</v>
      </c>
      <c r="CH950" t="s">
        <v>229</v>
      </c>
      <c r="CI950" t="s">
        <v>99</v>
      </c>
      <c r="CJ950" t="s">
        <v>226</v>
      </c>
      <c r="CK950" t="s">
        <v>504</v>
      </c>
      <c r="CL950" t="s">
        <v>235</v>
      </c>
      <c r="CM950" t="s">
        <v>236</v>
      </c>
      <c r="CN950" t="s">
        <v>73</v>
      </c>
      <c r="CO950">
        <v>1417.95</v>
      </c>
      <c r="CP950">
        <v>42150303</v>
      </c>
      <c r="CQ950" s="73">
        <v>45359.923611111109</v>
      </c>
      <c r="CR950" t="s">
        <v>229</v>
      </c>
      <c r="CS950" t="s">
        <v>99</v>
      </c>
      <c r="CU950" t="s">
        <v>225</v>
      </c>
    </row>
    <row r="951" spans="1:99">
      <c r="A951" t="s">
        <v>71</v>
      </c>
      <c r="B951" t="s">
        <v>77</v>
      </c>
      <c r="J951" t="s">
        <v>225</v>
      </c>
      <c r="K951" t="s">
        <v>225</v>
      </c>
      <c r="M951" s="73">
        <v>45359.923611111109</v>
      </c>
      <c r="N951">
        <v>42150296</v>
      </c>
      <c r="O951">
        <v>1.28</v>
      </c>
      <c r="P951" t="s">
        <v>73</v>
      </c>
      <c r="Q951">
        <v>1.28</v>
      </c>
      <c r="R951" t="s">
        <v>73</v>
      </c>
      <c r="U951" t="s">
        <v>226</v>
      </c>
      <c r="V951" t="s">
        <v>504</v>
      </c>
      <c r="W951" t="s">
        <v>237</v>
      </c>
      <c r="X951" t="s">
        <v>229</v>
      </c>
      <c r="Y951" t="s">
        <v>71</v>
      </c>
      <c r="AD951" t="s">
        <v>73</v>
      </c>
      <c r="AE951">
        <v>1.28</v>
      </c>
      <c r="AF951">
        <v>42150296</v>
      </c>
      <c r="AG951" s="73">
        <v>45359.923611111109</v>
      </c>
      <c r="AH951" t="s">
        <v>226</v>
      </c>
      <c r="AI951" t="s">
        <v>504</v>
      </c>
      <c r="AJ951" t="s">
        <v>237</v>
      </c>
      <c r="AK951" t="s">
        <v>229</v>
      </c>
      <c r="AL951" t="s">
        <v>71</v>
      </c>
      <c r="AP951" t="s">
        <v>230</v>
      </c>
      <c r="AQ951" t="s">
        <v>231</v>
      </c>
      <c r="AT951" t="s">
        <v>232</v>
      </c>
      <c r="AU951">
        <v>-99</v>
      </c>
      <c r="AV951" t="s">
        <v>73</v>
      </c>
      <c r="AW951">
        <v>1.28</v>
      </c>
      <c r="AX951">
        <v>42150296</v>
      </c>
      <c r="AY951" s="73">
        <v>45359.923611111109</v>
      </c>
      <c r="AZ951" t="s">
        <v>226</v>
      </c>
      <c r="BA951" t="s">
        <v>504</v>
      </c>
      <c r="BB951" t="s">
        <v>237</v>
      </c>
      <c r="BC951" t="s">
        <v>229</v>
      </c>
      <c r="BD951" t="s">
        <v>71</v>
      </c>
      <c r="BI951" t="s">
        <v>233</v>
      </c>
      <c r="BJ951" t="s">
        <v>0</v>
      </c>
      <c r="BK951">
        <v>42150292</v>
      </c>
      <c r="BN951" t="s">
        <v>73</v>
      </c>
      <c r="BO951">
        <v>42150294</v>
      </c>
      <c r="BR951">
        <v>1.28</v>
      </c>
      <c r="BS951">
        <v>42150296</v>
      </c>
      <c r="BT951" s="73">
        <v>45359.923611111109</v>
      </c>
      <c r="BU951" t="s">
        <v>226</v>
      </c>
      <c r="BV951" t="s">
        <v>504</v>
      </c>
      <c r="BW951" t="s">
        <v>237</v>
      </c>
      <c r="CH951" t="s">
        <v>229</v>
      </c>
      <c r="CI951" t="s">
        <v>71</v>
      </c>
      <c r="CJ951" t="s">
        <v>226</v>
      </c>
      <c r="CK951" t="s">
        <v>504</v>
      </c>
      <c r="CL951" t="s">
        <v>237</v>
      </c>
      <c r="CM951" t="s">
        <v>236</v>
      </c>
      <c r="CN951" t="s">
        <v>73</v>
      </c>
      <c r="CO951">
        <v>1.28</v>
      </c>
      <c r="CP951">
        <v>42150296</v>
      </c>
      <c r="CQ951" s="73">
        <v>45359.923611111109</v>
      </c>
      <c r="CR951" t="s">
        <v>229</v>
      </c>
      <c r="CS951" t="s">
        <v>71</v>
      </c>
      <c r="CU951" t="s">
        <v>225</v>
      </c>
    </row>
    <row r="952" spans="1:99">
      <c r="A952" t="s">
        <v>133</v>
      </c>
      <c r="B952" t="s">
        <v>90</v>
      </c>
      <c r="J952" t="s">
        <v>225</v>
      </c>
      <c r="K952" t="s">
        <v>225</v>
      </c>
      <c r="M952" s="73">
        <v>45359.923611111109</v>
      </c>
      <c r="N952">
        <v>42150289</v>
      </c>
      <c r="O952">
        <v>-585.6</v>
      </c>
      <c r="P952" t="s">
        <v>73</v>
      </c>
      <c r="Q952">
        <v>-585.6</v>
      </c>
      <c r="R952" t="s">
        <v>73</v>
      </c>
      <c r="U952" t="s">
        <v>226</v>
      </c>
      <c r="V952" t="s">
        <v>504</v>
      </c>
      <c r="W952" t="s">
        <v>228</v>
      </c>
      <c r="X952" t="s">
        <v>229</v>
      </c>
      <c r="Y952" t="s">
        <v>133</v>
      </c>
      <c r="AD952" t="s">
        <v>73</v>
      </c>
      <c r="AE952">
        <v>-585.6</v>
      </c>
      <c r="AF952">
        <v>42150289</v>
      </c>
      <c r="AG952" s="73">
        <v>45359.923611111109</v>
      </c>
      <c r="AH952" t="s">
        <v>226</v>
      </c>
      <c r="AI952" t="s">
        <v>504</v>
      </c>
      <c r="AJ952" t="s">
        <v>228</v>
      </c>
      <c r="AK952" t="s">
        <v>229</v>
      </c>
      <c r="AL952" t="s">
        <v>133</v>
      </c>
      <c r="AP952" t="s">
        <v>230</v>
      </c>
      <c r="AQ952" t="s">
        <v>231</v>
      </c>
      <c r="AT952" t="s">
        <v>232</v>
      </c>
      <c r="AU952">
        <v>-99</v>
      </c>
      <c r="AV952" t="s">
        <v>73</v>
      </c>
      <c r="AW952">
        <v>-585.6</v>
      </c>
      <c r="AX952">
        <v>42150289</v>
      </c>
      <c r="AY952" s="73">
        <v>45359.923611111109</v>
      </c>
      <c r="AZ952" t="s">
        <v>226</v>
      </c>
      <c r="BA952" t="s">
        <v>504</v>
      </c>
      <c r="BB952" t="s">
        <v>228</v>
      </c>
      <c r="BC952" t="s">
        <v>229</v>
      </c>
      <c r="BD952" t="s">
        <v>133</v>
      </c>
      <c r="BI952" t="s">
        <v>233</v>
      </c>
      <c r="BJ952" t="s">
        <v>0</v>
      </c>
      <c r="BK952">
        <v>42150285</v>
      </c>
      <c r="BN952" t="s">
        <v>73</v>
      </c>
      <c r="BR952">
        <v>-585.6</v>
      </c>
      <c r="BS952">
        <v>42150289</v>
      </c>
      <c r="BT952" s="73">
        <v>45359.923611111109</v>
      </c>
      <c r="BU952" t="s">
        <v>226</v>
      </c>
      <c r="BV952" t="s">
        <v>504</v>
      </c>
      <c r="BW952" t="s">
        <v>228</v>
      </c>
      <c r="CH952" t="s">
        <v>229</v>
      </c>
      <c r="CI952" t="s">
        <v>133</v>
      </c>
      <c r="CJ952" t="s">
        <v>226</v>
      </c>
      <c r="CK952" t="s">
        <v>504</v>
      </c>
      <c r="CL952" t="s">
        <v>228</v>
      </c>
      <c r="CM952" t="s">
        <v>234</v>
      </c>
      <c r="CN952" t="s">
        <v>73</v>
      </c>
      <c r="CO952">
        <v>-585.6</v>
      </c>
      <c r="CP952">
        <v>42150289</v>
      </c>
      <c r="CQ952" s="73">
        <v>45359.923611111109</v>
      </c>
      <c r="CR952" t="s">
        <v>229</v>
      </c>
      <c r="CS952" t="s">
        <v>133</v>
      </c>
      <c r="CU952" t="s">
        <v>225</v>
      </c>
    </row>
    <row r="953" spans="1:99">
      <c r="A953" t="s">
        <v>131</v>
      </c>
      <c r="B953" t="s">
        <v>90</v>
      </c>
      <c r="J953" t="s">
        <v>225</v>
      </c>
      <c r="K953" t="s">
        <v>225</v>
      </c>
      <c r="M953" s="73">
        <v>45359.923611111109</v>
      </c>
      <c r="N953">
        <v>42150282</v>
      </c>
      <c r="O953">
        <v>-161.1</v>
      </c>
      <c r="P953" t="s">
        <v>73</v>
      </c>
      <c r="Q953">
        <v>-161.1</v>
      </c>
      <c r="R953" t="s">
        <v>73</v>
      </c>
      <c r="U953" t="s">
        <v>226</v>
      </c>
      <c r="V953" t="s">
        <v>504</v>
      </c>
      <c r="W953" t="s">
        <v>228</v>
      </c>
      <c r="X953" t="s">
        <v>229</v>
      </c>
      <c r="Y953" t="s">
        <v>131</v>
      </c>
      <c r="AD953" t="s">
        <v>73</v>
      </c>
      <c r="AE953">
        <v>-161.1</v>
      </c>
      <c r="AF953">
        <v>42150282</v>
      </c>
      <c r="AG953" s="73">
        <v>45359.923611111109</v>
      </c>
      <c r="AH953" t="s">
        <v>226</v>
      </c>
      <c r="AI953" t="s">
        <v>504</v>
      </c>
      <c r="AJ953" t="s">
        <v>228</v>
      </c>
      <c r="AK953" t="s">
        <v>229</v>
      </c>
      <c r="AL953" t="s">
        <v>131</v>
      </c>
      <c r="AP953" t="s">
        <v>230</v>
      </c>
      <c r="AQ953" t="s">
        <v>231</v>
      </c>
      <c r="AT953" t="s">
        <v>232</v>
      </c>
      <c r="AU953">
        <v>-99</v>
      </c>
      <c r="AV953" t="s">
        <v>73</v>
      </c>
      <c r="AW953">
        <v>-161.1</v>
      </c>
      <c r="AX953">
        <v>42150282</v>
      </c>
      <c r="AY953" s="73">
        <v>45359.923611111109</v>
      </c>
      <c r="AZ953" t="s">
        <v>226</v>
      </c>
      <c r="BA953" t="s">
        <v>504</v>
      </c>
      <c r="BB953" t="s">
        <v>228</v>
      </c>
      <c r="BC953" t="s">
        <v>229</v>
      </c>
      <c r="BD953" t="s">
        <v>131</v>
      </c>
      <c r="BI953" t="s">
        <v>233</v>
      </c>
      <c r="BJ953" t="s">
        <v>0</v>
      </c>
      <c r="BK953">
        <v>42150278</v>
      </c>
      <c r="BN953" t="s">
        <v>73</v>
      </c>
      <c r="BR953">
        <v>-161.1</v>
      </c>
      <c r="BS953">
        <v>42150282</v>
      </c>
      <c r="BT953" s="73">
        <v>45359.923611111109</v>
      </c>
      <c r="BU953" t="s">
        <v>226</v>
      </c>
      <c r="BV953" t="s">
        <v>504</v>
      </c>
      <c r="BW953" t="s">
        <v>228</v>
      </c>
      <c r="CH953" t="s">
        <v>229</v>
      </c>
      <c r="CI953" t="s">
        <v>131</v>
      </c>
      <c r="CJ953" t="s">
        <v>226</v>
      </c>
      <c r="CK953" t="s">
        <v>504</v>
      </c>
      <c r="CL953" t="s">
        <v>228</v>
      </c>
      <c r="CM953" t="s">
        <v>234</v>
      </c>
      <c r="CN953" t="s">
        <v>73</v>
      </c>
      <c r="CO953">
        <v>-161.1</v>
      </c>
      <c r="CP953">
        <v>42150282</v>
      </c>
      <c r="CQ953" s="73">
        <v>45359.923611111109</v>
      </c>
      <c r="CR953" t="s">
        <v>229</v>
      </c>
      <c r="CS953" t="s">
        <v>131</v>
      </c>
      <c r="CU953" t="s">
        <v>225</v>
      </c>
    </row>
    <row r="954" spans="1:99">
      <c r="A954" t="s">
        <v>87</v>
      </c>
      <c r="B954" t="s">
        <v>90</v>
      </c>
      <c r="J954" t="s">
        <v>225</v>
      </c>
      <c r="K954" t="s">
        <v>225</v>
      </c>
      <c r="M954" s="73">
        <v>45359.923611111109</v>
      </c>
      <c r="N954">
        <v>42150275</v>
      </c>
      <c r="O954">
        <v>-58.6</v>
      </c>
      <c r="P954" t="s">
        <v>73</v>
      </c>
      <c r="Q954">
        <v>-58.6</v>
      </c>
      <c r="R954" t="s">
        <v>73</v>
      </c>
      <c r="U954" t="s">
        <v>226</v>
      </c>
      <c r="V954" t="s">
        <v>504</v>
      </c>
      <c r="W954" t="s">
        <v>228</v>
      </c>
      <c r="X954" t="s">
        <v>229</v>
      </c>
      <c r="Y954" t="s">
        <v>87</v>
      </c>
      <c r="AD954" t="s">
        <v>73</v>
      </c>
      <c r="AE954">
        <v>-58.6</v>
      </c>
      <c r="AF954">
        <v>42150275</v>
      </c>
      <c r="AG954" s="73">
        <v>45359.923611111109</v>
      </c>
      <c r="AH954" t="s">
        <v>226</v>
      </c>
      <c r="AI954" t="s">
        <v>504</v>
      </c>
      <c r="AJ954" t="s">
        <v>228</v>
      </c>
      <c r="AK954" t="s">
        <v>229</v>
      </c>
      <c r="AL954" t="s">
        <v>87</v>
      </c>
      <c r="AP954" t="s">
        <v>230</v>
      </c>
      <c r="AQ954" t="s">
        <v>231</v>
      </c>
      <c r="AT954" t="s">
        <v>232</v>
      </c>
      <c r="AU954">
        <v>-99</v>
      </c>
      <c r="AV954" t="s">
        <v>73</v>
      </c>
      <c r="AW954">
        <v>-58.6</v>
      </c>
      <c r="AX954">
        <v>42150275</v>
      </c>
      <c r="AY954" s="73">
        <v>45359.923611111109</v>
      </c>
      <c r="AZ954" t="s">
        <v>226</v>
      </c>
      <c r="BA954" t="s">
        <v>504</v>
      </c>
      <c r="BB954" t="s">
        <v>228</v>
      </c>
      <c r="BC954" t="s">
        <v>229</v>
      </c>
      <c r="BD954" t="s">
        <v>87</v>
      </c>
      <c r="BI954" t="s">
        <v>233</v>
      </c>
      <c r="BJ954" t="s">
        <v>0</v>
      </c>
      <c r="BK954">
        <v>42150271</v>
      </c>
      <c r="BN954" t="s">
        <v>73</v>
      </c>
      <c r="BR954">
        <v>-58.6</v>
      </c>
      <c r="BS954">
        <v>42150275</v>
      </c>
      <c r="BT954" s="73">
        <v>45359.923611111109</v>
      </c>
      <c r="BU954" t="s">
        <v>226</v>
      </c>
      <c r="BV954" t="s">
        <v>504</v>
      </c>
      <c r="BW954" t="s">
        <v>228</v>
      </c>
      <c r="CH954" t="s">
        <v>229</v>
      </c>
      <c r="CI954" t="s">
        <v>87</v>
      </c>
      <c r="CJ954" t="s">
        <v>226</v>
      </c>
      <c r="CK954" t="s">
        <v>504</v>
      </c>
      <c r="CL954" t="s">
        <v>228</v>
      </c>
      <c r="CM954" t="s">
        <v>234</v>
      </c>
      <c r="CN954" t="s">
        <v>73</v>
      </c>
      <c r="CO954">
        <v>-58.6</v>
      </c>
      <c r="CP954">
        <v>42150275</v>
      </c>
      <c r="CQ954" s="73">
        <v>45359.923611111109</v>
      </c>
      <c r="CR954" t="s">
        <v>229</v>
      </c>
      <c r="CS954" t="s">
        <v>87</v>
      </c>
      <c r="CU954" t="s">
        <v>225</v>
      </c>
    </row>
    <row r="955" spans="1:99">
      <c r="A955" t="s">
        <v>127</v>
      </c>
      <c r="B955" t="s">
        <v>90</v>
      </c>
      <c r="J955" t="s">
        <v>225</v>
      </c>
      <c r="K955" t="s">
        <v>225</v>
      </c>
      <c r="M955" s="73">
        <v>45359.923611111109</v>
      </c>
      <c r="N955">
        <v>42150268</v>
      </c>
      <c r="O955">
        <v>-658.9</v>
      </c>
      <c r="P955" t="s">
        <v>73</v>
      </c>
      <c r="Q955">
        <v>-658.9</v>
      </c>
      <c r="R955" t="s">
        <v>73</v>
      </c>
      <c r="U955" t="s">
        <v>226</v>
      </c>
      <c r="V955" t="s">
        <v>504</v>
      </c>
      <c r="W955" t="s">
        <v>228</v>
      </c>
      <c r="X955" t="s">
        <v>229</v>
      </c>
      <c r="Y955" t="s">
        <v>127</v>
      </c>
      <c r="AD955" t="s">
        <v>73</v>
      </c>
      <c r="AE955">
        <v>-658.9</v>
      </c>
      <c r="AF955">
        <v>42150268</v>
      </c>
      <c r="AG955" s="73">
        <v>45359.923611111109</v>
      </c>
      <c r="AH955" t="s">
        <v>226</v>
      </c>
      <c r="AI955" t="s">
        <v>504</v>
      </c>
      <c r="AJ955" t="s">
        <v>228</v>
      </c>
      <c r="AK955" t="s">
        <v>229</v>
      </c>
      <c r="AL955" t="s">
        <v>127</v>
      </c>
      <c r="AP955" t="s">
        <v>230</v>
      </c>
      <c r="AQ955" t="s">
        <v>231</v>
      </c>
      <c r="AT955" t="s">
        <v>232</v>
      </c>
      <c r="AU955">
        <v>-99</v>
      </c>
      <c r="AV955" t="s">
        <v>73</v>
      </c>
      <c r="AW955">
        <v>-658.9</v>
      </c>
      <c r="AX955">
        <v>42150268</v>
      </c>
      <c r="AY955" s="73">
        <v>45359.923611111109</v>
      </c>
      <c r="AZ955" t="s">
        <v>226</v>
      </c>
      <c r="BA955" t="s">
        <v>504</v>
      </c>
      <c r="BB955" t="s">
        <v>228</v>
      </c>
      <c r="BC955" t="s">
        <v>229</v>
      </c>
      <c r="BD955" t="s">
        <v>127</v>
      </c>
      <c r="BI955" t="s">
        <v>233</v>
      </c>
      <c r="BJ955" t="s">
        <v>0</v>
      </c>
      <c r="BK955">
        <v>42150264</v>
      </c>
      <c r="BN955" t="s">
        <v>73</v>
      </c>
      <c r="BR955">
        <v>-658.9</v>
      </c>
      <c r="BS955">
        <v>42150268</v>
      </c>
      <c r="BT955" s="73">
        <v>45359.923611111109</v>
      </c>
      <c r="BU955" t="s">
        <v>226</v>
      </c>
      <c r="BV955" t="s">
        <v>504</v>
      </c>
      <c r="BW955" t="s">
        <v>228</v>
      </c>
      <c r="CH955" t="s">
        <v>229</v>
      </c>
      <c r="CI955" t="s">
        <v>127</v>
      </c>
      <c r="CJ955" t="s">
        <v>226</v>
      </c>
      <c r="CK955" t="s">
        <v>504</v>
      </c>
      <c r="CL955" t="s">
        <v>228</v>
      </c>
      <c r="CM955" t="s">
        <v>234</v>
      </c>
      <c r="CN955" t="s">
        <v>73</v>
      </c>
      <c r="CO955">
        <v>-658.9</v>
      </c>
      <c r="CP955">
        <v>42150268</v>
      </c>
      <c r="CQ955" s="73">
        <v>45359.923611111109</v>
      </c>
      <c r="CR955" t="s">
        <v>229</v>
      </c>
      <c r="CS955" t="s">
        <v>127</v>
      </c>
      <c r="CU955" t="s">
        <v>225</v>
      </c>
    </row>
    <row r="956" spans="1:99">
      <c r="A956" t="s">
        <v>46</v>
      </c>
      <c r="B956" t="s">
        <v>92</v>
      </c>
      <c r="J956" t="s">
        <v>225</v>
      </c>
      <c r="K956" t="s">
        <v>225</v>
      </c>
      <c r="M956" s="73">
        <v>45359.916666666664</v>
      </c>
      <c r="N956">
        <v>42154112</v>
      </c>
      <c r="O956">
        <v>-800</v>
      </c>
      <c r="P956" t="s">
        <v>45</v>
      </c>
      <c r="Q956">
        <v>-800</v>
      </c>
      <c r="R956" t="s">
        <v>45</v>
      </c>
      <c r="U956" t="s">
        <v>226</v>
      </c>
      <c r="V956" t="s">
        <v>505</v>
      </c>
      <c r="W956" t="s">
        <v>228</v>
      </c>
      <c r="X956" t="s">
        <v>229</v>
      </c>
      <c r="Y956" t="s">
        <v>46</v>
      </c>
      <c r="AD956" t="s">
        <v>45</v>
      </c>
      <c r="AE956">
        <v>-800</v>
      </c>
      <c r="AF956">
        <v>42154112</v>
      </c>
      <c r="AG956" s="73">
        <v>45359.916666666664</v>
      </c>
      <c r="AH956" t="s">
        <v>226</v>
      </c>
      <c r="AI956" t="s">
        <v>505</v>
      </c>
      <c r="AJ956" t="s">
        <v>228</v>
      </c>
      <c r="AK956" t="s">
        <v>229</v>
      </c>
      <c r="AL956" t="s">
        <v>46</v>
      </c>
      <c r="AP956" t="s">
        <v>230</v>
      </c>
      <c r="AQ956" t="s">
        <v>231</v>
      </c>
      <c r="AT956" t="s">
        <v>232</v>
      </c>
      <c r="AU956">
        <v>-99</v>
      </c>
      <c r="AV956" t="s">
        <v>45</v>
      </c>
      <c r="AW956">
        <v>-800</v>
      </c>
      <c r="AX956">
        <v>42154112</v>
      </c>
      <c r="AY956" s="73">
        <v>45359.916666666664</v>
      </c>
      <c r="AZ956" t="s">
        <v>226</v>
      </c>
      <c r="BA956" t="s">
        <v>505</v>
      </c>
      <c r="BB956" t="s">
        <v>228</v>
      </c>
      <c r="BC956" t="s">
        <v>229</v>
      </c>
      <c r="BD956" t="s">
        <v>46</v>
      </c>
      <c r="BI956" t="s">
        <v>233</v>
      </c>
      <c r="BJ956" t="s">
        <v>0</v>
      </c>
      <c r="BK956">
        <v>42154100</v>
      </c>
      <c r="BN956" t="s">
        <v>45</v>
      </c>
      <c r="BR956">
        <v>-800</v>
      </c>
      <c r="BS956">
        <v>42154112</v>
      </c>
      <c r="BT956" s="73">
        <v>45359.916666666664</v>
      </c>
      <c r="BU956" t="s">
        <v>226</v>
      </c>
      <c r="BV956" t="s">
        <v>505</v>
      </c>
      <c r="BW956" t="s">
        <v>228</v>
      </c>
      <c r="CH956" t="s">
        <v>229</v>
      </c>
      <c r="CI956" t="s">
        <v>46</v>
      </c>
      <c r="CJ956" t="s">
        <v>226</v>
      </c>
      <c r="CK956" t="s">
        <v>505</v>
      </c>
      <c r="CL956" t="s">
        <v>228</v>
      </c>
      <c r="CM956" t="s">
        <v>234</v>
      </c>
      <c r="CN956" t="s">
        <v>45</v>
      </c>
      <c r="CO956">
        <v>-800</v>
      </c>
      <c r="CP956">
        <v>42154112</v>
      </c>
      <c r="CQ956" s="73">
        <v>45359.916666666664</v>
      </c>
      <c r="CR956" t="s">
        <v>229</v>
      </c>
      <c r="CS956" t="s">
        <v>46</v>
      </c>
      <c r="CU956" t="s">
        <v>225</v>
      </c>
    </row>
    <row r="957" spans="1:99">
      <c r="A957" t="s">
        <v>93</v>
      </c>
      <c r="B957" t="s">
        <v>98</v>
      </c>
      <c r="J957" t="s">
        <v>225</v>
      </c>
      <c r="K957" t="s">
        <v>225</v>
      </c>
      <c r="M957" s="73">
        <v>45359.916666666664</v>
      </c>
      <c r="N957">
        <v>42154111</v>
      </c>
      <c r="O957">
        <v>-40</v>
      </c>
      <c r="P957" t="s">
        <v>73</v>
      </c>
      <c r="Q957">
        <v>-40</v>
      </c>
      <c r="R957" t="s">
        <v>73</v>
      </c>
      <c r="U957" t="s">
        <v>226</v>
      </c>
      <c r="V957" t="s">
        <v>505</v>
      </c>
      <c r="W957" t="s">
        <v>228</v>
      </c>
      <c r="X957" t="s">
        <v>229</v>
      </c>
      <c r="Y957" t="s">
        <v>93</v>
      </c>
      <c r="AD957" t="s">
        <v>73</v>
      </c>
      <c r="AE957">
        <v>-40</v>
      </c>
      <c r="AF957">
        <v>42154111</v>
      </c>
      <c r="AG957" s="73">
        <v>45359.916666666664</v>
      </c>
      <c r="AH957" t="s">
        <v>226</v>
      </c>
      <c r="AI957" t="s">
        <v>505</v>
      </c>
      <c r="AJ957" t="s">
        <v>228</v>
      </c>
      <c r="AK957" t="s">
        <v>229</v>
      </c>
      <c r="AL957" t="s">
        <v>93</v>
      </c>
      <c r="AP957" t="s">
        <v>230</v>
      </c>
      <c r="AQ957" t="s">
        <v>231</v>
      </c>
      <c r="AT957" t="s">
        <v>232</v>
      </c>
      <c r="AU957">
        <v>-99</v>
      </c>
      <c r="AV957" t="s">
        <v>73</v>
      </c>
      <c r="AW957">
        <v>-40</v>
      </c>
      <c r="AX957">
        <v>42154111</v>
      </c>
      <c r="AY957" s="73">
        <v>45359.916666666664</v>
      </c>
      <c r="AZ957" t="s">
        <v>226</v>
      </c>
      <c r="BA957" t="s">
        <v>505</v>
      </c>
      <c r="BB957" t="s">
        <v>228</v>
      </c>
      <c r="BC957" t="s">
        <v>229</v>
      </c>
      <c r="BD957" t="s">
        <v>93</v>
      </c>
      <c r="BI957" t="s">
        <v>233</v>
      </c>
      <c r="BJ957" t="s">
        <v>0</v>
      </c>
      <c r="BK957">
        <v>42154100</v>
      </c>
      <c r="BN957" t="s">
        <v>73</v>
      </c>
      <c r="BR957">
        <v>-40</v>
      </c>
      <c r="BS957">
        <v>42154111</v>
      </c>
      <c r="BT957" s="73">
        <v>45359.916666666664</v>
      </c>
      <c r="BU957" t="s">
        <v>226</v>
      </c>
      <c r="BV957" t="s">
        <v>505</v>
      </c>
      <c r="BW957" t="s">
        <v>228</v>
      </c>
      <c r="CH957" t="s">
        <v>229</v>
      </c>
      <c r="CI957" t="s">
        <v>93</v>
      </c>
      <c r="CJ957" t="s">
        <v>226</v>
      </c>
      <c r="CK957" t="s">
        <v>505</v>
      </c>
      <c r="CL957" t="s">
        <v>228</v>
      </c>
      <c r="CM957" t="s">
        <v>234</v>
      </c>
      <c r="CN957" t="s">
        <v>73</v>
      </c>
      <c r="CO957">
        <v>-40</v>
      </c>
      <c r="CP957">
        <v>42154111</v>
      </c>
      <c r="CQ957" s="73">
        <v>45359.916666666664</v>
      </c>
      <c r="CR957" t="s">
        <v>229</v>
      </c>
      <c r="CS957" t="s">
        <v>93</v>
      </c>
      <c r="CU957" t="s">
        <v>225</v>
      </c>
    </row>
    <row r="958" spans="1:99">
      <c r="A958" t="s">
        <v>108</v>
      </c>
      <c r="B958" t="s">
        <v>98</v>
      </c>
      <c r="J958" t="s">
        <v>225</v>
      </c>
      <c r="K958" t="s">
        <v>225</v>
      </c>
      <c r="M958" s="73">
        <v>45359.916666666664</v>
      </c>
      <c r="N958">
        <v>42154110</v>
      </c>
      <c r="O958">
        <v>800</v>
      </c>
      <c r="P958" t="s">
        <v>104</v>
      </c>
      <c r="Q958">
        <v>800</v>
      </c>
      <c r="R958" t="s">
        <v>104</v>
      </c>
      <c r="S958">
        <v>40</v>
      </c>
      <c r="T958" t="s">
        <v>73</v>
      </c>
      <c r="U958" t="s">
        <v>226</v>
      </c>
      <c r="V958" t="s">
        <v>505</v>
      </c>
      <c r="W958" t="s">
        <v>235</v>
      </c>
      <c r="X958" t="s">
        <v>229</v>
      </c>
      <c r="Y958" t="s">
        <v>108</v>
      </c>
      <c r="AD958" t="s">
        <v>104</v>
      </c>
      <c r="AE958">
        <v>800</v>
      </c>
      <c r="AF958">
        <v>42154110</v>
      </c>
      <c r="AG958" s="73">
        <v>45359.916666666664</v>
      </c>
      <c r="AH958" t="s">
        <v>226</v>
      </c>
      <c r="AI958" t="s">
        <v>505</v>
      </c>
      <c r="AJ958" t="s">
        <v>235</v>
      </c>
      <c r="AK958" t="s">
        <v>229</v>
      </c>
      <c r="AL958" t="s">
        <v>108</v>
      </c>
      <c r="AP958" t="s">
        <v>230</v>
      </c>
      <c r="AQ958" t="s">
        <v>231</v>
      </c>
      <c r="AT958" t="s">
        <v>232</v>
      </c>
      <c r="AU958">
        <v>-99</v>
      </c>
      <c r="AV958" t="s">
        <v>104</v>
      </c>
      <c r="AW958">
        <v>800</v>
      </c>
      <c r="AX958">
        <v>42154110</v>
      </c>
      <c r="AY958" s="73">
        <v>45359.916666666664</v>
      </c>
      <c r="AZ958" t="s">
        <v>226</v>
      </c>
      <c r="BA958" t="s">
        <v>505</v>
      </c>
      <c r="BB958" t="s">
        <v>235</v>
      </c>
      <c r="BC958" t="s">
        <v>229</v>
      </c>
      <c r="BD958" t="s">
        <v>108</v>
      </c>
      <c r="BI958" t="s">
        <v>233</v>
      </c>
      <c r="BJ958" t="s">
        <v>0</v>
      </c>
      <c r="BK958">
        <v>42154100</v>
      </c>
      <c r="BN958" t="s">
        <v>104</v>
      </c>
      <c r="BO958">
        <v>42154106</v>
      </c>
      <c r="BR958">
        <v>800</v>
      </c>
      <c r="BS958">
        <v>42154110</v>
      </c>
      <c r="BT958" s="73">
        <v>45359.916666666664</v>
      </c>
      <c r="BU958" t="s">
        <v>226</v>
      </c>
      <c r="BV958" t="s">
        <v>505</v>
      </c>
      <c r="BW958" t="s">
        <v>235</v>
      </c>
      <c r="CH958" t="s">
        <v>229</v>
      </c>
      <c r="CI958" t="s">
        <v>108</v>
      </c>
      <c r="CJ958" t="s">
        <v>226</v>
      </c>
      <c r="CK958" t="s">
        <v>505</v>
      </c>
      <c r="CL958" t="s">
        <v>235</v>
      </c>
      <c r="CM958" t="s">
        <v>236</v>
      </c>
      <c r="CN958" t="s">
        <v>104</v>
      </c>
      <c r="CO958">
        <v>800</v>
      </c>
      <c r="CP958">
        <v>42154110</v>
      </c>
      <c r="CQ958" s="73">
        <v>45359.916666666664</v>
      </c>
      <c r="CR958" t="s">
        <v>229</v>
      </c>
      <c r="CS958" t="s">
        <v>108</v>
      </c>
      <c r="CU958" t="s">
        <v>225</v>
      </c>
    </row>
    <row r="959" spans="1:99">
      <c r="A959" t="s">
        <v>113</v>
      </c>
      <c r="B959" t="s">
        <v>90</v>
      </c>
      <c r="J959" t="s">
        <v>225</v>
      </c>
      <c r="K959" t="s">
        <v>225</v>
      </c>
      <c r="M959" s="73">
        <v>45359.590289351851</v>
      </c>
      <c r="N959">
        <v>42150348</v>
      </c>
      <c r="O959">
        <v>-300</v>
      </c>
      <c r="P959" t="s">
        <v>115</v>
      </c>
      <c r="Q959">
        <v>-300</v>
      </c>
      <c r="R959" t="s">
        <v>115</v>
      </c>
      <c r="U959" t="s">
        <v>226</v>
      </c>
      <c r="V959" t="s">
        <v>504</v>
      </c>
      <c r="W959" t="s">
        <v>228</v>
      </c>
      <c r="X959" t="s">
        <v>229</v>
      </c>
      <c r="Y959" t="s">
        <v>113</v>
      </c>
      <c r="AD959" t="s">
        <v>115</v>
      </c>
      <c r="AE959">
        <v>-300</v>
      </c>
      <c r="AF959">
        <v>42150348</v>
      </c>
      <c r="AG959" s="73">
        <v>45359.590289351851</v>
      </c>
      <c r="AH959" t="s">
        <v>226</v>
      </c>
      <c r="AI959" t="s">
        <v>504</v>
      </c>
      <c r="AJ959" t="s">
        <v>228</v>
      </c>
      <c r="AK959" t="s">
        <v>229</v>
      </c>
      <c r="AL959" t="s">
        <v>113</v>
      </c>
      <c r="AP959" t="s">
        <v>230</v>
      </c>
      <c r="AQ959" t="s">
        <v>231</v>
      </c>
      <c r="AT959" t="s">
        <v>232</v>
      </c>
      <c r="AU959">
        <v>-99</v>
      </c>
      <c r="AV959" t="s">
        <v>115</v>
      </c>
      <c r="AW959">
        <v>-300</v>
      </c>
      <c r="AX959">
        <v>42150348</v>
      </c>
      <c r="AY959" s="73">
        <v>45359.590289351851</v>
      </c>
      <c r="AZ959" t="s">
        <v>226</v>
      </c>
      <c r="BA959" t="s">
        <v>504</v>
      </c>
      <c r="BB959" t="s">
        <v>228</v>
      </c>
      <c r="BC959" t="s">
        <v>229</v>
      </c>
      <c r="BD959" t="s">
        <v>113</v>
      </c>
      <c r="BI959" t="s">
        <v>233</v>
      </c>
      <c r="BJ959" t="s">
        <v>0</v>
      </c>
      <c r="BK959">
        <v>42150340</v>
      </c>
      <c r="BN959" t="s">
        <v>115</v>
      </c>
      <c r="BR959">
        <v>-300</v>
      </c>
      <c r="BS959">
        <v>42150348</v>
      </c>
      <c r="BT959" s="73">
        <v>45359.590289351851</v>
      </c>
      <c r="BU959" t="s">
        <v>226</v>
      </c>
      <c r="BV959" t="s">
        <v>504</v>
      </c>
      <c r="BW959" t="s">
        <v>228</v>
      </c>
      <c r="CH959" t="s">
        <v>229</v>
      </c>
      <c r="CI959" t="s">
        <v>113</v>
      </c>
      <c r="CJ959" t="s">
        <v>226</v>
      </c>
      <c r="CK959" t="s">
        <v>504</v>
      </c>
      <c r="CL959" t="s">
        <v>228</v>
      </c>
      <c r="CM959" t="s">
        <v>234</v>
      </c>
      <c r="CN959" t="s">
        <v>115</v>
      </c>
      <c r="CO959">
        <v>-300</v>
      </c>
      <c r="CP959">
        <v>42150348</v>
      </c>
      <c r="CQ959" s="73">
        <v>45359.590289351851</v>
      </c>
      <c r="CR959" t="s">
        <v>229</v>
      </c>
      <c r="CS959" t="s">
        <v>113</v>
      </c>
      <c r="CU959" t="s">
        <v>225</v>
      </c>
    </row>
    <row r="960" spans="1:99">
      <c r="A960" t="s">
        <v>129</v>
      </c>
      <c r="B960" t="s">
        <v>90</v>
      </c>
      <c r="J960" t="s">
        <v>225</v>
      </c>
      <c r="K960" t="s">
        <v>225</v>
      </c>
      <c r="M960" s="73">
        <v>45359.590289351851</v>
      </c>
      <c r="N960">
        <v>42150347</v>
      </c>
      <c r="O960">
        <v>-5.9</v>
      </c>
      <c r="P960" t="s">
        <v>73</v>
      </c>
      <c r="Q960">
        <v>-5.9</v>
      </c>
      <c r="R960" t="s">
        <v>73</v>
      </c>
      <c r="U960" t="s">
        <v>226</v>
      </c>
      <c r="V960" t="s">
        <v>504</v>
      </c>
      <c r="W960" t="s">
        <v>228</v>
      </c>
      <c r="X960" t="s">
        <v>229</v>
      </c>
      <c r="Y960" t="s">
        <v>129</v>
      </c>
      <c r="AD960" t="s">
        <v>73</v>
      </c>
      <c r="AE960">
        <v>-5.9</v>
      </c>
      <c r="AF960">
        <v>42150347</v>
      </c>
      <c r="AG960" s="73">
        <v>45359.590289351851</v>
      </c>
      <c r="AH960" t="s">
        <v>226</v>
      </c>
      <c r="AI960" t="s">
        <v>504</v>
      </c>
      <c r="AJ960" t="s">
        <v>228</v>
      </c>
      <c r="AK960" t="s">
        <v>229</v>
      </c>
      <c r="AL960" t="s">
        <v>129</v>
      </c>
      <c r="AP960" t="s">
        <v>230</v>
      </c>
      <c r="AQ960" t="s">
        <v>231</v>
      </c>
      <c r="AT960" t="s">
        <v>232</v>
      </c>
      <c r="AU960">
        <v>-99</v>
      </c>
      <c r="AV960" t="s">
        <v>73</v>
      </c>
      <c r="AW960">
        <v>-5.9</v>
      </c>
      <c r="AX960">
        <v>42150347</v>
      </c>
      <c r="AY960" s="73">
        <v>45359.590289351851</v>
      </c>
      <c r="AZ960" t="s">
        <v>226</v>
      </c>
      <c r="BA960" t="s">
        <v>504</v>
      </c>
      <c r="BB960" t="s">
        <v>228</v>
      </c>
      <c r="BC960" t="s">
        <v>229</v>
      </c>
      <c r="BD960" t="s">
        <v>129</v>
      </c>
      <c r="BI960" t="s">
        <v>233</v>
      </c>
      <c r="BJ960" t="s">
        <v>0</v>
      </c>
      <c r="BK960">
        <v>42150340</v>
      </c>
      <c r="BN960" t="s">
        <v>73</v>
      </c>
      <c r="BR960">
        <v>-5.9</v>
      </c>
      <c r="BS960">
        <v>42150347</v>
      </c>
      <c r="BT960" s="73">
        <v>45359.590289351851</v>
      </c>
      <c r="BU960" t="s">
        <v>226</v>
      </c>
      <c r="BV960" t="s">
        <v>504</v>
      </c>
      <c r="BW960" t="s">
        <v>228</v>
      </c>
      <c r="CH960" t="s">
        <v>229</v>
      </c>
      <c r="CI960" t="s">
        <v>129</v>
      </c>
      <c r="CJ960" t="s">
        <v>226</v>
      </c>
      <c r="CK960" t="s">
        <v>504</v>
      </c>
      <c r="CL960" t="s">
        <v>228</v>
      </c>
      <c r="CM960" t="s">
        <v>234</v>
      </c>
      <c r="CN960" t="s">
        <v>73</v>
      </c>
      <c r="CO960">
        <v>-5.9</v>
      </c>
      <c r="CP960">
        <v>42150347</v>
      </c>
      <c r="CQ960" s="73">
        <v>45359.590289351851</v>
      </c>
      <c r="CR960" t="s">
        <v>229</v>
      </c>
      <c r="CS960" t="s">
        <v>129</v>
      </c>
      <c r="CU960" t="s">
        <v>225</v>
      </c>
    </row>
    <row r="961" spans="1:99">
      <c r="A961" t="s">
        <v>99</v>
      </c>
      <c r="B961" t="s">
        <v>98</v>
      </c>
      <c r="J961" t="s">
        <v>225</v>
      </c>
      <c r="K961" t="s">
        <v>225</v>
      </c>
      <c r="M961" s="73">
        <v>45359.590277777781</v>
      </c>
      <c r="N961">
        <v>42143262</v>
      </c>
      <c r="O961">
        <v>1417.95</v>
      </c>
      <c r="P961" t="s">
        <v>73</v>
      </c>
      <c r="Q961">
        <v>1417.95</v>
      </c>
      <c r="R961" t="s">
        <v>73</v>
      </c>
      <c r="U961" t="s">
        <v>226</v>
      </c>
      <c r="V961" t="s">
        <v>506</v>
      </c>
      <c r="W961" t="s">
        <v>235</v>
      </c>
      <c r="X961" t="s">
        <v>229</v>
      </c>
      <c r="Y961" t="s">
        <v>99</v>
      </c>
      <c r="AD961" t="s">
        <v>73</v>
      </c>
      <c r="AE961">
        <v>1417.95</v>
      </c>
      <c r="AF961">
        <v>42143262</v>
      </c>
      <c r="AG961" s="73">
        <v>45359.590277777781</v>
      </c>
      <c r="AH961" t="s">
        <v>226</v>
      </c>
      <c r="AI961" t="s">
        <v>506</v>
      </c>
      <c r="AJ961" t="s">
        <v>235</v>
      </c>
      <c r="AK961" t="s">
        <v>229</v>
      </c>
      <c r="AL961" t="s">
        <v>99</v>
      </c>
      <c r="AP961" t="s">
        <v>230</v>
      </c>
      <c r="AQ961" t="s">
        <v>231</v>
      </c>
      <c r="AT961" t="s">
        <v>232</v>
      </c>
      <c r="AU961">
        <v>-99</v>
      </c>
      <c r="AV961" t="s">
        <v>73</v>
      </c>
      <c r="AW961">
        <v>1417.95</v>
      </c>
      <c r="AX961">
        <v>42143262</v>
      </c>
      <c r="AY961" s="73">
        <v>45359.590277777781</v>
      </c>
      <c r="AZ961" t="s">
        <v>226</v>
      </c>
      <c r="BA961" t="s">
        <v>506</v>
      </c>
      <c r="BB961" t="s">
        <v>235</v>
      </c>
      <c r="BC961" t="s">
        <v>229</v>
      </c>
      <c r="BD961" t="s">
        <v>99</v>
      </c>
      <c r="BI961" t="s">
        <v>233</v>
      </c>
      <c r="BJ961" t="s">
        <v>0</v>
      </c>
      <c r="BK961">
        <v>42143258</v>
      </c>
      <c r="BN961" t="s">
        <v>73</v>
      </c>
      <c r="BO961">
        <v>42143260</v>
      </c>
      <c r="BR961">
        <v>1417.95</v>
      </c>
      <c r="BS961">
        <v>42143262</v>
      </c>
      <c r="BT961" s="73">
        <v>45359.590277777781</v>
      </c>
      <c r="BU961" t="s">
        <v>226</v>
      </c>
      <c r="BV961" t="s">
        <v>506</v>
      </c>
      <c r="BW961" t="s">
        <v>235</v>
      </c>
      <c r="CH961" t="s">
        <v>229</v>
      </c>
      <c r="CI961" t="s">
        <v>99</v>
      </c>
      <c r="CJ961" t="s">
        <v>226</v>
      </c>
      <c r="CK961" t="s">
        <v>506</v>
      </c>
      <c r="CL961" t="s">
        <v>235</v>
      </c>
      <c r="CM961" t="s">
        <v>236</v>
      </c>
      <c r="CN961" t="s">
        <v>73</v>
      </c>
      <c r="CO961">
        <v>1417.95</v>
      </c>
      <c r="CP961">
        <v>42143262</v>
      </c>
      <c r="CQ961" s="73">
        <v>45359.590277777781</v>
      </c>
      <c r="CR961" t="s">
        <v>229</v>
      </c>
      <c r="CS961" t="s">
        <v>99</v>
      </c>
      <c r="CU961" t="s">
        <v>225</v>
      </c>
    </row>
    <row r="962" spans="1:99">
      <c r="A962" t="s">
        <v>71</v>
      </c>
      <c r="B962" t="s">
        <v>77</v>
      </c>
      <c r="J962" t="s">
        <v>225</v>
      </c>
      <c r="K962" t="s">
        <v>225</v>
      </c>
      <c r="M962" s="73">
        <v>45359.590277777781</v>
      </c>
      <c r="N962">
        <v>42143255</v>
      </c>
      <c r="O962">
        <v>1.28</v>
      </c>
      <c r="P962" t="s">
        <v>73</v>
      </c>
      <c r="Q962">
        <v>1.28</v>
      </c>
      <c r="R962" t="s">
        <v>73</v>
      </c>
      <c r="U962" t="s">
        <v>226</v>
      </c>
      <c r="V962" t="s">
        <v>506</v>
      </c>
      <c r="W962" t="s">
        <v>237</v>
      </c>
      <c r="X962" t="s">
        <v>229</v>
      </c>
      <c r="Y962" t="s">
        <v>71</v>
      </c>
      <c r="AD962" t="s">
        <v>73</v>
      </c>
      <c r="AE962">
        <v>1.28</v>
      </c>
      <c r="AF962">
        <v>42143255</v>
      </c>
      <c r="AG962" s="73">
        <v>45359.590277777781</v>
      </c>
      <c r="AH962" t="s">
        <v>226</v>
      </c>
      <c r="AI962" t="s">
        <v>506</v>
      </c>
      <c r="AJ962" t="s">
        <v>237</v>
      </c>
      <c r="AK962" t="s">
        <v>229</v>
      </c>
      <c r="AL962" t="s">
        <v>71</v>
      </c>
      <c r="AP962" t="s">
        <v>230</v>
      </c>
      <c r="AQ962" t="s">
        <v>231</v>
      </c>
      <c r="AT962" t="s">
        <v>232</v>
      </c>
      <c r="AU962">
        <v>-99</v>
      </c>
      <c r="AV962" t="s">
        <v>73</v>
      </c>
      <c r="AW962">
        <v>1.28</v>
      </c>
      <c r="AX962">
        <v>42143255</v>
      </c>
      <c r="AY962" s="73">
        <v>45359.590277777781</v>
      </c>
      <c r="AZ962" t="s">
        <v>226</v>
      </c>
      <c r="BA962" t="s">
        <v>506</v>
      </c>
      <c r="BB962" t="s">
        <v>237</v>
      </c>
      <c r="BC962" t="s">
        <v>229</v>
      </c>
      <c r="BD962" t="s">
        <v>71</v>
      </c>
      <c r="BI962" t="s">
        <v>233</v>
      </c>
      <c r="BJ962" t="s">
        <v>0</v>
      </c>
      <c r="BK962">
        <v>42143251</v>
      </c>
      <c r="BN962" t="s">
        <v>73</v>
      </c>
      <c r="BO962">
        <v>42143253</v>
      </c>
      <c r="BR962">
        <v>1.28</v>
      </c>
      <c r="BS962">
        <v>42143255</v>
      </c>
      <c r="BT962" s="73">
        <v>45359.590277777781</v>
      </c>
      <c r="BU962" t="s">
        <v>226</v>
      </c>
      <c r="BV962" t="s">
        <v>506</v>
      </c>
      <c r="BW962" t="s">
        <v>237</v>
      </c>
      <c r="CH962" t="s">
        <v>229</v>
      </c>
      <c r="CI962" t="s">
        <v>71</v>
      </c>
      <c r="CJ962" t="s">
        <v>226</v>
      </c>
      <c r="CK962" t="s">
        <v>506</v>
      </c>
      <c r="CL962" t="s">
        <v>237</v>
      </c>
      <c r="CM962" t="s">
        <v>236</v>
      </c>
      <c r="CN962" t="s">
        <v>73</v>
      </c>
      <c r="CO962">
        <v>1.28</v>
      </c>
      <c r="CP962">
        <v>42143255</v>
      </c>
      <c r="CQ962" s="73">
        <v>45359.590277777781</v>
      </c>
      <c r="CR962" t="s">
        <v>229</v>
      </c>
      <c r="CS962" t="s">
        <v>71</v>
      </c>
      <c r="CU962" t="s">
        <v>225</v>
      </c>
    </row>
    <row r="963" spans="1:99">
      <c r="A963" t="s">
        <v>133</v>
      </c>
      <c r="B963" t="s">
        <v>90</v>
      </c>
      <c r="J963" t="s">
        <v>225</v>
      </c>
      <c r="K963" t="s">
        <v>225</v>
      </c>
      <c r="M963" s="73">
        <v>45359.590277777781</v>
      </c>
      <c r="N963">
        <v>42143248</v>
      </c>
      <c r="O963">
        <v>-586</v>
      </c>
      <c r="P963" t="s">
        <v>73</v>
      </c>
      <c r="Q963">
        <v>-586</v>
      </c>
      <c r="R963" t="s">
        <v>73</v>
      </c>
      <c r="U963" t="s">
        <v>226</v>
      </c>
      <c r="V963" t="s">
        <v>506</v>
      </c>
      <c r="W963" t="s">
        <v>228</v>
      </c>
      <c r="X963" t="s">
        <v>229</v>
      </c>
      <c r="Y963" t="s">
        <v>133</v>
      </c>
      <c r="AD963" t="s">
        <v>73</v>
      </c>
      <c r="AE963">
        <v>-586</v>
      </c>
      <c r="AF963">
        <v>42143248</v>
      </c>
      <c r="AG963" s="73">
        <v>45359.590277777781</v>
      </c>
      <c r="AH963" t="s">
        <v>226</v>
      </c>
      <c r="AI963" t="s">
        <v>506</v>
      </c>
      <c r="AJ963" t="s">
        <v>228</v>
      </c>
      <c r="AK963" t="s">
        <v>229</v>
      </c>
      <c r="AL963" t="s">
        <v>133</v>
      </c>
      <c r="AP963" t="s">
        <v>230</v>
      </c>
      <c r="AQ963" t="s">
        <v>231</v>
      </c>
      <c r="AT963" t="s">
        <v>232</v>
      </c>
      <c r="AU963">
        <v>-99</v>
      </c>
      <c r="AV963" t="s">
        <v>73</v>
      </c>
      <c r="AW963">
        <v>-586</v>
      </c>
      <c r="AX963">
        <v>42143248</v>
      </c>
      <c r="AY963" s="73">
        <v>45359.590277777781</v>
      </c>
      <c r="AZ963" t="s">
        <v>226</v>
      </c>
      <c r="BA963" t="s">
        <v>506</v>
      </c>
      <c r="BB963" t="s">
        <v>228</v>
      </c>
      <c r="BC963" t="s">
        <v>229</v>
      </c>
      <c r="BD963" t="s">
        <v>133</v>
      </c>
      <c r="BI963" t="s">
        <v>233</v>
      </c>
      <c r="BJ963" t="s">
        <v>0</v>
      </c>
      <c r="BK963">
        <v>42143244</v>
      </c>
      <c r="BN963" t="s">
        <v>73</v>
      </c>
      <c r="BR963">
        <v>-586</v>
      </c>
      <c r="BS963">
        <v>42143248</v>
      </c>
      <c r="BT963" s="73">
        <v>45359.590277777781</v>
      </c>
      <c r="BU963" t="s">
        <v>226</v>
      </c>
      <c r="BV963" t="s">
        <v>506</v>
      </c>
      <c r="BW963" t="s">
        <v>228</v>
      </c>
      <c r="CH963" t="s">
        <v>229</v>
      </c>
      <c r="CI963" t="s">
        <v>133</v>
      </c>
      <c r="CJ963" t="s">
        <v>226</v>
      </c>
      <c r="CK963" t="s">
        <v>506</v>
      </c>
      <c r="CL963" t="s">
        <v>228</v>
      </c>
      <c r="CM963" t="s">
        <v>234</v>
      </c>
      <c r="CN963" t="s">
        <v>73</v>
      </c>
      <c r="CO963">
        <v>-586</v>
      </c>
      <c r="CP963">
        <v>42143248</v>
      </c>
      <c r="CQ963" s="73">
        <v>45359.590277777781</v>
      </c>
      <c r="CR963" t="s">
        <v>229</v>
      </c>
      <c r="CS963" t="s">
        <v>133</v>
      </c>
      <c r="CU963" t="s">
        <v>225</v>
      </c>
    </row>
    <row r="964" spans="1:99">
      <c r="A964" t="s">
        <v>131</v>
      </c>
      <c r="B964" t="s">
        <v>90</v>
      </c>
      <c r="J964" t="s">
        <v>225</v>
      </c>
      <c r="K964" t="s">
        <v>225</v>
      </c>
      <c r="M964" s="73">
        <v>45359.590277777781</v>
      </c>
      <c r="N964">
        <v>42143241</v>
      </c>
      <c r="O964">
        <v>-161.1</v>
      </c>
      <c r="P964" t="s">
        <v>73</v>
      </c>
      <c r="Q964">
        <v>-161.1</v>
      </c>
      <c r="R964" t="s">
        <v>73</v>
      </c>
      <c r="U964" t="s">
        <v>226</v>
      </c>
      <c r="V964" t="s">
        <v>506</v>
      </c>
      <c r="W964" t="s">
        <v>228</v>
      </c>
      <c r="X964" t="s">
        <v>229</v>
      </c>
      <c r="Y964" t="s">
        <v>131</v>
      </c>
      <c r="AD964" t="s">
        <v>73</v>
      </c>
      <c r="AE964">
        <v>-161.1</v>
      </c>
      <c r="AF964">
        <v>42143241</v>
      </c>
      <c r="AG964" s="73">
        <v>45359.590277777781</v>
      </c>
      <c r="AH964" t="s">
        <v>226</v>
      </c>
      <c r="AI964" t="s">
        <v>506</v>
      </c>
      <c r="AJ964" t="s">
        <v>228</v>
      </c>
      <c r="AK964" t="s">
        <v>229</v>
      </c>
      <c r="AL964" t="s">
        <v>131</v>
      </c>
      <c r="AP964" t="s">
        <v>230</v>
      </c>
      <c r="AQ964" t="s">
        <v>231</v>
      </c>
      <c r="AT964" t="s">
        <v>232</v>
      </c>
      <c r="AU964">
        <v>-99</v>
      </c>
      <c r="AV964" t="s">
        <v>73</v>
      </c>
      <c r="AW964">
        <v>-161.1</v>
      </c>
      <c r="AX964">
        <v>42143241</v>
      </c>
      <c r="AY964" s="73">
        <v>45359.590277777781</v>
      </c>
      <c r="AZ964" t="s">
        <v>226</v>
      </c>
      <c r="BA964" t="s">
        <v>506</v>
      </c>
      <c r="BB964" t="s">
        <v>228</v>
      </c>
      <c r="BC964" t="s">
        <v>229</v>
      </c>
      <c r="BD964" t="s">
        <v>131</v>
      </c>
      <c r="BI964" t="s">
        <v>233</v>
      </c>
      <c r="BJ964" t="s">
        <v>0</v>
      </c>
      <c r="BK964">
        <v>42143237</v>
      </c>
      <c r="BN964" t="s">
        <v>73</v>
      </c>
      <c r="BR964">
        <v>-161.1</v>
      </c>
      <c r="BS964">
        <v>42143241</v>
      </c>
      <c r="BT964" s="73">
        <v>45359.590277777781</v>
      </c>
      <c r="BU964" t="s">
        <v>226</v>
      </c>
      <c r="BV964" t="s">
        <v>506</v>
      </c>
      <c r="BW964" t="s">
        <v>228</v>
      </c>
      <c r="CH964" t="s">
        <v>229</v>
      </c>
      <c r="CI964" t="s">
        <v>131</v>
      </c>
      <c r="CJ964" t="s">
        <v>226</v>
      </c>
      <c r="CK964" t="s">
        <v>506</v>
      </c>
      <c r="CL964" t="s">
        <v>228</v>
      </c>
      <c r="CM964" t="s">
        <v>234</v>
      </c>
      <c r="CN964" t="s">
        <v>73</v>
      </c>
      <c r="CO964">
        <v>-161.1</v>
      </c>
      <c r="CP964">
        <v>42143241</v>
      </c>
      <c r="CQ964" s="73">
        <v>45359.590277777781</v>
      </c>
      <c r="CR964" t="s">
        <v>229</v>
      </c>
      <c r="CS964" t="s">
        <v>131</v>
      </c>
      <c r="CU964" t="s">
        <v>225</v>
      </c>
    </row>
    <row r="965" spans="1:99">
      <c r="A965" t="s">
        <v>127</v>
      </c>
      <c r="B965" t="s">
        <v>90</v>
      </c>
      <c r="J965" t="s">
        <v>225</v>
      </c>
      <c r="K965" t="s">
        <v>225</v>
      </c>
      <c r="M965" s="73">
        <v>45359.590277777781</v>
      </c>
      <c r="N965">
        <v>42143234</v>
      </c>
      <c r="O965">
        <v>-659.3</v>
      </c>
      <c r="P965" t="s">
        <v>73</v>
      </c>
      <c r="Q965">
        <v>-659.3</v>
      </c>
      <c r="R965" t="s">
        <v>73</v>
      </c>
      <c r="U965" t="s">
        <v>226</v>
      </c>
      <c r="V965" t="s">
        <v>506</v>
      </c>
      <c r="W965" t="s">
        <v>228</v>
      </c>
      <c r="X965" t="s">
        <v>229</v>
      </c>
      <c r="Y965" t="s">
        <v>127</v>
      </c>
      <c r="AD965" t="s">
        <v>73</v>
      </c>
      <c r="AE965">
        <v>-659.3</v>
      </c>
      <c r="AF965">
        <v>42143234</v>
      </c>
      <c r="AG965" s="73">
        <v>45359.590277777781</v>
      </c>
      <c r="AH965" t="s">
        <v>226</v>
      </c>
      <c r="AI965" t="s">
        <v>506</v>
      </c>
      <c r="AJ965" t="s">
        <v>228</v>
      </c>
      <c r="AK965" t="s">
        <v>229</v>
      </c>
      <c r="AL965" t="s">
        <v>127</v>
      </c>
      <c r="AP965" t="s">
        <v>230</v>
      </c>
      <c r="AQ965" t="s">
        <v>231</v>
      </c>
      <c r="AT965" t="s">
        <v>232</v>
      </c>
      <c r="AU965">
        <v>-99</v>
      </c>
      <c r="AV965" t="s">
        <v>73</v>
      </c>
      <c r="AW965">
        <v>-659.3</v>
      </c>
      <c r="AX965">
        <v>42143234</v>
      </c>
      <c r="AY965" s="73">
        <v>45359.590277777781</v>
      </c>
      <c r="AZ965" t="s">
        <v>226</v>
      </c>
      <c r="BA965" t="s">
        <v>506</v>
      </c>
      <c r="BB965" t="s">
        <v>228</v>
      </c>
      <c r="BC965" t="s">
        <v>229</v>
      </c>
      <c r="BD965" t="s">
        <v>127</v>
      </c>
      <c r="BI965" t="s">
        <v>233</v>
      </c>
      <c r="BJ965" t="s">
        <v>0</v>
      </c>
      <c r="BK965">
        <v>42143230</v>
      </c>
      <c r="BN965" t="s">
        <v>73</v>
      </c>
      <c r="BR965">
        <v>-659.3</v>
      </c>
      <c r="BS965">
        <v>42143234</v>
      </c>
      <c r="BT965" s="73">
        <v>45359.590277777781</v>
      </c>
      <c r="BU965" t="s">
        <v>226</v>
      </c>
      <c r="BV965" t="s">
        <v>506</v>
      </c>
      <c r="BW965" t="s">
        <v>228</v>
      </c>
      <c r="CH965" t="s">
        <v>229</v>
      </c>
      <c r="CI965" t="s">
        <v>127</v>
      </c>
      <c r="CJ965" t="s">
        <v>226</v>
      </c>
      <c r="CK965" t="s">
        <v>506</v>
      </c>
      <c r="CL965" t="s">
        <v>228</v>
      </c>
      <c r="CM965" t="s">
        <v>234</v>
      </c>
      <c r="CN965" t="s">
        <v>73</v>
      </c>
      <c r="CO965">
        <v>-659.3</v>
      </c>
      <c r="CP965">
        <v>42143234</v>
      </c>
      <c r="CQ965" s="73">
        <v>45359.590277777781</v>
      </c>
      <c r="CR965" t="s">
        <v>229</v>
      </c>
      <c r="CS965" t="s">
        <v>127</v>
      </c>
      <c r="CU965" t="s">
        <v>225</v>
      </c>
    </row>
    <row r="966" spans="1:99">
      <c r="A966" t="s">
        <v>87</v>
      </c>
      <c r="B966" t="s">
        <v>90</v>
      </c>
      <c r="J966" t="s">
        <v>225</v>
      </c>
      <c r="K966" t="s">
        <v>225</v>
      </c>
      <c r="M966" s="73">
        <v>45359.590277777781</v>
      </c>
      <c r="N966">
        <v>42143227</v>
      </c>
      <c r="O966">
        <v>-58.6</v>
      </c>
      <c r="P966" t="s">
        <v>73</v>
      </c>
      <c r="Q966">
        <v>-58.6</v>
      </c>
      <c r="R966" t="s">
        <v>73</v>
      </c>
      <c r="U966" t="s">
        <v>226</v>
      </c>
      <c r="V966" t="s">
        <v>506</v>
      </c>
      <c r="W966" t="s">
        <v>228</v>
      </c>
      <c r="X966" t="s">
        <v>229</v>
      </c>
      <c r="Y966" t="s">
        <v>87</v>
      </c>
      <c r="AD966" t="s">
        <v>73</v>
      </c>
      <c r="AE966">
        <v>-58.6</v>
      </c>
      <c r="AF966">
        <v>42143227</v>
      </c>
      <c r="AG966" s="73">
        <v>45359.590277777781</v>
      </c>
      <c r="AH966" t="s">
        <v>226</v>
      </c>
      <c r="AI966" t="s">
        <v>506</v>
      </c>
      <c r="AJ966" t="s">
        <v>228</v>
      </c>
      <c r="AK966" t="s">
        <v>229</v>
      </c>
      <c r="AL966" t="s">
        <v>87</v>
      </c>
      <c r="AP966" t="s">
        <v>230</v>
      </c>
      <c r="AQ966" t="s">
        <v>231</v>
      </c>
      <c r="AT966" t="s">
        <v>232</v>
      </c>
      <c r="AU966">
        <v>-99</v>
      </c>
      <c r="AV966" t="s">
        <v>73</v>
      </c>
      <c r="AW966">
        <v>-58.6</v>
      </c>
      <c r="AX966">
        <v>42143227</v>
      </c>
      <c r="AY966" s="73">
        <v>45359.590277777781</v>
      </c>
      <c r="AZ966" t="s">
        <v>226</v>
      </c>
      <c r="BA966" t="s">
        <v>506</v>
      </c>
      <c r="BB966" t="s">
        <v>228</v>
      </c>
      <c r="BC966" t="s">
        <v>229</v>
      </c>
      <c r="BD966" t="s">
        <v>87</v>
      </c>
      <c r="BI966" t="s">
        <v>233</v>
      </c>
      <c r="BJ966" t="s">
        <v>0</v>
      </c>
      <c r="BK966">
        <v>42143223</v>
      </c>
      <c r="BN966" t="s">
        <v>73</v>
      </c>
      <c r="BR966">
        <v>-58.6</v>
      </c>
      <c r="BS966">
        <v>42143227</v>
      </c>
      <c r="BT966" s="73">
        <v>45359.590277777781</v>
      </c>
      <c r="BU966" t="s">
        <v>226</v>
      </c>
      <c r="BV966" t="s">
        <v>506</v>
      </c>
      <c r="BW966" t="s">
        <v>228</v>
      </c>
      <c r="CH966" t="s">
        <v>229</v>
      </c>
      <c r="CI966" t="s">
        <v>87</v>
      </c>
      <c r="CJ966" t="s">
        <v>226</v>
      </c>
      <c r="CK966" t="s">
        <v>506</v>
      </c>
      <c r="CL966" t="s">
        <v>228</v>
      </c>
      <c r="CM966" t="s">
        <v>234</v>
      </c>
      <c r="CN966" t="s">
        <v>73</v>
      </c>
      <c r="CO966">
        <v>-58.6</v>
      </c>
      <c r="CP966">
        <v>42143227</v>
      </c>
      <c r="CQ966" s="73">
        <v>45359.590277777781</v>
      </c>
      <c r="CR966" t="s">
        <v>229</v>
      </c>
      <c r="CS966" t="s">
        <v>87</v>
      </c>
      <c r="CU966" t="s">
        <v>225</v>
      </c>
    </row>
    <row r="967" spans="1:99">
      <c r="A967" t="s">
        <v>42</v>
      </c>
      <c r="B967" t="s">
        <v>92</v>
      </c>
      <c r="J967" t="s">
        <v>225</v>
      </c>
      <c r="K967" t="s">
        <v>225</v>
      </c>
      <c r="M967" s="73">
        <v>45359.583333333336</v>
      </c>
      <c r="N967">
        <v>42148665</v>
      </c>
      <c r="O967">
        <v>-4600</v>
      </c>
      <c r="P967" t="s">
        <v>45</v>
      </c>
      <c r="Q967">
        <v>-4600</v>
      </c>
      <c r="R967" t="s">
        <v>45</v>
      </c>
      <c r="U967" t="s">
        <v>226</v>
      </c>
      <c r="V967" t="s">
        <v>507</v>
      </c>
      <c r="W967" t="s">
        <v>228</v>
      </c>
      <c r="X967" t="s">
        <v>229</v>
      </c>
      <c r="Y967" t="s">
        <v>42</v>
      </c>
      <c r="AD967" t="s">
        <v>45</v>
      </c>
      <c r="AE967">
        <v>-4600</v>
      </c>
      <c r="AF967">
        <v>42148665</v>
      </c>
      <c r="AG967" s="73">
        <v>45359.583333333336</v>
      </c>
      <c r="AH967" t="s">
        <v>226</v>
      </c>
      <c r="AI967" t="s">
        <v>507</v>
      </c>
      <c r="AJ967" t="s">
        <v>228</v>
      </c>
      <c r="AK967" t="s">
        <v>229</v>
      </c>
      <c r="AL967" t="s">
        <v>42</v>
      </c>
      <c r="AP967" t="s">
        <v>230</v>
      </c>
      <c r="AQ967" t="s">
        <v>231</v>
      </c>
      <c r="AT967" t="s">
        <v>232</v>
      </c>
      <c r="AU967">
        <v>-99</v>
      </c>
      <c r="AV967" t="s">
        <v>45</v>
      </c>
      <c r="AW967">
        <v>-4600</v>
      </c>
      <c r="AX967">
        <v>42148665</v>
      </c>
      <c r="AY967" s="73">
        <v>45359.583333333336</v>
      </c>
      <c r="AZ967" t="s">
        <v>226</v>
      </c>
      <c r="BA967" t="s">
        <v>507</v>
      </c>
      <c r="BB967" t="s">
        <v>228</v>
      </c>
      <c r="BC967" t="s">
        <v>229</v>
      </c>
      <c r="BD967" t="s">
        <v>42</v>
      </c>
      <c r="BI967" t="s">
        <v>233</v>
      </c>
      <c r="BJ967" t="s">
        <v>0</v>
      </c>
      <c r="BK967">
        <v>42148650</v>
      </c>
      <c r="BN967" t="s">
        <v>45</v>
      </c>
      <c r="BR967">
        <v>-4600</v>
      </c>
      <c r="BS967">
        <v>42148665</v>
      </c>
      <c r="BT967" s="73">
        <v>45359.583333333336</v>
      </c>
      <c r="BU967" t="s">
        <v>226</v>
      </c>
      <c r="BV967" t="s">
        <v>507</v>
      </c>
      <c r="BW967" t="s">
        <v>228</v>
      </c>
      <c r="CH967" t="s">
        <v>229</v>
      </c>
      <c r="CI967" t="s">
        <v>42</v>
      </c>
      <c r="CJ967" t="s">
        <v>226</v>
      </c>
      <c r="CK967" t="s">
        <v>507</v>
      </c>
      <c r="CL967" t="s">
        <v>228</v>
      </c>
      <c r="CM967" t="s">
        <v>234</v>
      </c>
      <c r="CN967" t="s">
        <v>45</v>
      </c>
      <c r="CO967">
        <v>-4600</v>
      </c>
      <c r="CP967">
        <v>42148665</v>
      </c>
      <c r="CQ967" s="73">
        <v>45359.583333333336</v>
      </c>
      <c r="CR967" t="s">
        <v>229</v>
      </c>
      <c r="CS967" t="s">
        <v>42</v>
      </c>
      <c r="CU967" t="s">
        <v>225</v>
      </c>
    </row>
    <row r="968" spans="1:99">
      <c r="A968" t="s">
        <v>99</v>
      </c>
      <c r="B968" t="s">
        <v>98</v>
      </c>
      <c r="J968" t="s">
        <v>225</v>
      </c>
      <c r="K968" t="s">
        <v>225</v>
      </c>
      <c r="M968" s="73">
        <v>45359.583333333336</v>
      </c>
      <c r="N968">
        <v>42148664</v>
      </c>
      <c r="O968">
        <v>-230</v>
      </c>
      <c r="P968" t="s">
        <v>73</v>
      </c>
      <c r="Q968">
        <v>-230</v>
      </c>
      <c r="R968" t="s">
        <v>73</v>
      </c>
      <c r="U968" t="s">
        <v>226</v>
      </c>
      <c r="V968" t="s">
        <v>507</v>
      </c>
      <c r="W968" t="s">
        <v>228</v>
      </c>
      <c r="X968" t="s">
        <v>229</v>
      </c>
      <c r="Y968" t="s">
        <v>99</v>
      </c>
      <c r="AD968" t="s">
        <v>73</v>
      </c>
      <c r="AE968">
        <v>-230</v>
      </c>
      <c r="AF968">
        <v>42148664</v>
      </c>
      <c r="AG968" s="73">
        <v>45359.583333333336</v>
      </c>
      <c r="AH968" t="s">
        <v>226</v>
      </c>
      <c r="AI968" t="s">
        <v>507</v>
      </c>
      <c r="AJ968" t="s">
        <v>228</v>
      </c>
      <c r="AK968" t="s">
        <v>229</v>
      </c>
      <c r="AL968" t="s">
        <v>99</v>
      </c>
      <c r="AP968" t="s">
        <v>230</v>
      </c>
      <c r="AQ968" t="s">
        <v>231</v>
      </c>
      <c r="AT968" t="s">
        <v>232</v>
      </c>
      <c r="AU968">
        <v>-99</v>
      </c>
      <c r="AV968" t="s">
        <v>73</v>
      </c>
      <c r="AW968">
        <v>-230</v>
      </c>
      <c r="AX968">
        <v>42148664</v>
      </c>
      <c r="AY968" s="73">
        <v>45359.583333333336</v>
      </c>
      <c r="AZ968" t="s">
        <v>226</v>
      </c>
      <c r="BA968" t="s">
        <v>507</v>
      </c>
      <c r="BB968" t="s">
        <v>228</v>
      </c>
      <c r="BC968" t="s">
        <v>229</v>
      </c>
      <c r="BD968" t="s">
        <v>99</v>
      </c>
      <c r="BI968" t="s">
        <v>233</v>
      </c>
      <c r="BJ968" t="s">
        <v>0</v>
      </c>
      <c r="BK968">
        <v>42148650</v>
      </c>
      <c r="BN968" t="s">
        <v>73</v>
      </c>
      <c r="BR968">
        <v>-230</v>
      </c>
      <c r="BS968">
        <v>42148664</v>
      </c>
      <c r="BT968" s="73">
        <v>45359.583333333336</v>
      </c>
      <c r="BU968" t="s">
        <v>226</v>
      </c>
      <c r="BV968" t="s">
        <v>507</v>
      </c>
      <c r="BW968" t="s">
        <v>228</v>
      </c>
      <c r="CH968" t="s">
        <v>229</v>
      </c>
      <c r="CI968" t="s">
        <v>99</v>
      </c>
      <c r="CJ968" t="s">
        <v>226</v>
      </c>
      <c r="CK968" t="s">
        <v>507</v>
      </c>
      <c r="CL968" t="s">
        <v>228</v>
      </c>
      <c r="CM968" t="s">
        <v>234</v>
      </c>
      <c r="CN968" t="s">
        <v>73</v>
      </c>
      <c r="CO968">
        <v>-230</v>
      </c>
      <c r="CP968">
        <v>42148664</v>
      </c>
      <c r="CQ968" s="73">
        <v>45359.583333333336</v>
      </c>
      <c r="CR968" t="s">
        <v>229</v>
      </c>
      <c r="CS968" t="s">
        <v>99</v>
      </c>
      <c r="CU968" t="s">
        <v>225</v>
      </c>
    </row>
    <row r="969" spans="1:99">
      <c r="A969" t="s">
        <v>103</v>
      </c>
      <c r="B969" t="s">
        <v>98</v>
      </c>
      <c r="J969" t="s">
        <v>225</v>
      </c>
      <c r="K969" t="s">
        <v>225</v>
      </c>
      <c r="M969" s="73">
        <v>45359.583333333336</v>
      </c>
      <c r="N969">
        <v>42148663</v>
      </c>
      <c r="O969">
        <v>4600</v>
      </c>
      <c r="P969" t="s">
        <v>104</v>
      </c>
      <c r="Q969">
        <v>4600</v>
      </c>
      <c r="R969" t="s">
        <v>104</v>
      </c>
      <c r="S969">
        <v>230</v>
      </c>
      <c r="T969" t="s">
        <v>73</v>
      </c>
      <c r="U969" t="s">
        <v>226</v>
      </c>
      <c r="V969" t="s">
        <v>507</v>
      </c>
      <c r="W969" t="s">
        <v>235</v>
      </c>
      <c r="X969" t="s">
        <v>229</v>
      </c>
      <c r="Y969" t="s">
        <v>103</v>
      </c>
      <c r="AD969" t="s">
        <v>104</v>
      </c>
      <c r="AE969">
        <v>4600</v>
      </c>
      <c r="AF969">
        <v>42148663</v>
      </c>
      <c r="AG969" s="73">
        <v>45359.583333333336</v>
      </c>
      <c r="AH969" t="s">
        <v>226</v>
      </c>
      <c r="AI969" t="s">
        <v>507</v>
      </c>
      <c r="AJ969" t="s">
        <v>235</v>
      </c>
      <c r="AK969" t="s">
        <v>229</v>
      </c>
      <c r="AL969" t="s">
        <v>103</v>
      </c>
      <c r="AP969" t="s">
        <v>230</v>
      </c>
      <c r="AQ969" t="s">
        <v>231</v>
      </c>
      <c r="AT969" t="s">
        <v>232</v>
      </c>
      <c r="AU969">
        <v>-99</v>
      </c>
      <c r="AV969" t="s">
        <v>104</v>
      </c>
      <c r="AW969">
        <v>4600</v>
      </c>
      <c r="AX969">
        <v>42148663</v>
      </c>
      <c r="AY969" s="73">
        <v>45359.583333333336</v>
      </c>
      <c r="AZ969" t="s">
        <v>226</v>
      </c>
      <c r="BA969" t="s">
        <v>507</v>
      </c>
      <c r="BB969" t="s">
        <v>235</v>
      </c>
      <c r="BC969" t="s">
        <v>229</v>
      </c>
      <c r="BD969" t="s">
        <v>103</v>
      </c>
      <c r="BI969" t="s">
        <v>233</v>
      </c>
      <c r="BJ969" t="s">
        <v>0</v>
      </c>
      <c r="BK969">
        <v>42148650</v>
      </c>
      <c r="BN969" t="s">
        <v>104</v>
      </c>
      <c r="BO969">
        <v>42148659</v>
      </c>
      <c r="BR969">
        <v>4600</v>
      </c>
      <c r="BS969">
        <v>42148663</v>
      </c>
      <c r="BT969" s="73">
        <v>45359.583333333336</v>
      </c>
      <c r="BU969" t="s">
        <v>226</v>
      </c>
      <c r="BV969" t="s">
        <v>507</v>
      </c>
      <c r="BW969" t="s">
        <v>235</v>
      </c>
      <c r="CH969" t="s">
        <v>229</v>
      </c>
      <c r="CI969" t="s">
        <v>103</v>
      </c>
      <c r="CJ969" t="s">
        <v>226</v>
      </c>
      <c r="CK969" t="s">
        <v>507</v>
      </c>
      <c r="CL969" t="s">
        <v>235</v>
      </c>
      <c r="CM969" t="s">
        <v>236</v>
      </c>
      <c r="CN969" t="s">
        <v>104</v>
      </c>
      <c r="CO969">
        <v>4600</v>
      </c>
      <c r="CP969">
        <v>42148663</v>
      </c>
      <c r="CQ969" s="73">
        <v>45359.583333333336</v>
      </c>
      <c r="CR969" t="s">
        <v>229</v>
      </c>
      <c r="CS969" t="s">
        <v>103</v>
      </c>
      <c r="CU969" t="s">
        <v>225</v>
      </c>
    </row>
    <row r="970" spans="1:99">
      <c r="A970" t="s">
        <v>42</v>
      </c>
      <c r="B970" t="s">
        <v>92</v>
      </c>
      <c r="J970" t="s">
        <v>225</v>
      </c>
      <c r="K970" t="s">
        <v>225</v>
      </c>
      <c r="M970" s="73">
        <v>45359.583333333336</v>
      </c>
      <c r="N970">
        <v>42148643</v>
      </c>
      <c r="O970">
        <v>-5906</v>
      </c>
      <c r="P970" t="s">
        <v>45</v>
      </c>
      <c r="Q970">
        <v>-5906</v>
      </c>
      <c r="R970" t="s">
        <v>45</v>
      </c>
      <c r="U970" t="s">
        <v>226</v>
      </c>
      <c r="V970" t="s">
        <v>508</v>
      </c>
      <c r="W970" t="s">
        <v>228</v>
      </c>
      <c r="X970" t="s">
        <v>229</v>
      </c>
      <c r="Y970" t="s">
        <v>42</v>
      </c>
      <c r="AD970" t="s">
        <v>45</v>
      </c>
      <c r="AE970">
        <v>-5906</v>
      </c>
      <c r="AF970">
        <v>42148643</v>
      </c>
      <c r="AG970" s="73">
        <v>45359.583333333336</v>
      </c>
      <c r="AH970" t="s">
        <v>226</v>
      </c>
      <c r="AI970" t="s">
        <v>508</v>
      </c>
      <c r="AJ970" t="s">
        <v>228</v>
      </c>
      <c r="AK970" t="s">
        <v>229</v>
      </c>
      <c r="AL970" t="s">
        <v>42</v>
      </c>
      <c r="AP970" t="s">
        <v>230</v>
      </c>
      <c r="AQ970" t="s">
        <v>231</v>
      </c>
      <c r="AT970" t="s">
        <v>232</v>
      </c>
      <c r="AU970">
        <v>-99</v>
      </c>
      <c r="AV970" t="s">
        <v>45</v>
      </c>
      <c r="AW970">
        <v>-5906</v>
      </c>
      <c r="AX970">
        <v>42148643</v>
      </c>
      <c r="AY970" s="73">
        <v>45359.583333333336</v>
      </c>
      <c r="AZ970" t="s">
        <v>226</v>
      </c>
      <c r="BA970" t="s">
        <v>508</v>
      </c>
      <c r="BB970" t="s">
        <v>228</v>
      </c>
      <c r="BC970" t="s">
        <v>229</v>
      </c>
      <c r="BD970" t="s">
        <v>42</v>
      </c>
      <c r="BI970" t="s">
        <v>233</v>
      </c>
      <c r="BJ970" t="s">
        <v>0</v>
      </c>
      <c r="BK970">
        <v>42148627</v>
      </c>
      <c r="BN970" t="s">
        <v>45</v>
      </c>
      <c r="BR970">
        <v>-5906</v>
      </c>
      <c r="BS970">
        <v>42148643</v>
      </c>
      <c r="BT970" s="73">
        <v>45359.583333333336</v>
      </c>
      <c r="BU970" t="s">
        <v>226</v>
      </c>
      <c r="BV970" t="s">
        <v>508</v>
      </c>
      <c r="BW970" t="s">
        <v>228</v>
      </c>
      <c r="CH970" t="s">
        <v>229</v>
      </c>
      <c r="CI970" t="s">
        <v>42</v>
      </c>
      <c r="CJ970" t="s">
        <v>226</v>
      </c>
      <c r="CK970" t="s">
        <v>508</v>
      </c>
      <c r="CL970" t="s">
        <v>228</v>
      </c>
      <c r="CM970" t="s">
        <v>234</v>
      </c>
      <c r="CN970" t="s">
        <v>45</v>
      </c>
      <c r="CO970">
        <v>-5906</v>
      </c>
      <c r="CP970">
        <v>42148643</v>
      </c>
      <c r="CQ970" s="73">
        <v>45359.583333333336</v>
      </c>
      <c r="CR970" t="s">
        <v>229</v>
      </c>
      <c r="CS970" t="s">
        <v>42</v>
      </c>
      <c r="CU970" t="s">
        <v>225</v>
      </c>
    </row>
    <row r="971" spans="1:99">
      <c r="A971" t="s">
        <v>99</v>
      </c>
      <c r="B971" t="s">
        <v>98</v>
      </c>
      <c r="J971" t="s">
        <v>225</v>
      </c>
      <c r="K971" t="s">
        <v>225</v>
      </c>
      <c r="M971" s="73">
        <v>45359.583333333336</v>
      </c>
      <c r="N971">
        <v>42148642</v>
      </c>
      <c r="O971">
        <v>-295</v>
      </c>
      <c r="P971" t="s">
        <v>73</v>
      </c>
      <c r="Q971">
        <v>-295</v>
      </c>
      <c r="R971" t="s">
        <v>73</v>
      </c>
      <c r="U971" t="s">
        <v>226</v>
      </c>
      <c r="V971" t="s">
        <v>508</v>
      </c>
      <c r="W971" t="s">
        <v>228</v>
      </c>
      <c r="X971" t="s">
        <v>229</v>
      </c>
      <c r="Y971" t="s">
        <v>99</v>
      </c>
      <c r="AD971" t="s">
        <v>73</v>
      </c>
      <c r="AE971">
        <v>-295</v>
      </c>
      <c r="AF971">
        <v>42148642</v>
      </c>
      <c r="AG971" s="73">
        <v>45359.583333333336</v>
      </c>
      <c r="AH971" t="s">
        <v>226</v>
      </c>
      <c r="AI971" t="s">
        <v>508</v>
      </c>
      <c r="AJ971" t="s">
        <v>228</v>
      </c>
      <c r="AK971" t="s">
        <v>229</v>
      </c>
      <c r="AL971" t="s">
        <v>99</v>
      </c>
      <c r="AP971" t="s">
        <v>230</v>
      </c>
      <c r="AQ971" t="s">
        <v>231</v>
      </c>
      <c r="AT971" t="s">
        <v>232</v>
      </c>
      <c r="AU971">
        <v>-99</v>
      </c>
      <c r="AV971" t="s">
        <v>73</v>
      </c>
      <c r="AW971">
        <v>-295</v>
      </c>
      <c r="AX971">
        <v>42148642</v>
      </c>
      <c r="AY971" s="73">
        <v>45359.583333333336</v>
      </c>
      <c r="AZ971" t="s">
        <v>226</v>
      </c>
      <c r="BA971" t="s">
        <v>508</v>
      </c>
      <c r="BB971" t="s">
        <v>228</v>
      </c>
      <c r="BC971" t="s">
        <v>229</v>
      </c>
      <c r="BD971" t="s">
        <v>99</v>
      </c>
      <c r="BI971" t="s">
        <v>233</v>
      </c>
      <c r="BJ971" t="s">
        <v>0</v>
      </c>
      <c r="BK971">
        <v>42148627</v>
      </c>
      <c r="BN971" t="s">
        <v>73</v>
      </c>
      <c r="BR971">
        <v>-295</v>
      </c>
      <c r="BS971">
        <v>42148642</v>
      </c>
      <c r="BT971" s="73">
        <v>45359.583333333336</v>
      </c>
      <c r="BU971" t="s">
        <v>226</v>
      </c>
      <c r="BV971" t="s">
        <v>508</v>
      </c>
      <c r="BW971" t="s">
        <v>228</v>
      </c>
      <c r="CH971" t="s">
        <v>229</v>
      </c>
      <c r="CI971" t="s">
        <v>99</v>
      </c>
      <c r="CJ971" t="s">
        <v>226</v>
      </c>
      <c r="CK971" t="s">
        <v>508</v>
      </c>
      <c r="CL971" t="s">
        <v>228</v>
      </c>
      <c r="CM971" t="s">
        <v>234</v>
      </c>
      <c r="CN971" t="s">
        <v>73</v>
      </c>
      <c r="CO971">
        <v>-295</v>
      </c>
      <c r="CP971">
        <v>42148642</v>
      </c>
      <c r="CQ971" s="73">
        <v>45359.583333333336</v>
      </c>
      <c r="CR971" t="s">
        <v>229</v>
      </c>
      <c r="CS971" t="s">
        <v>99</v>
      </c>
      <c r="CU971" t="s">
        <v>225</v>
      </c>
    </row>
    <row r="972" spans="1:99">
      <c r="A972" t="s">
        <v>103</v>
      </c>
      <c r="B972" t="s">
        <v>98</v>
      </c>
      <c r="J972" t="s">
        <v>225</v>
      </c>
      <c r="K972" t="s">
        <v>225</v>
      </c>
      <c r="M972" s="73">
        <v>45359.583333333336</v>
      </c>
      <c r="N972">
        <v>42148641</v>
      </c>
      <c r="O972">
        <v>5900</v>
      </c>
      <c r="P972" t="s">
        <v>104</v>
      </c>
      <c r="Q972">
        <v>5900</v>
      </c>
      <c r="R972" t="s">
        <v>104</v>
      </c>
      <c r="S972">
        <v>295</v>
      </c>
      <c r="T972" t="s">
        <v>73</v>
      </c>
      <c r="U972" t="s">
        <v>226</v>
      </c>
      <c r="V972" t="s">
        <v>508</v>
      </c>
      <c r="W972" t="s">
        <v>235</v>
      </c>
      <c r="X972" t="s">
        <v>229</v>
      </c>
      <c r="Y972" t="s">
        <v>103</v>
      </c>
      <c r="AD972" t="s">
        <v>104</v>
      </c>
      <c r="AE972">
        <v>5900</v>
      </c>
      <c r="AF972">
        <v>42148641</v>
      </c>
      <c r="AG972" s="73">
        <v>45359.583333333336</v>
      </c>
      <c r="AH972" t="s">
        <v>226</v>
      </c>
      <c r="AI972" t="s">
        <v>508</v>
      </c>
      <c r="AJ972" t="s">
        <v>235</v>
      </c>
      <c r="AK972" t="s">
        <v>229</v>
      </c>
      <c r="AL972" t="s">
        <v>103</v>
      </c>
      <c r="AP972" t="s">
        <v>230</v>
      </c>
      <c r="AQ972" t="s">
        <v>231</v>
      </c>
      <c r="AT972" t="s">
        <v>232</v>
      </c>
      <c r="AU972">
        <v>-99</v>
      </c>
      <c r="AV972" t="s">
        <v>104</v>
      </c>
      <c r="AW972">
        <v>5900</v>
      </c>
      <c r="AX972">
        <v>42148641</v>
      </c>
      <c r="AY972" s="73">
        <v>45359.583333333336</v>
      </c>
      <c r="AZ972" t="s">
        <v>226</v>
      </c>
      <c r="BA972" t="s">
        <v>508</v>
      </c>
      <c r="BB972" t="s">
        <v>235</v>
      </c>
      <c r="BC972" t="s">
        <v>229</v>
      </c>
      <c r="BD972" t="s">
        <v>103</v>
      </c>
      <c r="BI972" t="s">
        <v>233</v>
      </c>
      <c r="BJ972" t="s">
        <v>0</v>
      </c>
      <c r="BK972">
        <v>42148627</v>
      </c>
      <c r="BN972" t="s">
        <v>104</v>
      </c>
      <c r="BO972">
        <v>42148633</v>
      </c>
      <c r="BR972">
        <v>5900</v>
      </c>
      <c r="BS972">
        <v>42148641</v>
      </c>
      <c r="BT972" s="73">
        <v>45359.583333333336</v>
      </c>
      <c r="BU972" t="s">
        <v>226</v>
      </c>
      <c r="BV972" t="s">
        <v>508</v>
      </c>
      <c r="BW972" t="s">
        <v>235</v>
      </c>
      <c r="CH972" t="s">
        <v>229</v>
      </c>
      <c r="CI972" t="s">
        <v>103</v>
      </c>
      <c r="CJ972" t="s">
        <v>226</v>
      </c>
      <c r="CK972" t="s">
        <v>508</v>
      </c>
      <c r="CL972" t="s">
        <v>235</v>
      </c>
      <c r="CM972" t="s">
        <v>236</v>
      </c>
      <c r="CN972" t="s">
        <v>104</v>
      </c>
      <c r="CO972">
        <v>5900</v>
      </c>
      <c r="CP972">
        <v>42148641</v>
      </c>
      <c r="CQ972" s="73">
        <v>45359.583333333336</v>
      </c>
      <c r="CR972" t="s">
        <v>229</v>
      </c>
      <c r="CS972" t="s">
        <v>103</v>
      </c>
      <c r="CU972" t="s">
        <v>225</v>
      </c>
    </row>
    <row r="973" spans="1:99">
      <c r="A973" t="s">
        <v>111</v>
      </c>
      <c r="B973" t="s">
        <v>77</v>
      </c>
      <c r="J973" t="s">
        <v>225</v>
      </c>
      <c r="K973" t="s">
        <v>225</v>
      </c>
      <c r="M973" s="73">
        <v>45359.583333333336</v>
      </c>
      <c r="N973">
        <v>42148640</v>
      </c>
      <c r="O973">
        <v>6</v>
      </c>
      <c r="P973" t="s">
        <v>45</v>
      </c>
      <c r="Q973">
        <v>6</v>
      </c>
      <c r="R973" t="s">
        <v>45</v>
      </c>
      <c r="U973" t="s">
        <v>226</v>
      </c>
      <c r="V973" t="s">
        <v>508</v>
      </c>
      <c r="W973" t="s">
        <v>237</v>
      </c>
      <c r="X973" t="s">
        <v>229</v>
      </c>
      <c r="Y973" t="s">
        <v>111</v>
      </c>
      <c r="AD973" t="s">
        <v>45</v>
      </c>
      <c r="AE973">
        <v>6</v>
      </c>
      <c r="AF973">
        <v>42148640</v>
      </c>
      <c r="AG973" s="73">
        <v>45359.583333333336</v>
      </c>
      <c r="AH973" t="s">
        <v>226</v>
      </c>
      <c r="AI973" t="s">
        <v>508</v>
      </c>
      <c r="AJ973" t="s">
        <v>237</v>
      </c>
      <c r="AK973" t="s">
        <v>229</v>
      </c>
      <c r="AL973" t="s">
        <v>111</v>
      </c>
      <c r="AP973" t="s">
        <v>230</v>
      </c>
      <c r="AQ973" t="s">
        <v>231</v>
      </c>
      <c r="AT973" t="s">
        <v>232</v>
      </c>
      <c r="AU973">
        <v>-99</v>
      </c>
      <c r="AV973" t="s">
        <v>45</v>
      </c>
      <c r="AW973">
        <v>6</v>
      </c>
      <c r="AX973">
        <v>42148640</v>
      </c>
      <c r="AY973" s="73">
        <v>45359.583333333336</v>
      </c>
      <c r="AZ973" t="s">
        <v>226</v>
      </c>
      <c r="BA973" t="s">
        <v>508</v>
      </c>
      <c r="BB973" t="s">
        <v>237</v>
      </c>
      <c r="BC973" t="s">
        <v>229</v>
      </c>
      <c r="BD973" t="s">
        <v>111</v>
      </c>
      <c r="BI973" t="s">
        <v>233</v>
      </c>
      <c r="BJ973" t="s">
        <v>0</v>
      </c>
      <c r="BK973">
        <v>42148627</v>
      </c>
      <c r="BN973" t="s">
        <v>45</v>
      </c>
      <c r="BO973">
        <v>42148635</v>
      </c>
      <c r="BR973">
        <v>6</v>
      </c>
      <c r="BS973">
        <v>42148640</v>
      </c>
      <c r="BT973" s="73">
        <v>45359.583333333336</v>
      </c>
      <c r="BU973" t="s">
        <v>226</v>
      </c>
      <c r="BV973" t="s">
        <v>508</v>
      </c>
      <c r="BW973" t="s">
        <v>237</v>
      </c>
      <c r="CH973" t="s">
        <v>229</v>
      </c>
      <c r="CI973" t="s">
        <v>111</v>
      </c>
      <c r="CJ973" t="s">
        <v>226</v>
      </c>
      <c r="CK973" t="s">
        <v>508</v>
      </c>
      <c r="CL973" t="s">
        <v>237</v>
      </c>
      <c r="CM973" t="s">
        <v>236</v>
      </c>
      <c r="CN973" t="s">
        <v>45</v>
      </c>
      <c r="CO973">
        <v>6</v>
      </c>
      <c r="CP973">
        <v>42148640</v>
      </c>
      <c r="CQ973" s="73">
        <v>45359.583333333336</v>
      </c>
      <c r="CR973" t="s">
        <v>229</v>
      </c>
      <c r="CS973" t="s">
        <v>111</v>
      </c>
      <c r="CU973" t="s">
        <v>225</v>
      </c>
    </row>
    <row r="974" spans="1:99">
      <c r="A974" t="s">
        <v>52</v>
      </c>
      <c r="B974" t="s">
        <v>92</v>
      </c>
      <c r="J974" t="s">
        <v>225</v>
      </c>
      <c r="K974" t="s">
        <v>225</v>
      </c>
      <c r="M974" s="73">
        <v>45359.583333333336</v>
      </c>
      <c r="N974">
        <v>42148625</v>
      </c>
      <c r="O974">
        <v>-1901</v>
      </c>
      <c r="P974" t="s">
        <v>45</v>
      </c>
      <c r="Q974">
        <v>-1901</v>
      </c>
      <c r="R974" t="s">
        <v>45</v>
      </c>
      <c r="U974" t="s">
        <v>226</v>
      </c>
      <c r="V974" t="s">
        <v>509</v>
      </c>
      <c r="W974" t="s">
        <v>228</v>
      </c>
      <c r="X974" t="s">
        <v>229</v>
      </c>
      <c r="Y974" t="s">
        <v>52</v>
      </c>
      <c r="AD974" t="s">
        <v>45</v>
      </c>
      <c r="AE974">
        <v>-1901</v>
      </c>
      <c r="AF974">
        <v>42148625</v>
      </c>
      <c r="AG974" s="73">
        <v>45359.583333333336</v>
      </c>
      <c r="AH974" t="s">
        <v>226</v>
      </c>
      <c r="AI974" t="s">
        <v>509</v>
      </c>
      <c r="AJ974" t="s">
        <v>228</v>
      </c>
      <c r="AK974" t="s">
        <v>229</v>
      </c>
      <c r="AL974" t="s">
        <v>52</v>
      </c>
      <c r="AP974" t="s">
        <v>230</v>
      </c>
      <c r="AQ974" t="s">
        <v>231</v>
      </c>
      <c r="AT974" t="s">
        <v>232</v>
      </c>
      <c r="AU974">
        <v>-99</v>
      </c>
      <c r="AV974" t="s">
        <v>45</v>
      </c>
      <c r="AW974">
        <v>-1901</v>
      </c>
      <c r="AX974">
        <v>42148625</v>
      </c>
      <c r="AY974" s="73">
        <v>45359.583333333336</v>
      </c>
      <c r="AZ974" t="s">
        <v>226</v>
      </c>
      <c r="BA974" t="s">
        <v>509</v>
      </c>
      <c r="BB974" t="s">
        <v>228</v>
      </c>
      <c r="BC974" t="s">
        <v>229</v>
      </c>
      <c r="BD974" t="s">
        <v>52</v>
      </c>
      <c r="BI974" t="s">
        <v>233</v>
      </c>
      <c r="BJ974" t="s">
        <v>0</v>
      </c>
      <c r="BK974">
        <v>42148609</v>
      </c>
      <c r="BN974" t="s">
        <v>45</v>
      </c>
      <c r="BR974">
        <v>-1901</v>
      </c>
      <c r="BS974">
        <v>42148625</v>
      </c>
      <c r="BT974" s="73">
        <v>45359.583333333336</v>
      </c>
      <c r="BU974" t="s">
        <v>226</v>
      </c>
      <c r="BV974" t="s">
        <v>509</v>
      </c>
      <c r="BW974" t="s">
        <v>228</v>
      </c>
      <c r="CH974" t="s">
        <v>229</v>
      </c>
      <c r="CI974" t="s">
        <v>52</v>
      </c>
      <c r="CJ974" t="s">
        <v>226</v>
      </c>
      <c r="CK974" t="s">
        <v>509</v>
      </c>
      <c r="CL974" t="s">
        <v>228</v>
      </c>
      <c r="CM974" t="s">
        <v>234</v>
      </c>
      <c r="CN974" t="s">
        <v>45</v>
      </c>
      <c r="CO974">
        <v>-1901</v>
      </c>
      <c r="CP974">
        <v>42148625</v>
      </c>
      <c r="CQ974" s="73">
        <v>45359.583333333336</v>
      </c>
      <c r="CR974" t="s">
        <v>229</v>
      </c>
      <c r="CS974" t="s">
        <v>52</v>
      </c>
      <c r="CU974" t="s">
        <v>225</v>
      </c>
    </row>
    <row r="975" spans="1:99">
      <c r="A975" t="s">
        <v>101</v>
      </c>
      <c r="B975" t="s">
        <v>98</v>
      </c>
      <c r="J975" t="s">
        <v>225</v>
      </c>
      <c r="K975" t="s">
        <v>225</v>
      </c>
      <c r="M975" s="73">
        <v>45359.583333333336</v>
      </c>
      <c r="N975">
        <v>42148624</v>
      </c>
      <c r="O975">
        <v>-95</v>
      </c>
      <c r="P975" t="s">
        <v>73</v>
      </c>
      <c r="Q975">
        <v>-95</v>
      </c>
      <c r="R975" t="s">
        <v>73</v>
      </c>
      <c r="U975" t="s">
        <v>226</v>
      </c>
      <c r="V975" t="s">
        <v>509</v>
      </c>
      <c r="W975" t="s">
        <v>228</v>
      </c>
      <c r="X975" t="s">
        <v>229</v>
      </c>
      <c r="Y975" t="s">
        <v>101</v>
      </c>
      <c r="AD975" t="s">
        <v>73</v>
      </c>
      <c r="AE975">
        <v>-95</v>
      </c>
      <c r="AF975">
        <v>42148624</v>
      </c>
      <c r="AG975" s="73">
        <v>45359.583333333336</v>
      </c>
      <c r="AH975" t="s">
        <v>226</v>
      </c>
      <c r="AI975" t="s">
        <v>509</v>
      </c>
      <c r="AJ975" t="s">
        <v>228</v>
      </c>
      <c r="AK975" t="s">
        <v>229</v>
      </c>
      <c r="AL975" t="s">
        <v>101</v>
      </c>
      <c r="AP975" t="s">
        <v>230</v>
      </c>
      <c r="AQ975" t="s">
        <v>231</v>
      </c>
      <c r="AT975" t="s">
        <v>232</v>
      </c>
      <c r="AU975">
        <v>-99</v>
      </c>
      <c r="AV975" t="s">
        <v>73</v>
      </c>
      <c r="AW975">
        <v>-95</v>
      </c>
      <c r="AX975">
        <v>42148624</v>
      </c>
      <c r="AY975" s="73">
        <v>45359.583333333336</v>
      </c>
      <c r="AZ975" t="s">
        <v>226</v>
      </c>
      <c r="BA975" t="s">
        <v>509</v>
      </c>
      <c r="BB975" t="s">
        <v>228</v>
      </c>
      <c r="BC975" t="s">
        <v>229</v>
      </c>
      <c r="BD975" t="s">
        <v>101</v>
      </c>
      <c r="BI975" t="s">
        <v>233</v>
      </c>
      <c r="BJ975" t="s">
        <v>0</v>
      </c>
      <c r="BK975">
        <v>42148609</v>
      </c>
      <c r="BN975" t="s">
        <v>73</v>
      </c>
      <c r="BR975">
        <v>-95</v>
      </c>
      <c r="BS975">
        <v>42148624</v>
      </c>
      <c r="BT975" s="73">
        <v>45359.583333333336</v>
      </c>
      <c r="BU975" t="s">
        <v>226</v>
      </c>
      <c r="BV975" t="s">
        <v>509</v>
      </c>
      <c r="BW975" t="s">
        <v>228</v>
      </c>
      <c r="CH975" t="s">
        <v>229</v>
      </c>
      <c r="CI975" t="s">
        <v>101</v>
      </c>
      <c r="CJ975" t="s">
        <v>226</v>
      </c>
      <c r="CK975" t="s">
        <v>509</v>
      </c>
      <c r="CL975" t="s">
        <v>228</v>
      </c>
      <c r="CM975" t="s">
        <v>234</v>
      </c>
      <c r="CN975" t="s">
        <v>73</v>
      </c>
      <c r="CO975">
        <v>-95</v>
      </c>
      <c r="CP975">
        <v>42148624</v>
      </c>
      <c r="CQ975" s="73">
        <v>45359.583333333336</v>
      </c>
      <c r="CR975" t="s">
        <v>229</v>
      </c>
      <c r="CS975" t="s">
        <v>101</v>
      </c>
      <c r="CU975" t="s">
        <v>225</v>
      </c>
    </row>
    <row r="976" spans="1:99">
      <c r="A976" t="s">
        <v>107</v>
      </c>
      <c r="B976" t="s">
        <v>98</v>
      </c>
      <c r="J976" t="s">
        <v>225</v>
      </c>
      <c r="K976" t="s">
        <v>225</v>
      </c>
      <c r="M976" s="73">
        <v>45359.583333333336</v>
      </c>
      <c r="N976">
        <v>42148623</v>
      </c>
      <c r="O976">
        <v>1900</v>
      </c>
      <c r="P976" t="s">
        <v>104</v>
      </c>
      <c r="Q976">
        <v>1900</v>
      </c>
      <c r="R976" t="s">
        <v>104</v>
      </c>
      <c r="S976">
        <v>95</v>
      </c>
      <c r="T976" t="s">
        <v>73</v>
      </c>
      <c r="U976" t="s">
        <v>226</v>
      </c>
      <c r="V976" t="s">
        <v>509</v>
      </c>
      <c r="W976" t="s">
        <v>235</v>
      </c>
      <c r="X976" t="s">
        <v>229</v>
      </c>
      <c r="Y976" t="s">
        <v>107</v>
      </c>
      <c r="AD976" t="s">
        <v>104</v>
      </c>
      <c r="AE976">
        <v>1900</v>
      </c>
      <c r="AF976">
        <v>42148623</v>
      </c>
      <c r="AG976" s="73">
        <v>45359.583333333336</v>
      </c>
      <c r="AH976" t="s">
        <v>226</v>
      </c>
      <c r="AI976" t="s">
        <v>509</v>
      </c>
      <c r="AJ976" t="s">
        <v>235</v>
      </c>
      <c r="AK976" t="s">
        <v>229</v>
      </c>
      <c r="AL976" t="s">
        <v>107</v>
      </c>
      <c r="AP976" t="s">
        <v>230</v>
      </c>
      <c r="AQ976" t="s">
        <v>231</v>
      </c>
      <c r="AT976" t="s">
        <v>232</v>
      </c>
      <c r="AU976">
        <v>-99</v>
      </c>
      <c r="AV976" t="s">
        <v>104</v>
      </c>
      <c r="AW976">
        <v>1900</v>
      </c>
      <c r="AX976">
        <v>42148623</v>
      </c>
      <c r="AY976" s="73">
        <v>45359.583333333336</v>
      </c>
      <c r="AZ976" t="s">
        <v>226</v>
      </c>
      <c r="BA976" t="s">
        <v>509</v>
      </c>
      <c r="BB976" t="s">
        <v>235</v>
      </c>
      <c r="BC976" t="s">
        <v>229</v>
      </c>
      <c r="BD976" t="s">
        <v>107</v>
      </c>
      <c r="BI976" t="s">
        <v>233</v>
      </c>
      <c r="BJ976" t="s">
        <v>0</v>
      </c>
      <c r="BK976">
        <v>42148609</v>
      </c>
      <c r="BN976" t="s">
        <v>104</v>
      </c>
      <c r="BO976">
        <v>42148615</v>
      </c>
      <c r="BR976">
        <v>1900</v>
      </c>
      <c r="BS976">
        <v>42148623</v>
      </c>
      <c r="BT976" s="73">
        <v>45359.583333333336</v>
      </c>
      <c r="BU976" t="s">
        <v>226</v>
      </c>
      <c r="BV976" t="s">
        <v>509</v>
      </c>
      <c r="BW976" t="s">
        <v>235</v>
      </c>
      <c r="CH976" t="s">
        <v>229</v>
      </c>
      <c r="CI976" t="s">
        <v>107</v>
      </c>
      <c r="CJ976" t="s">
        <v>226</v>
      </c>
      <c r="CK976" t="s">
        <v>509</v>
      </c>
      <c r="CL976" t="s">
        <v>235</v>
      </c>
      <c r="CM976" t="s">
        <v>236</v>
      </c>
      <c r="CN976" t="s">
        <v>104</v>
      </c>
      <c r="CO976">
        <v>1900</v>
      </c>
      <c r="CP976">
        <v>42148623</v>
      </c>
      <c r="CQ976" s="73">
        <v>45359.583333333336</v>
      </c>
      <c r="CR976" t="s">
        <v>229</v>
      </c>
      <c r="CS976" t="s">
        <v>107</v>
      </c>
      <c r="CU976" t="s">
        <v>225</v>
      </c>
    </row>
    <row r="977" spans="1:99">
      <c r="A977" t="s">
        <v>111</v>
      </c>
      <c r="B977" t="s">
        <v>77</v>
      </c>
      <c r="J977" t="s">
        <v>225</v>
      </c>
      <c r="K977" t="s">
        <v>225</v>
      </c>
      <c r="M977" s="73">
        <v>45359.583333333336</v>
      </c>
      <c r="N977">
        <v>42148622</v>
      </c>
      <c r="O977">
        <v>1</v>
      </c>
      <c r="P977" t="s">
        <v>45</v>
      </c>
      <c r="Q977">
        <v>1</v>
      </c>
      <c r="R977" t="s">
        <v>45</v>
      </c>
      <c r="U977" t="s">
        <v>226</v>
      </c>
      <c r="V977" t="s">
        <v>509</v>
      </c>
      <c r="W977" t="s">
        <v>237</v>
      </c>
      <c r="X977" t="s">
        <v>229</v>
      </c>
      <c r="Y977" t="s">
        <v>111</v>
      </c>
      <c r="AD977" t="s">
        <v>45</v>
      </c>
      <c r="AE977">
        <v>1</v>
      </c>
      <c r="AF977">
        <v>42148622</v>
      </c>
      <c r="AG977" s="73">
        <v>45359.583333333336</v>
      </c>
      <c r="AH977" t="s">
        <v>226</v>
      </c>
      <c r="AI977" t="s">
        <v>509</v>
      </c>
      <c r="AJ977" t="s">
        <v>237</v>
      </c>
      <c r="AK977" t="s">
        <v>229</v>
      </c>
      <c r="AL977" t="s">
        <v>111</v>
      </c>
      <c r="AP977" t="s">
        <v>230</v>
      </c>
      <c r="AQ977" t="s">
        <v>231</v>
      </c>
      <c r="AT977" t="s">
        <v>232</v>
      </c>
      <c r="AU977">
        <v>-99</v>
      </c>
      <c r="AV977" t="s">
        <v>45</v>
      </c>
      <c r="AW977">
        <v>1</v>
      </c>
      <c r="AX977">
        <v>42148622</v>
      </c>
      <c r="AY977" s="73">
        <v>45359.583333333336</v>
      </c>
      <c r="AZ977" t="s">
        <v>226</v>
      </c>
      <c r="BA977" t="s">
        <v>509</v>
      </c>
      <c r="BB977" t="s">
        <v>237</v>
      </c>
      <c r="BC977" t="s">
        <v>229</v>
      </c>
      <c r="BD977" t="s">
        <v>111</v>
      </c>
      <c r="BI977" t="s">
        <v>233</v>
      </c>
      <c r="BJ977" t="s">
        <v>0</v>
      </c>
      <c r="BK977">
        <v>42148609</v>
      </c>
      <c r="BN977" t="s">
        <v>45</v>
      </c>
      <c r="BO977">
        <v>42148617</v>
      </c>
      <c r="BR977">
        <v>1</v>
      </c>
      <c r="BS977">
        <v>42148622</v>
      </c>
      <c r="BT977" s="73">
        <v>45359.583333333336</v>
      </c>
      <c r="BU977" t="s">
        <v>226</v>
      </c>
      <c r="BV977" t="s">
        <v>509</v>
      </c>
      <c r="BW977" t="s">
        <v>237</v>
      </c>
      <c r="CH977" t="s">
        <v>229</v>
      </c>
      <c r="CI977" t="s">
        <v>111</v>
      </c>
      <c r="CJ977" t="s">
        <v>226</v>
      </c>
      <c r="CK977" t="s">
        <v>509</v>
      </c>
      <c r="CL977" t="s">
        <v>237</v>
      </c>
      <c r="CM977" t="s">
        <v>236</v>
      </c>
      <c r="CN977" t="s">
        <v>45</v>
      </c>
      <c r="CO977">
        <v>1</v>
      </c>
      <c r="CP977">
        <v>42148622</v>
      </c>
      <c r="CQ977" s="73">
        <v>45359.583333333336</v>
      </c>
      <c r="CR977" t="s">
        <v>229</v>
      </c>
      <c r="CS977" t="s">
        <v>111</v>
      </c>
      <c r="CU977" t="s">
        <v>225</v>
      </c>
    </row>
    <row r="978" spans="1:99">
      <c r="A978" t="s">
        <v>42</v>
      </c>
      <c r="B978" t="s">
        <v>92</v>
      </c>
      <c r="J978" t="s">
        <v>225</v>
      </c>
      <c r="K978" t="s">
        <v>225</v>
      </c>
      <c r="M978" s="73">
        <v>45359.57984953704</v>
      </c>
      <c r="N978">
        <v>42140287</v>
      </c>
      <c r="O978">
        <v>-5550</v>
      </c>
      <c r="P978" t="s">
        <v>45</v>
      </c>
      <c r="Q978">
        <v>-5550</v>
      </c>
      <c r="R978" t="s">
        <v>45</v>
      </c>
      <c r="U978" t="s">
        <v>226</v>
      </c>
      <c r="V978" t="s">
        <v>510</v>
      </c>
      <c r="W978" t="s">
        <v>228</v>
      </c>
      <c r="X978" t="s">
        <v>229</v>
      </c>
      <c r="Y978" t="s">
        <v>42</v>
      </c>
      <c r="AD978" t="s">
        <v>45</v>
      </c>
      <c r="AE978">
        <v>-5550</v>
      </c>
      <c r="AF978">
        <v>42140287</v>
      </c>
      <c r="AG978" s="73">
        <v>45359.57984953704</v>
      </c>
      <c r="AH978" t="s">
        <v>226</v>
      </c>
      <c r="AI978" t="s">
        <v>510</v>
      </c>
      <c r="AJ978" t="s">
        <v>228</v>
      </c>
      <c r="AK978" t="s">
        <v>229</v>
      </c>
      <c r="AL978" t="s">
        <v>42</v>
      </c>
      <c r="AP978" t="s">
        <v>230</v>
      </c>
      <c r="AQ978" t="s">
        <v>231</v>
      </c>
      <c r="AT978" t="s">
        <v>232</v>
      </c>
      <c r="AU978">
        <v>-99</v>
      </c>
      <c r="AV978" t="s">
        <v>45</v>
      </c>
      <c r="AW978">
        <v>-5550</v>
      </c>
      <c r="AX978">
        <v>42140287</v>
      </c>
      <c r="AY978" s="73">
        <v>45359.57984953704</v>
      </c>
      <c r="AZ978" t="s">
        <v>226</v>
      </c>
      <c r="BA978" t="s">
        <v>510</v>
      </c>
      <c r="BB978" t="s">
        <v>228</v>
      </c>
      <c r="BC978" t="s">
        <v>229</v>
      </c>
      <c r="BD978" t="s">
        <v>42</v>
      </c>
      <c r="BI978" t="s">
        <v>233</v>
      </c>
      <c r="BJ978" t="s">
        <v>0</v>
      </c>
      <c r="BK978">
        <v>42140275</v>
      </c>
      <c r="BN978" t="s">
        <v>45</v>
      </c>
      <c r="BR978">
        <v>-5550</v>
      </c>
      <c r="BS978">
        <v>42140287</v>
      </c>
      <c r="BT978" s="73">
        <v>45359.57984953704</v>
      </c>
      <c r="BU978" t="s">
        <v>226</v>
      </c>
      <c r="BV978" t="s">
        <v>510</v>
      </c>
      <c r="BW978" t="s">
        <v>228</v>
      </c>
      <c r="CH978" t="s">
        <v>229</v>
      </c>
      <c r="CI978" t="s">
        <v>42</v>
      </c>
      <c r="CJ978" t="s">
        <v>226</v>
      </c>
      <c r="CK978" t="s">
        <v>510</v>
      </c>
      <c r="CL978" t="s">
        <v>228</v>
      </c>
      <c r="CM978" t="s">
        <v>234</v>
      </c>
      <c r="CN978" t="s">
        <v>45</v>
      </c>
      <c r="CO978">
        <v>-5550</v>
      </c>
      <c r="CP978">
        <v>42140287</v>
      </c>
      <c r="CQ978" s="73">
        <v>45359.57984953704</v>
      </c>
      <c r="CR978" t="s">
        <v>229</v>
      </c>
      <c r="CS978" t="s">
        <v>42</v>
      </c>
      <c r="CU978" t="s">
        <v>225</v>
      </c>
    </row>
    <row r="979" spans="1:99">
      <c r="A979" t="s">
        <v>99</v>
      </c>
      <c r="B979" t="s">
        <v>98</v>
      </c>
      <c r="J979" t="s">
        <v>225</v>
      </c>
      <c r="K979" t="s">
        <v>225</v>
      </c>
      <c r="M979" s="73">
        <v>45359.57984953704</v>
      </c>
      <c r="N979">
        <v>42140286</v>
      </c>
      <c r="O979">
        <v>-277.5</v>
      </c>
      <c r="P979" t="s">
        <v>73</v>
      </c>
      <c r="Q979">
        <v>-277.5</v>
      </c>
      <c r="R979" t="s">
        <v>73</v>
      </c>
      <c r="U979" t="s">
        <v>226</v>
      </c>
      <c r="V979" t="s">
        <v>510</v>
      </c>
      <c r="W979" t="s">
        <v>228</v>
      </c>
      <c r="X979" t="s">
        <v>229</v>
      </c>
      <c r="Y979" t="s">
        <v>99</v>
      </c>
      <c r="AD979" t="s">
        <v>73</v>
      </c>
      <c r="AE979">
        <v>-277.5</v>
      </c>
      <c r="AF979">
        <v>42140286</v>
      </c>
      <c r="AG979" s="73">
        <v>45359.57984953704</v>
      </c>
      <c r="AH979" t="s">
        <v>226</v>
      </c>
      <c r="AI979" t="s">
        <v>510</v>
      </c>
      <c r="AJ979" t="s">
        <v>228</v>
      </c>
      <c r="AK979" t="s">
        <v>229</v>
      </c>
      <c r="AL979" t="s">
        <v>99</v>
      </c>
      <c r="AP979" t="s">
        <v>230</v>
      </c>
      <c r="AQ979" t="s">
        <v>231</v>
      </c>
      <c r="AT979" t="s">
        <v>232</v>
      </c>
      <c r="AU979">
        <v>-99</v>
      </c>
      <c r="AV979" t="s">
        <v>73</v>
      </c>
      <c r="AW979">
        <v>-277.5</v>
      </c>
      <c r="AX979">
        <v>42140286</v>
      </c>
      <c r="AY979" s="73">
        <v>45359.57984953704</v>
      </c>
      <c r="AZ979" t="s">
        <v>226</v>
      </c>
      <c r="BA979" t="s">
        <v>510</v>
      </c>
      <c r="BB979" t="s">
        <v>228</v>
      </c>
      <c r="BC979" t="s">
        <v>229</v>
      </c>
      <c r="BD979" t="s">
        <v>99</v>
      </c>
      <c r="BI979" t="s">
        <v>233</v>
      </c>
      <c r="BJ979" t="s">
        <v>0</v>
      </c>
      <c r="BK979">
        <v>42140275</v>
      </c>
      <c r="BN979" t="s">
        <v>73</v>
      </c>
      <c r="BR979">
        <v>-277.5</v>
      </c>
      <c r="BS979">
        <v>42140286</v>
      </c>
      <c r="BT979" s="73">
        <v>45359.57984953704</v>
      </c>
      <c r="BU979" t="s">
        <v>226</v>
      </c>
      <c r="BV979" t="s">
        <v>510</v>
      </c>
      <c r="BW979" t="s">
        <v>228</v>
      </c>
      <c r="CH979" t="s">
        <v>229</v>
      </c>
      <c r="CI979" t="s">
        <v>99</v>
      </c>
      <c r="CJ979" t="s">
        <v>226</v>
      </c>
      <c r="CK979" t="s">
        <v>510</v>
      </c>
      <c r="CL979" t="s">
        <v>228</v>
      </c>
      <c r="CM979" t="s">
        <v>234</v>
      </c>
      <c r="CN979" t="s">
        <v>73</v>
      </c>
      <c r="CO979">
        <v>-277.5</v>
      </c>
      <c r="CP979">
        <v>42140286</v>
      </c>
      <c r="CQ979" s="73">
        <v>45359.57984953704</v>
      </c>
      <c r="CR979" t="s">
        <v>229</v>
      </c>
      <c r="CS979" t="s">
        <v>99</v>
      </c>
      <c r="CU979" t="s">
        <v>225</v>
      </c>
    </row>
    <row r="980" spans="1:99">
      <c r="A980" t="s">
        <v>103</v>
      </c>
      <c r="B980" t="s">
        <v>98</v>
      </c>
      <c r="J980" t="s">
        <v>225</v>
      </c>
      <c r="K980" t="s">
        <v>225</v>
      </c>
      <c r="M980" s="73">
        <v>45359.57984953704</v>
      </c>
      <c r="N980">
        <v>42140285</v>
      </c>
      <c r="O980">
        <v>5550</v>
      </c>
      <c r="P980" t="s">
        <v>104</v>
      </c>
      <c r="Q980">
        <v>5550</v>
      </c>
      <c r="R980" t="s">
        <v>104</v>
      </c>
      <c r="S980">
        <v>277.5</v>
      </c>
      <c r="T980" t="s">
        <v>73</v>
      </c>
      <c r="U980" t="s">
        <v>226</v>
      </c>
      <c r="V980" t="s">
        <v>510</v>
      </c>
      <c r="W980" t="s">
        <v>235</v>
      </c>
      <c r="X980" t="s">
        <v>229</v>
      </c>
      <c r="Y980" t="s">
        <v>103</v>
      </c>
      <c r="AD980" t="s">
        <v>104</v>
      </c>
      <c r="AE980">
        <v>5550</v>
      </c>
      <c r="AF980">
        <v>42140285</v>
      </c>
      <c r="AG980" s="73">
        <v>45359.57984953704</v>
      </c>
      <c r="AH980" t="s">
        <v>226</v>
      </c>
      <c r="AI980" t="s">
        <v>510</v>
      </c>
      <c r="AJ980" t="s">
        <v>235</v>
      </c>
      <c r="AK980" t="s">
        <v>229</v>
      </c>
      <c r="AL980" t="s">
        <v>103</v>
      </c>
      <c r="AP980" t="s">
        <v>230</v>
      </c>
      <c r="AQ980" t="s">
        <v>231</v>
      </c>
      <c r="AT980" t="s">
        <v>232</v>
      </c>
      <c r="AU980">
        <v>-99</v>
      </c>
      <c r="AV980" t="s">
        <v>104</v>
      </c>
      <c r="AW980">
        <v>5550</v>
      </c>
      <c r="AX980">
        <v>42140285</v>
      </c>
      <c r="AY980" s="73">
        <v>45359.57984953704</v>
      </c>
      <c r="AZ980" t="s">
        <v>226</v>
      </c>
      <c r="BA980" t="s">
        <v>510</v>
      </c>
      <c r="BB980" t="s">
        <v>235</v>
      </c>
      <c r="BC980" t="s">
        <v>229</v>
      </c>
      <c r="BD980" t="s">
        <v>103</v>
      </c>
      <c r="BI980" t="s">
        <v>233</v>
      </c>
      <c r="BJ980" t="s">
        <v>0</v>
      </c>
      <c r="BK980">
        <v>42140275</v>
      </c>
      <c r="BN980" t="s">
        <v>104</v>
      </c>
      <c r="BO980">
        <v>42140281</v>
      </c>
      <c r="BR980">
        <v>5550</v>
      </c>
      <c r="BS980">
        <v>42140285</v>
      </c>
      <c r="BT980" s="73">
        <v>45359.57984953704</v>
      </c>
      <c r="BU980" t="s">
        <v>226</v>
      </c>
      <c r="BV980" t="s">
        <v>510</v>
      </c>
      <c r="BW980" t="s">
        <v>235</v>
      </c>
      <c r="CH980" t="s">
        <v>229</v>
      </c>
      <c r="CI980" t="s">
        <v>103</v>
      </c>
      <c r="CJ980" t="s">
        <v>226</v>
      </c>
      <c r="CK980" t="s">
        <v>510</v>
      </c>
      <c r="CL980" t="s">
        <v>235</v>
      </c>
      <c r="CM980" t="s">
        <v>236</v>
      </c>
      <c r="CN980" t="s">
        <v>104</v>
      </c>
      <c r="CO980">
        <v>5550</v>
      </c>
      <c r="CP980">
        <v>42140285</v>
      </c>
      <c r="CQ980" s="73">
        <v>45359.57984953704</v>
      </c>
      <c r="CR980" t="s">
        <v>229</v>
      </c>
      <c r="CS980" t="s">
        <v>103</v>
      </c>
      <c r="CU980" t="s">
        <v>225</v>
      </c>
    </row>
    <row r="981" spans="1:99">
      <c r="A981" t="s">
        <v>42</v>
      </c>
      <c r="B981" t="s">
        <v>92</v>
      </c>
      <c r="J981" t="s">
        <v>225</v>
      </c>
      <c r="K981" t="s">
        <v>225</v>
      </c>
      <c r="M981" s="73">
        <v>45359.578344907408</v>
      </c>
      <c r="N981">
        <v>42140270</v>
      </c>
      <c r="O981">
        <v>-4307</v>
      </c>
      <c r="P981" t="s">
        <v>45</v>
      </c>
      <c r="Q981">
        <v>-4307</v>
      </c>
      <c r="R981" t="s">
        <v>45</v>
      </c>
      <c r="U981" t="s">
        <v>226</v>
      </c>
      <c r="V981" t="s">
        <v>511</v>
      </c>
      <c r="W981" t="s">
        <v>228</v>
      </c>
      <c r="X981" t="s">
        <v>229</v>
      </c>
      <c r="Y981" t="s">
        <v>42</v>
      </c>
      <c r="AD981" t="s">
        <v>45</v>
      </c>
      <c r="AE981">
        <v>-4307</v>
      </c>
      <c r="AF981">
        <v>42140270</v>
      </c>
      <c r="AG981" s="73">
        <v>45359.578344907408</v>
      </c>
      <c r="AH981" t="s">
        <v>226</v>
      </c>
      <c r="AI981" t="s">
        <v>511</v>
      </c>
      <c r="AJ981" t="s">
        <v>228</v>
      </c>
      <c r="AK981" t="s">
        <v>229</v>
      </c>
      <c r="AL981" t="s">
        <v>42</v>
      </c>
      <c r="AP981" t="s">
        <v>230</v>
      </c>
      <c r="AQ981" t="s">
        <v>231</v>
      </c>
      <c r="AT981" t="s">
        <v>232</v>
      </c>
      <c r="AU981">
        <v>-99</v>
      </c>
      <c r="AV981" t="s">
        <v>45</v>
      </c>
      <c r="AW981">
        <v>-4307</v>
      </c>
      <c r="AX981">
        <v>42140270</v>
      </c>
      <c r="AY981" s="73">
        <v>45359.578344907408</v>
      </c>
      <c r="AZ981" t="s">
        <v>226</v>
      </c>
      <c r="BA981" t="s">
        <v>511</v>
      </c>
      <c r="BB981" t="s">
        <v>228</v>
      </c>
      <c r="BC981" t="s">
        <v>229</v>
      </c>
      <c r="BD981" t="s">
        <v>42</v>
      </c>
      <c r="BI981" t="s">
        <v>233</v>
      </c>
      <c r="BJ981" t="s">
        <v>0</v>
      </c>
      <c r="BK981">
        <v>42140254</v>
      </c>
      <c r="BN981" t="s">
        <v>45</v>
      </c>
      <c r="BR981">
        <v>-4307</v>
      </c>
      <c r="BS981">
        <v>42140270</v>
      </c>
      <c r="BT981" s="73">
        <v>45359.578344907408</v>
      </c>
      <c r="BU981" t="s">
        <v>226</v>
      </c>
      <c r="BV981" t="s">
        <v>511</v>
      </c>
      <c r="BW981" t="s">
        <v>228</v>
      </c>
      <c r="CH981" t="s">
        <v>229</v>
      </c>
      <c r="CI981" t="s">
        <v>42</v>
      </c>
      <c r="CJ981" t="s">
        <v>226</v>
      </c>
      <c r="CK981" t="s">
        <v>511</v>
      </c>
      <c r="CL981" t="s">
        <v>228</v>
      </c>
      <c r="CM981" t="s">
        <v>234</v>
      </c>
      <c r="CN981" t="s">
        <v>45</v>
      </c>
      <c r="CO981">
        <v>-4307</v>
      </c>
      <c r="CP981">
        <v>42140270</v>
      </c>
      <c r="CQ981" s="73">
        <v>45359.578344907408</v>
      </c>
      <c r="CR981" t="s">
        <v>229</v>
      </c>
      <c r="CS981" t="s">
        <v>42</v>
      </c>
      <c r="CU981" t="s">
        <v>225</v>
      </c>
    </row>
    <row r="982" spans="1:99">
      <c r="A982" t="s">
        <v>99</v>
      </c>
      <c r="B982" t="s">
        <v>98</v>
      </c>
      <c r="J982" t="s">
        <v>225</v>
      </c>
      <c r="K982" t="s">
        <v>225</v>
      </c>
      <c r="M982" s="73">
        <v>45359.578344907408</v>
      </c>
      <c r="N982">
        <v>42140269</v>
      </c>
      <c r="O982">
        <v>-215</v>
      </c>
      <c r="P982" t="s">
        <v>73</v>
      </c>
      <c r="Q982">
        <v>-215</v>
      </c>
      <c r="R982" t="s">
        <v>73</v>
      </c>
      <c r="U982" t="s">
        <v>226</v>
      </c>
      <c r="V982" t="s">
        <v>511</v>
      </c>
      <c r="W982" t="s">
        <v>228</v>
      </c>
      <c r="X982" t="s">
        <v>229</v>
      </c>
      <c r="Y982" t="s">
        <v>99</v>
      </c>
      <c r="AD982" t="s">
        <v>73</v>
      </c>
      <c r="AE982">
        <v>-215</v>
      </c>
      <c r="AF982">
        <v>42140269</v>
      </c>
      <c r="AG982" s="73">
        <v>45359.578344907408</v>
      </c>
      <c r="AH982" t="s">
        <v>226</v>
      </c>
      <c r="AI982" t="s">
        <v>511</v>
      </c>
      <c r="AJ982" t="s">
        <v>228</v>
      </c>
      <c r="AK982" t="s">
        <v>229</v>
      </c>
      <c r="AL982" t="s">
        <v>99</v>
      </c>
      <c r="AP982" t="s">
        <v>230</v>
      </c>
      <c r="AQ982" t="s">
        <v>231</v>
      </c>
      <c r="AT982" t="s">
        <v>232</v>
      </c>
      <c r="AU982">
        <v>-99</v>
      </c>
      <c r="AV982" t="s">
        <v>73</v>
      </c>
      <c r="AW982">
        <v>-215</v>
      </c>
      <c r="AX982">
        <v>42140269</v>
      </c>
      <c r="AY982" s="73">
        <v>45359.578344907408</v>
      </c>
      <c r="AZ982" t="s">
        <v>226</v>
      </c>
      <c r="BA982" t="s">
        <v>511</v>
      </c>
      <c r="BB982" t="s">
        <v>228</v>
      </c>
      <c r="BC982" t="s">
        <v>229</v>
      </c>
      <c r="BD982" t="s">
        <v>99</v>
      </c>
      <c r="BI982" t="s">
        <v>233</v>
      </c>
      <c r="BJ982" t="s">
        <v>0</v>
      </c>
      <c r="BK982">
        <v>42140254</v>
      </c>
      <c r="BN982" t="s">
        <v>73</v>
      </c>
      <c r="BR982">
        <v>-215</v>
      </c>
      <c r="BS982">
        <v>42140269</v>
      </c>
      <c r="BT982" s="73">
        <v>45359.578344907408</v>
      </c>
      <c r="BU982" t="s">
        <v>226</v>
      </c>
      <c r="BV982" t="s">
        <v>511</v>
      </c>
      <c r="BW982" t="s">
        <v>228</v>
      </c>
      <c r="CH982" t="s">
        <v>229</v>
      </c>
      <c r="CI982" t="s">
        <v>99</v>
      </c>
      <c r="CJ982" t="s">
        <v>226</v>
      </c>
      <c r="CK982" t="s">
        <v>511</v>
      </c>
      <c r="CL982" t="s">
        <v>228</v>
      </c>
      <c r="CM982" t="s">
        <v>234</v>
      </c>
      <c r="CN982" t="s">
        <v>73</v>
      </c>
      <c r="CO982">
        <v>-215</v>
      </c>
      <c r="CP982">
        <v>42140269</v>
      </c>
      <c r="CQ982" s="73">
        <v>45359.578344907408</v>
      </c>
      <c r="CR982" t="s">
        <v>229</v>
      </c>
      <c r="CS982" t="s">
        <v>99</v>
      </c>
      <c r="CU982" t="s">
        <v>225</v>
      </c>
    </row>
    <row r="983" spans="1:99">
      <c r="A983" t="s">
        <v>103</v>
      </c>
      <c r="B983" t="s">
        <v>98</v>
      </c>
      <c r="J983" t="s">
        <v>225</v>
      </c>
      <c r="K983" t="s">
        <v>225</v>
      </c>
      <c r="M983" s="73">
        <v>45359.578344907408</v>
      </c>
      <c r="N983">
        <v>42140268</v>
      </c>
      <c r="O983">
        <v>4300</v>
      </c>
      <c r="P983" t="s">
        <v>104</v>
      </c>
      <c r="Q983">
        <v>4300</v>
      </c>
      <c r="R983" t="s">
        <v>104</v>
      </c>
      <c r="S983">
        <v>215</v>
      </c>
      <c r="T983" t="s">
        <v>73</v>
      </c>
      <c r="U983" t="s">
        <v>226</v>
      </c>
      <c r="V983" t="s">
        <v>511</v>
      </c>
      <c r="W983" t="s">
        <v>235</v>
      </c>
      <c r="X983" t="s">
        <v>229</v>
      </c>
      <c r="Y983" t="s">
        <v>103</v>
      </c>
      <c r="AD983" t="s">
        <v>104</v>
      </c>
      <c r="AE983">
        <v>4300</v>
      </c>
      <c r="AF983">
        <v>42140268</v>
      </c>
      <c r="AG983" s="73">
        <v>45359.578344907408</v>
      </c>
      <c r="AH983" t="s">
        <v>226</v>
      </c>
      <c r="AI983" t="s">
        <v>511</v>
      </c>
      <c r="AJ983" t="s">
        <v>235</v>
      </c>
      <c r="AK983" t="s">
        <v>229</v>
      </c>
      <c r="AL983" t="s">
        <v>103</v>
      </c>
      <c r="AP983" t="s">
        <v>230</v>
      </c>
      <c r="AQ983" t="s">
        <v>231</v>
      </c>
      <c r="AT983" t="s">
        <v>232</v>
      </c>
      <c r="AU983">
        <v>-99</v>
      </c>
      <c r="AV983" t="s">
        <v>104</v>
      </c>
      <c r="AW983">
        <v>4300</v>
      </c>
      <c r="AX983">
        <v>42140268</v>
      </c>
      <c r="AY983" s="73">
        <v>45359.578344907408</v>
      </c>
      <c r="AZ983" t="s">
        <v>226</v>
      </c>
      <c r="BA983" t="s">
        <v>511</v>
      </c>
      <c r="BB983" t="s">
        <v>235</v>
      </c>
      <c r="BC983" t="s">
        <v>229</v>
      </c>
      <c r="BD983" t="s">
        <v>103</v>
      </c>
      <c r="BI983" t="s">
        <v>233</v>
      </c>
      <c r="BJ983" t="s">
        <v>0</v>
      </c>
      <c r="BK983">
        <v>42140254</v>
      </c>
      <c r="BN983" t="s">
        <v>104</v>
      </c>
      <c r="BO983">
        <v>42140260</v>
      </c>
      <c r="BR983">
        <v>4300</v>
      </c>
      <c r="BS983">
        <v>42140268</v>
      </c>
      <c r="BT983" s="73">
        <v>45359.578344907408</v>
      </c>
      <c r="BU983" t="s">
        <v>226</v>
      </c>
      <c r="BV983" t="s">
        <v>511</v>
      </c>
      <c r="BW983" t="s">
        <v>235</v>
      </c>
      <c r="CH983" t="s">
        <v>229</v>
      </c>
      <c r="CI983" t="s">
        <v>103</v>
      </c>
      <c r="CJ983" t="s">
        <v>226</v>
      </c>
      <c r="CK983" t="s">
        <v>511</v>
      </c>
      <c r="CL983" t="s">
        <v>235</v>
      </c>
      <c r="CM983" t="s">
        <v>236</v>
      </c>
      <c r="CN983" t="s">
        <v>104</v>
      </c>
      <c r="CO983">
        <v>4300</v>
      </c>
      <c r="CP983">
        <v>42140268</v>
      </c>
      <c r="CQ983" s="73">
        <v>45359.578344907408</v>
      </c>
      <c r="CR983" t="s">
        <v>229</v>
      </c>
      <c r="CS983" t="s">
        <v>103</v>
      </c>
      <c r="CU983" t="s">
        <v>225</v>
      </c>
    </row>
    <row r="984" spans="1:99">
      <c r="A984" t="s">
        <v>111</v>
      </c>
      <c r="B984" t="s">
        <v>77</v>
      </c>
      <c r="J984" t="s">
        <v>225</v>
      </c>
      <c r="K984" t="s">
        <v>225</v>
      </c>
      <c r="M984" s="73">
        <v>45359.578344907408</v>
      </c>
      <c r="N984">
        <v>42140267</v>
      </c>
      <c r="O984">
        <v>7</v>
      </c>
      <c r="P984" t="s">
        <v>45</v>
      </c>
      <c r="Q984">
        <v>7</v>
      </c>
      <c r="R984" t="s">
        <v>45</v>
      </c>
      <c r="U984" t="s">
        <v>226</v>
      </c>
      <c r="V984" t="s">
        <v>511</v>
      </c>
      <c r="W984" t="s">
        <v>237</v>
      </c>
      <c r="X984" t="s">
        <v>229</v>
      </c>
      <c r="Y984" t="s">
        <v>111</v>
      </c>
      <c r="AD984" t="s">
        <v>45</v>
      </c>
      <c r="AE984">
        <v>7</v>
      </c>
      <c r="AF984">
        <v>42140267</v>
      </c>
      <c r="AG984" s="73">
        <v>45359.578344907408</v>
      </c>
      <c r="AH984" t="s">
        <v>226</v>
      </c>
      <c r="AI984" t="s">
        <v>511</v>
      </c>
      <c r="AJ984" t="s">
        <v>237</v>
      </c>
      <c r="AK984" t="s">
        <v>229</v>
      </c>
      <c r="AL984" t="s">
        <v>111</v>
      </c>
      <c r="AP984" t="s">
        <v>230</v>
      </c>
      <c r="AQ984" t="s">
        <v>231</v>
      </c>
      <c r="AT984" t="s">
        <v>232</v>
      </c>
      <c r="AU984">
        <v>-99</v>
      </c>
      <c r="AV984" t="s">
        <v>45</v>
      </c>
      <c r="AW984">
        <v>7</v>
      </c>
      <c r="AX984">
        <v>42140267</v>
      </c>
      <c r="AY984" s="73">
        <v>45359.578344907408</v>
      </c>
      <c r="AZ984" t="s">
        <v>226</v>
      </c>
      <c r="BA984" t="s">
        <v>511</v>
      </c>
      <c r="BB984" t="s">
        <v>237</v>
      </c>
      <c r="BC984" t="s">
        <v>229</v>
      </c>
      <c r="BD984" t="s">
        <v>111</v>
      </c>
      <c r="BI984" t="s">
        <v>233</v>
      </c>
      <c r="BJ984" t="s">
        <v>0</v>
      </c>
      <c r="BK984">
        <v>42140254</v>
      </c>
      <c r="BN984" t="s">
        <v>45</v>
      </c>
      <c r="BO984">
        <v>42140262</v>
      </c>
      <c r="BR984">
        <v>7</v>
      </c>
      <c r="BS984">
        <v>42140267</v>
      </c>
      <c r="BT984" s="73">
        <v>45359.578344907408</v>
      </c>
      <c r="BU984" t="s">
        <v>226</v>
      </c>
      <c r="BV984" t="s">
        <v>511</v>
      </c>
      <c r="BW984" t="s">
        <v>237</v>
      </c>
      <c r="CH984" t="s">
        <v>229</v>
      </c>
      <c r="CI984" t="s">
        <v>111</v>
      </c>
      <c r="CJ984" t="s">
        <v>226</v>
      </c>
      <c r="CK984" t="s">
        <v>511</v>
      </c>
      <c r="CL984" t="s">
        <v>237</v>
      </c>
      <c r="CM984" t="s">
        <v>236</v>
      </c>
      <c r="CN984" t="s">
        <v>45</v>
      </c>
      <c r="CO984">
        <v>7</v>
      </c>
      <c r="CP984">
        <v>42140267</v>
      </c>
      <c r="CQ984" s="73">
        <v>45359.578344907408</v>
      </c>
      <c r="CR984" t="s">
        <v>229</v>
      </c>
      <c r="CS984" t="s">
        <v>111</v>
      </c>
      <c r="CU984" t="s">
        <v>225</v>
      </c>
    </row>
    <row r="985" spans="1:99">
      <c r="A985" t="s">
        <v>46</v>
      </c>
      <c r="B985" t="s">
        <v>92</v>
      </c>
      <c r="J985" t="s">
        <v>225</v>
      </c>
      <c r="K985" t="s">
        <v>225</v>
      </c>
      <c r="M985" s="73">
        <v>45359.577349537038</v>
      </c>
      <c r="N985">
        <v>42140252</v>
      </c>
      <c r="O985">
        <v>-500</v>
      </c>
      <c r="P985" t="s">
        <v>45</v>
      </c>
      <c r="Q985">
        <v>-500</v>
      </c>
      <c r="R985" t="s">
        <v>45</v>
      </c>
      <c r="U985" t="s">
        <v>226</v>
      </c>
      <c r="V985" t="s">
        <v>512</v>
      </c>
      <c r="W985" t="s">
        <v>228</v>
      </c>
      <c r="X985" t="s">
        <v>229</v>
      </c>
      <c r="Y985" t="s">
        <v>46</v>
      </c>
      <c r="AD985" t="s">
        <v>45</v>
      </c>
      <c r="AE985">
        <v>-500</v>
      </c>
      <c r="AF985">
        <v>42140252</v>
      </c>
      <c r="AG985" s="73">
        <v>45359.577349537038</v>
      </c>
      <c r="AH985" t="s">
        <v>226</v>
      </c>
      <c r="AI985" t="s">
        <v>512</v>
      </c>
      <c r="AJ985" t="s">
        <v>228</v>
      </c>
      <c r="AK985" t="s">
        <v>229</v>
      </c>
      <c r="AL985" t="s">
        <v>46</v>
      </c>
      <c r="AP985" t="s">
        <v>230</v>
      </c>
      <c r="AQ985" t="s">
        <v>231</v>
      </c>
      <c r="AT985" t="s">
        <v>232</v>
      </c>
      <c r="AU985">
        <v>-99</v>
      </c>
      <c r="AV985" t="s">
        <v>45</v>
      </c>
      <c r="AW985">
        <v>-500</v>
      </c>
      <c r="AX985">
        <v>42140252</v>
      </c>
      <c r="AY985" s="73">
        <v>45359.577349537038</v>
      </c>
      <c r="AZ985" t="s">
        <v>226</v>
      </c>
      <c r="BA985" t="s">
        <v>512</v>
      </c>
      <c r="BB985" t="s">
        <v>228</v>
      </c>
      <c r="BC985" t="s">
        <v>229</v>
      </c>
      <c r="BD985" t="s">
        <v>46</v>
      </c>
      <c r="BI985" t="s">
        <v>233</v>
      </c>
      <c r="BJ985" t="s">
        <v>0</v>
      </c>
      <c r="BK985">
        <v>42140240</v>
      </c>
      <c r="BN985" t="s">
        <v>45</v>
      </c>
      <c r="BR985">
        <v>-500</v>
      </c>
      <c r="BS985">
        <v>42140252</v>
      </c>
      <c r="BT985" s="73">
        <v>45359.577349537038</v>
      </c>
      <c r="BU985" t="s">
        <v>226</v>
      </c>
      <c r="BV985" t="s">
        <v>512</v>
      </c>
      <c r="BW985" t="s">
        <v>228</v>
      </c>
      <c r="CH985" t="s">
        <v>229</v>
      </c>
      <c r="CI985" t="s">
        <v>46</v>
      </c>
      <c r="CJ985" t="s">
        <v>226</v>
      </c>
      <c r="CK985" t="s">
        <v>512</v>
      </c>
      <c r="CL985" t="s">
        <v>228</v>
      </c>
      <c r="CM985" t="s">
        <v>234</v>
      </c>
      <c r="CN985" t="s">
        <v>45</v>
      </c>
      <c r="CO985">
        <v>-500</v>
      </c>
      <c r="CP985">
        <v>42140252</v>
      </c>
      <c r="CQ985" s="73">
        <v>45359.577349537038</v>
      </c>
      <c r="CR985" t="s">
        <v>229</v>
      </c>
      <c r="CS985" t="s">
        <v>46</v>
      </c>
      <c r="CU985" t="s">
        <v>225</v>
      </c>
    </row>
    <row r="986" spans="1:99">
      <c r="A986" t="s">
        <v>93</v>
      </c>
      <c r="B986" t="s">
        <v>98</v>
      </c>
      <c r="J986" t="s">
        <v>225</v>
      </c>
      <c r="K986" t="s">
        <v>225</v>
      </c>
      <c r="M986" s="73">
        <v>45359.577349537038</v>
      </c>
      <c r="N986">
        <v>42140251</v>
      </c>
      <c r="O986">
        <v>-25</v>
      </c>
      <c r="P986" t="s">
        <v>73</v>
      </c>
      <c r="Q986">
        <v>-25</v>
      </c>
      <c r="R986" t="s">
        <v>73</v>
      </c>
      <c r="U986" t="s">
        <v>226</v>
      </c>
      <c r="V986" t="s">
        <v>512</v>
      </c>
      <c r="W986" t="s">
        <v>228</v>
      </c>
      <c r="X986" t="s">
        <v>229</v>
      </c>
      <c r="Y986" t="s">
        <v>93</v>
      </c>
      <c r="AD986" t="s">
        <v>73</v>
      </c>
      <c r="AE986">
        <v>-25</v>
      </c>
      <c r="AF986">
        <v>42140251</v>
      </c>
      <c r="AG986" s="73">
        <v>45359.577349537038</v>
      </c>
      <c r="AH986" t="s">
        <v>226</v>
      </c>
      <c r="AI986" t="s">
        <v>512</v>
      </c>
      <c r="AJ986" t="s">
        <v>228</v>
      </c>
      <c r="AK986" t="s">
        <v>229</v>
      </c>
      <c r="AL986" t="s">
        <v>93</v>
      </c>
      <c r="AP986" t="s">
        <v>230</v>
      </c>
      <c r="AQ986" t="s">
        <v>231</v>
      </c>
      <c r="AT986" t="s">
        <v>232</v>
      </c>
      <c r="AU986">
        <v>-99</v>
      </c>
      <c r="AV986" t="s">
        <v>73</v>
      </c>
      <c r="AW986">
        <v>-25</v>
      </c>
      <c r="AX986">
        <v>42140251</v>
      </c>
      <c r="AY986" s="73">
        <v>45359.577349537038</v>
      </c>
      <c r="AZ986" t="s">
        <v>226</v>
      </c>
      <c r="BA986" t="s">
        <v>512</v>
      </c>
      <c r="BB986" t="s">
        <v>228</v>
      </c>
      <c r="BC986" t="s">
        <v>229</v>
      </c>
      <c r="BD986" t="s">
        <v>93</v>
      </c>
      <c r="BI986" t="s">
        <v>233</v>
      </c>
      <c r="BJ986" t="s">
        <v>0</v>
      </c>
      <c r="BK986">
        <v>42140240</v>
      </c>
      <c r="BN986" t="s">
        <v>73</v>
      </c>
      <c r="BR986">
        <v>-25</v>
      </c>
      <c r="BS986">
        <v>42140251</v>
      </c>
      <c r="BT986" s="73">
        <v>45359.577349537038</v>
      </c>
      <c r="BU986" t="s">
        <v>226</v>
      </c>
      <c r="BV986" t="s">
        <v>512</v>
      </c>
      <c r="BW986" t="s">
        <v>228</v>
      </c>
      <c r="CH986" t="s">
        <v>229</v>
      </c>
      <c r="CI986" t="s">
        <v>93</v>
      </c>
      <c r="CJ986" t="s">
        <v>226</v>
      </c>
      <c r="CK986" t="s">
        <v>512</v>
      </c>
      <c r="CL986" t="s">
        <v>228</v>
      </c>
      <c r="CM986" t="s">
        <v>234</v>
      </c>
      <c r="CN986" t="s">
        <v>73</v>
      </c>
      <c r="CO986">
        <v>-25</v>
      </c>
      <c r="CP986">
        <v>42140251</v>
      </c>
      <c r="CQ986" s="73">
        <v>45359.577349537038</v>
      </c>
      <c r="CR986" t="s">
        <v>229</v>
      </c>
      <c r="CS986" t="s">
        <v>93</v>
      </c>
      <c r="CU986" t="s">
        <v>225</v>
      </c>
    </row>
    <row r="987" spans="1:99">
      <c r="A987" t="s">
        <v>108</v>
      </c>
      <c r="B987" t="s">
        <v>98</v>
      </c>
      <c r="J987" t="s">
        <v>225</v>
      </c>
      <c r="K987" t="s">
        <v>225</v>
      </c>
      <c r="M987" s="73">
        <v>45359.577349537038</v>
      </c>
      <c r="N987">
        <v>42140250</v>
      </c>
      <c r="O987">
        <v>500</v>
      </c>
      <c r="P987" t="s">
        <v>104</v>
      </c>
      <c r="Q987">
        <v>500</v>
      </c>
      <c r="R987" t="s">
        <v>104</v>
      </c>
      <c r="S987">
        <v>25</v>
      </c>
      <c r="T987" t="s">
        <v>73</v>
      </c>
      <c r="U987" t="s">
        <v>226</v>
      </c>
      <c r="V987" t="s">
        <v>512</v>
      </c>
      <c r="W987" t="s">
        <v>235</v>
      </c>
      <c r="X987" t="s">
        <v>229</v>
      </c>
      <c r="Y987" t="s">
        <v>108</v>
      </c>
      <c r="AD987" t="s">
        <v>104</v>
      </c>
      <c r="AE987">
        <v>500</v>
      </c>
      <c r="AF987">
        <v>42140250</v>
      </c>
      <c r="AG987" s="73">
        <v>45359.577349537038</v>
      </c>
      <c r="AH987" t="s">
        <v>226</v>
      </c>
      <c r="AI987" t="s">
        <v>512</v>
      </c>
      <c r="AJ987" t="s">
        <v>235</v>
      </c>
      <c r="AK987" t="s">
        <v>229</v>
      </c>
      <c r="AL987" t="s">
        <v>108</v>
      </c>
      <c r="AP987" t="s">
        <v>230</v>
      </c>
      <c r="AQ987" t="s">
        <v>231</v>
      </c>
      <c r="AT987" t="s">
        <v>232</v>
      </c>
      <c r="AU987">
        <v>-99</v>
      </c>
      <c r="AV987" t="s">
        <v>104</v>
      </c>
      <c r="AW987">
        <v>500</v>
      </c>
      <c r="AX987">
        <v>42140250</v>
      </c>
      <c r="AY987" s="73">
        <v>45359.577349537038</v>
      </c>
      <c r="AZ987" t="s">
        <v>226</v>
      </c>
      <c r="BA987" t="s">
        <v>512</v>
      </c>
      <c r="BB987" t="s">
        <v>235</v>
      </c>
      <c r="BC987" t="s">
        <v>229</v>
      </c>
      <c r="BD987" t="s">
        <v>108</v>
      </c>
      <c r="BI987" t="s">
        <v>233</v>
      </c>
      <c r="BJ987" t="s">
        <v>0</v>
      </c>
      <c r="BK987">
        <v>42140240</v>
      </c>
      <c r="BN987" t="s">
        <v>104</v>
      </c>
      <c r="BO987">
        <v>42140246</v>
      </c>
      <c r="BR987">
        <v>500</v>
      </c>
      <c r="BS987">
        <v>42140250</v>
      </c>
      <c r="BT987" s="73">
        <v>45359.577349537038</v>
      </c>
      <c r="BU987" t="s">
        <v>226</v>
      </c>
      <c r="BV987" t="s">
        <v>512</v>
      </c>
      <c r="BW987" t="s">
        <v>235</v>
      </c>
      <c r="CH987" t="s">
        <v>229</v>
      </c>
      <c r="CI987" t="s">
        <v>108</v>
      </c>
      <c r="CJ987" t="s">
        <v>226</v>
      </c>
      <c r="CK987" t="s">
        <v>512</v>
      </c>
      <c r="CL987" t="s">
        <v>235</v>
      </c>
      <c r="CM987" t="s">
        <v>236</v>
      </c>
      <c r="CN987" t="s">
        <v>104</v>
      </c>
      <c r="CO987">
        <v>500</v>
      </c>
      <c r="CP987">
        <v>42140250</v>
      </c>
      <c r="CQ987" s="73">
        <v>45359.577349537038</v>
      </c>
      <c r="CR987" t="s">
        <v>229</v>
      </c>
      <c r="CS987" t="s">
        <v>108</v>
      </c>
      <c r="CU987" t="s">
        <v>225</v>
      </c>
    </row>
    <row r="988" spans="1:99">
      <c r="A988" t="s">
        <v>52</v>
      </c>
      <c r="B988" t="s">
        <v>92</v>
      </c>
      <c r="J988" t="s">
        <v>225</v>
      </c>
      <c r="K988" t="s">
        <v>225</v>
      </c>
      <c r="M988" s="73">
        <v>45359.575972222221</v>
      </c>
      <c r="N988">
        <v>42140238</v>
      </c>
      <c r="O988">
        <v>-1321</v>
      </c>
      <c r="P988" t="s">
        <v>45</v>
      </c>
      <c r="Q988">
        <v>-1321</v>
      </c>
      <c r="R988" t="s">
        <v>45</v>
      </c>
      <c r="U988" t="s">
        <v>226</v>
      </c>
      <c r="V988" t="s">
        <v>513</v>
      </c>
      <c r="W988" t="s">
        <v>228</v>
      </c>
      <c r="X988" t="s">
        <v>229</v>
      </c>
      <c r="Y988" t="s">
        <v>52</v>
      </c>
      <c r="AD988" t="s">
        <v>45</v>
      </c>
      <c r="AE988">
        <v>-1321</v>
      </c>
      <c r="AF988">
        <v>42140238</v>
      </c>
      <c r="AG988" s="73">
        <v>45359.575972222221</v>
      </c>
      <c r="AH988" t="s">
        <v>226</v>
      </c>
      <c r="AI988" t="s">
        <v>513</v>
      </c>
      <c r="AJ988" t="s">
        <v>228</v>
      </c>
      <c r="AK988" t="s">
        <v>229</v>
      </c>
      <c r="AL988" t="s">
        <v>52</v>
      </c>
      <c r="AP988" t="s">
        <v>230</v>
      </c>
      <c r="AQ988" t="s">
        <v>231</v>
      </c>
      <c r="AT988" t="s">
        <v>232</v>
      </c>
      <c r="AU988">
        <v>-99</v>
      </c>
      <c r="AV988" t="s">
        <v>45</v>
      </c>
      <c r="AW988">
        <v>-1321</v>
      </c>
      <c r="AX988">
        <v>42140238</v>
      </c>
      <c r="AY988" s="73">
        <v>45359.575972222221</v>
      </c>
      <c r="AZ988" t="s">
        <v>226</v>
      </c>
      <c r="BA988" t="s">
        <v>513</v>
      </c>
      <c r="BB988" t="s">
        <v>228</v>
      </c>
      <c r="BC988" t="s">
        <v>229</v>
      </c>
      <c r="BD988" t="s">
        <v>52</v>
      </c>
      <c r="BI988" t="s">
        <v>233</v>
      </c>
      <c r="BJ988" t="s">
        <v>0</v>
      </c>
      <c r="BK988">
        <v>42140222</v>
      </c>
      <c r="BN988" t="s">
        <v>45</v>
      </c>
      <c r="BR988">
        <v>-1321</v>
      </c>
      <c r="BS988">
        <v>42140238</v>
      </c>
      <c r="BT988" s="73">
        <v>45359.575972222221</v>
      </c>
      <c r="BU988" t="s">
        <v>226</v>
      </c>
      <c r="BV988" t="s">
        <v>513</v>
      </c>
      <c r="BW988" t="s">
        <v>228</v>
      </c>
      <c r="CH988" t="s">
        <v>229</v>
      </c>
      <c r="CI988" t="s">
        <v>52</v>
      </c>
      <c r="CJ988" t="s">
        <v>226</v>
      </c>
      <c r="CK988" t="s">
        <v>513</v>
      </c>
      <c r="CL988" t="s">
        <v>228</v>
      </c>
      <c r="CM988" t="s">
        <v>234</v>
      </c>
      <c r="CN988" t="s">
        <v>45</v>
      </c>
      <c r="CO988">
        <v>-1321</v>
      </c>
      <c r="CP988">
        <v>42140238</v>
      </c>
      <c r="CQ988" s="73">
        <v>45359.575972222221</v>
      </c>
      <c r="CR988" t="s">
        <v>229</v>
      </c>
      <c r="CS988" t="s">
        <v>52</v>
      </c>
      <c r="CU988" t="s">
        <v>225</v>
      </c>
    </row>
    <row r="989" spans="1:99">
      <c r="A989" t="s">
        <v>101</v>
      </c>
      <c r="B989" t="s">
        <v>98</v>
      </c>
      <c r="J989" t="s">
        <v>225</v>
      </c>
      <c r="K989" t="s">
        <v>225</v>
      </c>
      <c r="M989" s="73">
        <v>45359.575972222221</v>
      </c>
      <c r="N989">
        <v>42140237</v>
      </c>
      <c r="O989">
        <v>-66</v>
      </c>
      <c r="P989" t="s">
        <v>73</v>
      </c>
      <c r="Q989">
        <v>-66</v>
      </c>
      <c r="R989" t="s">
        <v>73</v>
      </c>
      <c r="U989" t="s">
        <v>226</v>
      </c>
      <c r="V989" t="s">
        <v>513</v>
      </c>
      <c r="W989" t="s">
        <v>228</v>
      </c>
      <c r="X989" t="s">
        <v>229</v>
      </c>
      <c r="Y989" t="s">
        <v>101</v>
      </c>
      <c r="AD989" t="s">
        <v>73</v>
      </c>
      <c r="AE989">
        <v>-66</v>
      </c>
      <c r="AF989">
        <v>42140237</v>
      </c>
      <c r="AG989" s="73">
        <v>45359.575972222221</v>
      </c>
      <c r="AH989" t="s">
        <v>226</v>
      </c>
      <c r="AI989" t="s">
        <v>513</v>
      </c>
      <c r="AJ989" t="s">
        <v>228</v>
      </c>
      <c r="AK989" t="s">
        <v>229</v>
      </c>
      <c r="AL989" t="s">
        <v>101</v>
      </c>
      <c r="AP989" t="s">
        <v>230</v>
      </c>
      <c r="AQ989" t="s">
        <v>231</v>
      </c>
      <c r="AT989" t="s">
        <v>232</v>
      </c>
      <c r="AU989">
        <v>-99</v>
      </c>
      <c r="AV989" t="s">
        <v>73</v>
      </c>
      <c r="AW989">
        <v>-66</v>
      </c>
      <c r="AX989">
        <v>42140237</v>
      </c>
      <c r="AY989" s="73">
        <v>45359.575972222221</v>
      </c>
      <c r="AZ989" t="s">
        <v>226</v>
      </c>
      <c r="BA989" t="s">
        <v>513</v>
      </c>
      <c r="BB989" t="s">
        <v>228</v>
      </c>
      <c r="BC989" t="s">
        <v>229</v>
      </c>
      <c r="BD989" t="s">
        <v>101</v>
      </c>
      <c r="BI989" t="s">
        <v>233</v>
      </c>
      <c r="BJ989" t="s">
        <v>0</v>
      </c>
      <c r="BK989">
        <v>42140222</v>
      </c>
      <c r="BN989" t="s">
        <v>73</v>
      </c>
      <c r="BR989">
        <v>-66</v>
      </c>
      <c r="BS989">
        <v>42140237</v>
      </c>
      <c r="BT989" s="73">
        <v>45359.575972222221</v>
      </c>
      <c r="BU989" t="s">
        <v>226</v>
      </c>
      <c r="BV989" t="s">
        <v>513</v>
      </c>
      <c r="BW989" t="s">
        <v>228</v>
      </c>
      <c r="CH989" t="s">
        <v>229</v>
      </c>
      <c r="CI989" t="s">
        <v>101</v>
      </c>
      <c r="CJ989" t="s">
        <v>226</v>
      </c>
      <c r="CK989" t="s">
        <v>513</v>
      </c>
      <c r="CL989" t="s">
        <v>228</v>
      </c>
      <c r="CM989" t="s">
        <v>234</v>
      </c>
      <c r="CN989" t="s">
        <v>73</v>
      </c>
      <c r="CO989">
        <v>-66</v>
      </c>
      <c r="CP989">
        <v>42140237</v>
      </c>
      <c r="CQ989" s="73">
        <v>45359.575972222221</v>
      </c>
      <c r="CR989" t="s">
        <v>229</v>
      </c>
      <c r="CS989" t="s">
        <v>101</v>
      </c>
      <c r="CU989" t="s">
        <v>225</v>
      </c>
    </row>
    <row r="990" spans="1:99">
      <c r="A990" t="s">
        <v>107</v>
      </c>
      <c r="B990" t="s">
        <v>98</v>
      </c>
      <c r="J990" t="s">
        <v>225</v>
      </c>
      <c r="K990" t="s">
        <v>225</v>
      </c>
      <c r="M990" s="73">
        <v>45359.575972222221</v>
      </c>
      <c r="N990">
        <v>42140236</v>
      </c>
      <c r="O990">
        <v>1320</v>
      </c>
      <c r="P990" t="s">
        <v>104</v>
      </c>
      <c r="Q990">
        <v>1320</v>
      </c>
      <c r="R990" t="s">
        <v>104</v>
      </c>
      <c r="S990">
        <v>66</v>
      </c>
      <c r="T990" t="s">
        <v>73</v>
      </c>
      <c r="U990" t="s">
        <v>226</v>
      </c>
      <c r="V990" t="s">
        <v>513</v>
      </c>
      <c r="W990" t="s">
        <v>235</v>
      </c>
      <c r="X990" t="s">
        <v>229</v>
      </c>
      <c r="Y990" t="s">
        <v>107</v>
      </c>
      <c r="AD990" t="s">
        <v>104</v>
      </c>
      <c r="AE990">
        <v>1320</v>
      </c>
      <c r="AF990">
        <v>42140236</v>
      </c>
      <c r="AG990" s="73">
        <v>45359.575972222221</v>
      </c>
      <c r="AH990" t="s">
        <v>226</v>
      </c>
      <c r="AI990" t="s">
        <v>513</v>
      </c>
      <c r="AJ990" t="s">
        <v>235</v>
      </c>
      <c r="AK990" t="s">
        <v>229</v>
      </c>
      <c r="AL990" t="s">
        <v>107</v>
      </c>
      <c r="AP990" t="s">
        <v>230</v>
      </c>
      <c r="AQ990" t="s">
        <v>231</v>
      </c>
      <c r="AT990" t="s">
        <v>232</v>
      </c>
      <c r="AU990">
        <v>-99</v>
      </c>
      <c r="AV990" t="s">
        <v>104</v>
      </c>
      <c r="AW990">
        <v>1320</v>
      </c>
      <c r="AX990">
        <v>42140236</v>
      </c>
      <c r="AY990" s="73">
        <v>45359.575972222221</v>
      </c>
      <c r="AZ990" t="s">
        <v>226</v>
      </c>
      <c r="BA990" t="s">
        <v>513</v>
      </c>
      <c r="BB990" t="s">
        <v>235</v>
      </c>
      <c r="BC990" t="s">
        <v>229</v>
      </c>
      <c r="BD990" t="s">
        <v>107</v>
      </c>
      <c r="BI990" t="s">
        <v>233</v>
      </c>
      <c r="BJ990" t="s">
        <v>0</v>
      </c>
      <c r="BK990">
        <v>42140222</v>
      </c>
      <c r="BN990" t="s">
        <v>104</v>
      </c>
      <c r="BO990">
        <v>42140228</v>
      </c>
      <c r="BR990">
        <v>1320</v>
      </c>
      <c r="BS990">
        <v>42140236</v>
      </c>
      <c r="BT990" s="73">
        <v>45359.575972222221</v>
      </c>
      <c r="BU990" t="s">
        <v>226</v>
      </c>
      <c r="BV990" t="s">
        <v>513</v>
      </c>
      <c r="BW990" t="s">
        <v>235</v>
      </c>
      <c r="CH990" t="s">
        <v>229</v>
      </c>
      <c r="CI990" t="s">
        <v>107</v>
      </c>
      <c r="CJ990" t="s">
        <v>226</v>
      </c>
      <c r="CK990" t="s">
        <v>513</v>
      </c>
      <c r="CL990" t="s">
        <v>235</v>
      </c>
      <c r="CM990" t="s">
        <v>236</v>
      </c>
      <c r="CN990" t="s">
        <v>104</v>
      </c>
      <c r="CO990">
        <v>1320</v>
      </c>
      <c r="CP990">
        <v>42140236</v>
      </c>
      <c r="CQ990" s="73">
        <v>45359.575972222221</v>
      </c>
      <c r="CR990" t="s">
        <v>229</v>
      </c>
      <c r="CS990" t="s">
        <v>107</v>
      </c>
      <c r="CU990" t="s">
        <v>225</v>
      </c>
    </row>
    <row r="991" spans="1:99">
      <c r="A991" t="s">
        <v>111</v>
      </c>
      <c r="B991" t="s">
        <v>77</v>
      </c>
      <c r="J991" t="s">
        <v>225</v>
      </c>
      <c r="K991" t="s">
        <v>225</v>
      </c>
      <c r="M991" s="73">
        <v>45359.575972222221</v>
      </c>
      <c r="N991">
        <v>42140235</v>
      </c>
      <c r="O991">
        <v>1</v>
      </c>
      <c r="P991" t="s">
        <v>45</v>
      </c>
      <c r="Q991">
        <v>1</v>
      </c>
      <c r="R991" t="s">
        <v>45</v>
      </c>
      <c r="U991" t="s">
        <v>226</v>
      </c>
      <c r="V991" t="s">
        <v>513</v>
      </c>
      <c r="W991" t="s">
        <v>237</v>
      </c>
      <c r="X991" t="s">
        <v>229</v>
      </c>
      <c r="Y991" t="s">
        <v>111</v>
      </c>
      <c r="AD991" t="s">
        <v>45</v>
      </c>
      <c r="AE991">
        <v>1</v>
      </c>
      <c r="AF991">
        <v>42140235</v>
      </c>
      <c r="AG991" s="73">
        <v>45359.575972222221</v>
      </c>
      <c r="AH991" t="s">
        <v>226</v>
      </c>
      <c r="AI991" t="s">
        <v>513</v>
      </c>
      <c r="AJ991" t="s">
        <v>237</v>
      </c>
      <c r="AK991" t="s">
        <v>229</v>
      </c>
      <c r="AL991" t="s">
        <v>111</v>
      </c>
      <c r="AP991" t="s">
        <v>230</v>
      </c>
      <c r="AQ991" t="s">
        <v>231</v>
      </c>
      <c r="AT991" t="s">
        <v>232</v>
      </c>
      <c r="AU991">
        <v>-99</v>
      </c>
      <c r="AV991" t="s">
        <v>45</v>
      </c>
      <c r="AW991">
        <v>1</v>
      </c>
      <c r="AX991">
        <v>42140235</v>
      </c>
      <c r="AY991" s="73">
        <v>45359.575972222221</v>
      </c>
      <c r="AZ991" t="s">
        <v>226</v>
      </c>
      <c r="BA991" t="s">
        <v>513</v>
      </c>
      <c r="BB991" t="s">
        <v>237</v>
      </c>
      <c r="BC991" t="s">
        <v>229</v>
      </c>
      <c r="BD991" t="s">
        <v>111</v>
      </c>
      <c r="BI991" t="s">
        <v>233</v>
      </c>
      <c r="BJ991" t="s">
        <v>0</v>
      </c>
      <c r="BK991">
        <v>42140222</v>
      </c>
      <c r="BN991" t="s">
        <v>45</v>
      </c>
      <c r="BO991">
        <v>42140230</v>
      </c>
      <c r="BR991">
        <v>1</v>
      </c>
      <c r="BS991">
        <v>42140235</v>
      </c>
      <c r="BT991" s="73">
        <v>45359.575972222221</v>
      </c>
      <c r="BU991" t="s">
        <v>226</v>
      </c>
      <c r="BV991" t="s">
        <v>513</v>
      </c>
      <c r="BW991" t="s">
        <v>237</v>
      </c>
      <c r="CH991" t="s">
        <v>229</v>
      </c>
      <c r="CI991" t="s">
        <v>111</v>
      </c>
      <c r="CJ991" t="s">
        <v>226</v>
      </c>
      <c r="CK991" t="s">
        <v>513</v>
      </c>
      <c r="CL991" t="s">
        <v>237</v>
      </c>
      <c r="CM991" t="s">
        <v>236</v>
      </c>
      <c r="CN991" t="s">
        <v>45</v>
      </c>
      <c r="CO991">
        <v>1</v>
      </c>
      <c r="CP991">
        <v>42140235</v>
      </c>
      <c r="CQ991" s="73">
        <v>45359.575972222221</v>
      </c>
      <c r="CR991" t="s">
        <v>229</v>
      </c>
      <c r="CS991" t="s">
        <v>111</v>
      </c>
      <c r="CU991" t="s">
        <v>225</v>
      </c>
    </row>
    <row r="992" spans="1:99">
      <c r="A992" t="s">
        <v>52</v>
      </c>
      <c r="B992" t="s">
        <v>92</v>
      </c>
      <c r="J992" t="s">
        <v>225</v>
      </c>
      <c r="K992" t="s">
        <v>225</v>
      </c>
      <c r="M992" s="73">
        <v>45359.440972222219</v>
      </c>
      <c r="N992">
        <v>42154037</v>
      </c>
      <c r="O992">
        <v>-3858</v>
      </c>
      <c r="P992" t="s">
        <v>45</v>
      </c>
      <c r="Q992">
        <v>-3858</v>
      </c>
      <c r="R992" t="s">
        <v>45</v>
      </c>
      <c r="U992" t="s">
        <v>226</v>
      </c>
      <c r="V992" t="s">
        <v>514</v>
      </c>
      <c r="W992" t="s">
        <v>228</v>
      </c>
      <c r="X992" t="s">
        <v>229</v>
      </c>
      <c r="Y992" t="s">
        <v>52</v>
      </c>
      <c r="AD992" t="s">
        <v>45</v>
      </c>
      <c r="AE992">
        <v>-3858</v>
      </c>
      <c r="AF992">
        <v>42154037</v>
      </c>
      <c r="AG992" s="73">
        <v>45359.440972222219</v>
      </c>
      <c r="AH992" t="s">
        <v>226</v>
      </c>
      <c r="AI992" t="s">
        <v>514</v>
      </c>
      <c r="AJ992" t="s">
        <v>228</v>
      </c>
      <c r="AK992" t="s">
        <v>229</v>
      </c>
      <c r="AL992" t="s">
        <v>52</v>
      </c>
      <c r="AP992" t="s">
        <v>230</v>
      </c>
      <c r="AQ992" t="s">
        <v>231</v>
      </c>
      <c r="AT992" t="s">
        <v>232</v>
      </c>
      <c r="AU992">
        <v>-99</v>
      </c>
      <c r="AV992" t="s">
        <v>45</v>
      </c>
      <c r="AW992">
        <v>-3858</v>
      </c>
      <c r="AX992">
        <v>42154037</v>
      </c>
      <c r="AY992" s="73">
        <v>45359.440972222219</v>
      </c>
      <c r="AZ992" t="s">
        <v>226</v>
      </c>
      <c r="BA992" t="s">
        <v>514</v>
      </c>
      <c r="BB992" t="s">
        <v>228</v>
      </c>
      <c r="BC992" t="s">
        <v>229</v>
      </c>
      <c r="BD992" t="s">
        <v>52</v>
      </c>
      <c r="BI992" t="s">
        <v>233</v>
      </c>
      <c r="BJ992" t="s">
        <v>0</v>
      </c>
      <c r="BK992">
        <v>42154016</v>
      </c>
      <c r="BN992" t="s">
        <v>45</v>
      </c>
      <c r="BR992">
        <v>-3858</v>
      </c>
      <c r="BS992">
        <v>42154037</v>
      </c>
      <c r="BT992" s="73">
        <v>45359.440972222219</v>
      </c>
      <c r="BU992" t="s">
        <v>226</v>
      </c>
      <c r="BV992" t="s">
        <v>514</v>
      </c>
      <c r="BW992" t="s">
        <v>228</v>
      </c>
      <c r="CH992" t="s">
        <v>229</v>
      </c>
      <c r="CI992" t="s">
        <v>52</v>
      </c>
      <c r="CJ992" t="s">
        <v>226</v>
      </c>
      <c r="CK992" t="s">
        <v>514</v>
      </c>
      <c r="CL992" t="s">
        <v>228</v>
      </c>
      <c r="CM992" t="s">
        <v>234</v>
      </c>
      <c r="CN992" t="s">
        <v>45</v>
      </c>
      <c r="CO992">
        <v>-3858</v>
      </c>
      <c r="CP992">
        <v>42154037</v>
      </c>
      <c r="CQ992" s="73">
        <v>45359.440972222219</v>
      </c>
      <c r="CR992" t="s">
        <v>229</v>
      </c>
      <c r="CS992" t="s">
        <v>52</v>
      </c>
      <c r="CU992" t="s">
        <v>225</v>
      </c>
    </row>
    <row r="993" spans="1:99">
      <c r="A993" t="s">
        <v>101</v>
      </c>
      <c r="B993" t="s">
        <v>98</v>
      </c>
      <c r="J993" t="s">
        <v>225</v>
      </c>
      <c r="K993" t="s">
        <v>225</v>
      </c>
      <c r="M993" s="73">
        <v>45359.440972222219</v>
      </c>
      <c r="N993">
        <v>42154036</v>
      </c>
      <c r="O993">
        <v>-192.5</v>
      </c>
      <c r="P993" t="s">
        <v>73</v>
      </c>
      <c r="Q993">
        <v>-192.5</v>
      </c>
      <c r="R993" t="s">
        <v>73</v>
      </c>
      <c r="U993" t="s">
        <v>226</v>
      </c>
      <c r="V993" t="s">
        <v>514</v>
      </c>
      <c r="W993" t="s">
        <v>228</v>
      </c>
      <c r="X993" t="s">
        <v>229</v>
      </c>
      <c r="Y993" t="s">
        <v>101</v>
      </c>
      <c r="AD993" t="s">
        <v>73</v>
      </c>
      <c r="AE993">
        <v>-192.5</v>
      </c>
      <c r="AF993">
        <v>42154036</v>
      </c>
      <c r="AG993" s="73">
        <v>45359.440972222219</v>
      </c>
      <c r="AH993" t="s">
        <v>226</v>
      </c>
      <c r="AI993" t="s">
        <v>514</v>
      </c>
      <c r="AJ993" t="s">
        <v>228</v>
      </c>
      <c r="AK993" t="s">
        <v>229</v>
      </c>
      <c r="AL993" t="s">
        <v>101</v>
      </c>
      <c r="AP993" t="s">
        <v>230</v>
      </c>
      <c r="AQ993" t="s">
        <v>231</v>
      </c>
      <c r="AT993" t="s">
        <v>232</v>
      </c>
      <c r="AU993">
        <v>-99</v>
      </c>
      <c r="AV993" t="s">
        <v>73</v>
      </c>
      <c r="AW993">
        <v>-192.5</v>
      </c>
      <c r="AX993">
        <v>42154036</v>
      </c>
      <c r="AY993" s="73">
        <v>45359.440972222219</v>
      </c>
      <c r="AZ993" t="s">
        <v>226</v>
      </c>
      <c r="BA993" t="s">
        <v>514</v>
      </c>
      <c r="BB993" t="s">
        <v>228</v>
      </c>
      <c r="BC993" t="s">
        <v>229</v>
      </c>
      <c r="BD993" t="s">
        <v>101</v>
      </c>
      <c r="BI993" t="s">
        <v>233</v>
      </c>
      <c r="BJ993" t="s">
        <v>0</v>
      </c>
      <c r="BK993">
        <v>42154016</v>
      </c>
      <c r="BN993" t="s">
        <v>73</v>
      </c>
      <c r="BR993">
        <v>-192.5</v>
      </c>
      <c r="BS993">
        <v>42154036</v>
      </c>
      <c r="BT993" s="73">
        <v>45359.440972222219</v>
      </c>
      <c r="BU993" t="s">
        <v>226</v>
      </c>
      <c r="BV993" t="s">
        <v>514</v>
      </c>
      <c r="BW993" t="s">
        <v>228</v>
      </c>
      <c r="CH993" t="s">
        <v>229</v>
      </c>
      <c r="CI993" t="s">
        <v>101</v>
      </c>
      <c r="CJ993" t="s">
        <v>226</v>
      </c>
      <c r="CK993" t="s">
        <v>514</v>
      </c>
      <c r="CL993" t="s">
        <v>228</v>
      </c>
      <c r="CM993" t="s">
        <v>234</v>
      </c>
      <c r="CN993" t="s">
        <v>73</v>
      </c>
      <c r="CO993">
        <v>-192.5</v>
      </c>
      <c r="CP993">
        <v>42154036</v>
      </c>
      <c r="CQ993" s="73">
        <v>45359.440972222219</v>
      </c>
      <c r="CR993" t="s">
        <v>229</v>
      </c>
      <c r="CS993" t="s">
        <v>101</v>
      </c>
      <c r="CU993" t="s">
        <v>225</v>
      </c>
    </row>
    <row r="994" spans="1:99">
      <c r="A994" t="s">
        <v>107</v>
      </c>
      <c r="B994" t="s">
        <v>98</v>
      </c>
      <c r="J994" t="s">
        <v>225</v>
      </c>
      <c r="K994" t="s">
        <v>225</v>
      </c>
      <c r="M994" s="73">
        <v>45359.440972222219</v>
      </c>
      <c r="N994">
        <v>42154035</v>
      </c>
      <c r="O994">
        <v>3850</v>
      </c>
      <c r="P994" t="s">
        <v>104</v>
      </c>
      <c r="Q994">
        <v>3850</v>
      </c>
      <c r="R994" t="s">
        <v>104</v>
      </c>
      <c r="S994">
        <v>192.5</v>
      </c>
      <c r="T994" t="s">
        <v>73</v>
      </c>
      <c r="U994" t="s">
        <v>226</v>
      </c>
      <c r="V994" t="s">
        <v>514</v>
      </c>
      <c r="W994" t="s">
        <v>235</v>
      </c>
      <c r="X994" t="s">
        <v>229</v>
      </c>
      <c r="Y994" t="s">
        <v>107</v>
      </c>
      <c r="AD994" t="s">
        <v>104</v>
      </c>
      <c r="AE994">
        <v>3850</v>
      </c>
      <c r="AF994">
        <v>42154035</v>
      </c>
      <c r="AG994" s="73">
        <v>45359.440972222219</v>
      </c>
      <c r="AH994" t="s">
        <v>226</v>
      </c>
      <c r="AI994" t="s">
        <v>514</v>
      </c>
      <c r="AJ994" t="s">
        <v>235</v>
      </c>
      <c r="AK994" t="s">
        <v>229</v>
      </c>
      <c r="AL994" t="s">
        <v>107</v>
      </c>
      <c r="AP994" t="s">
        <v>230</v>
      </c>
      <c r="AQ994" t="s">
        <v>231</v>
      </c>
      <c r="AT994" t="s">
        <v>232</v>
      </c>
      <c r="AU994">
        <v>-99</v>
      </c>
      <c r="AV994" t="s">
        <v>104</v>
      </c>
      <c r="AW994">
        <v>3850</v>
      </c>
      <c r="AX994">
        <v>42154035</v>
      </c>
      <c r="AY994" s="73">
        <v>45359.440972222219</v>
      </c>
      <c r="AZ994" t="s">
        <v>226</v>
      </c>
      <c r="BA994" t="s">
        <v>514</v>
      </c>
      <c r="BB994" t="s">
        <v>235</v>
      </c>
      <c r="BC994" t="s">
        <v>229</v>
      </c>
      <c r="BD994" t="s">
        <v>107</v>
      </c>
      <c r="BI994" t="s">
        <v>233</v>
      </c>
      <c r="BJ994" t="s">
        <v>0</v>
      </c>
      <c r="BK994">
        <v>42154016</v>
      </c>
      <c r="BN994" t="s">
        <v>104</v>
      </c>
      <c r="BO994">
        <v>42154027</v>
      </c>
      <c r="BR994">
        <v>3850</v>
      </c>
      <c r="BS994">
        <v>42154035</v>
      </c>
      <c r="BT994" s="73">
        <v>45359.440972222219</v>
      </c>
      <c r="BU994" t="s">
        <v>226</v>
      </c>
      <c r="BV994" t="s">
        <v>514</v>
      </c>
      <c r="BW994" t="s">
        <v>235</v>
      </c>
      <c r="CH994" t="s">
        <v>229</v>
      </c>
      <c r="CI994" t="s">
        <v>107</v>
      </c>
      <c r="CJ994" t="s">
        <v>226</v>
      </c>
      <c r="CK994" t="s">
        <v>514</v>
      </c>
      <c r="CL994" t="s">
        <v>235</v>
      </c>
      <c r="CM994" t="s">
        <v>236</v>
      </c>
      <c r="CN994" t="s">
        <v>104</v>
      </c>
      <c r="CO994">
        <v>3850</v>
      </c>
      <c r="CP994">
        <v>42154035</v>
      </c>
      <c r="CQ994" s="73">
        <v>45359.440972222219</v>
      </c>
      <c r="CR994" t="s">
        <v>229</v>
      </c>
      <c r="CS994" t="s">
        <v>107</v>
      </c>
      <c r="CU994" t="s">
        <v>225</v>
      </c>
    </row>
    <row r="995" spans="1:99">
      <c r="A995" t="s">
        <v>111</v>
      </c>
      <c r="B995" t="s">
        <v>77</v>
      </c>
      <c r="J995" t="s">
        <v>225</v>
      </c>
      <c r="K995" t="s">
        <v>225</v>
      </c>
      <c r="M995" s="73">
        <v>45359.440972222219</v>
      </c>
      <c r="N995">
        <v>42154034</v>
      </c>
      <c r="O995">
        <v>8</v>
      </c>
      <c r="P995" t="s">
        <v>45</v>
      </c>
      <c r="Q995">
        <v>8</v>
      </c>
      <c r="R995" t="s">
        <v>45</v>
      </c>
      <c r="U995" t="s">
        <v>226</v>
      </c>
      <c r="V995" t="s">
        <v>514</v>
      </c>
      <c r="W995" t="s">
        <v>237</v>
      </c>
      <c r="X995" t="s">
        <v>229</v>
      </c>
      <c r="Y995" t="s">
        <v>111</v>
      </c>
      <c r="AD995" t="s">
        <v>45</v>
      </c>
      <c r="AE995">
        <v>8</v>
      </c>
      <c r="AF995">
        <v>42154034</v>
      </c>
      <c r="AG995" s="73">
        <v>45359.440972222219</v>
      </c>
      <c r="AH995" t="s">
        <v>226</v>
      </c>
      <c r="AI995" t="s">
        <v>514</v>
      </c>
      <c r="AJ995" t="s">
        <v>237</v>
      </c>
      <c r="AK995" t="s">
        <v>229</v>
      </c>
      <c r="AL995" t="s">
        <v>111</v>
      </c>
      <c r="AP995" t="s">
        <v>230</v>
      </c>
      <c r="AQ995" t="s">
        <v>231</v>
      </c>
      <c r="AT995" t="s">
        <v>232</v>
      </c>
      <c r="AU995">
        <v>-99</v>
      </c>
      <c r="AV995" t="s">
        <v>45</v>
      </c>
      <c r="AW995">
        <v>8</v>
      </c>
      <c r="AX995">
        <v>42154034</v>
      </c>
      <c r="AY995" s="73">
        <v>45359.440972222219</v>
      </c>
      <c r="AZ995" t="s">
        <v>226</v>
      </c>
      <c r="BA995" t="s">
        <v>514</v>
      </c>
      <c r="BB995" t="s">
        <v>237</v>
      </c>
      <c r="BC995" t="s">
        <v>229</v>
      </c>
      <c r="BD995" t="s">
        <v>111</v>
      </c>
      <c r="BI995" t="s">
        <v>233</v>
      </c>
      <c r="BJ995" t="s">
        <v>0</v>
      </c>
      <c r="BK995">
        <v>42154016</v>
      </c>
      <c r="BN995" t="s">
        <v>45</v>
      </c>
      <c r="BO995">
        <v>42154029</v>
      </c>
      <c r="BR995">
        <v>8</v>
      </c>
      <c r="BS995">
        <v>42154034</v>
      </c>
      <c r="BT995" s="73">
        <v>45359.440972222219</v>
      </c>
      <c r="BU995" t="s">
        <v>226</v>
      </c>
      <c r="BV995" t="s">
        <v>514</v>
      </c>
      <c r="BW995" t="s">
        <v>237</v>
      </c>
      <c r="CH995" t="s">
        <v>229</v>
      </c>
      <c r="CI995" t="s">
        <v>111</v>
      </c>
      <c r="CJ995" t="s">
        <v>226</v>
      </c>
      <c r="CK995" t="s">
        <v>514</v>
      </c>
      <c r="CL995" t="s">
        <v>237</v>
      </c>
      <c r="CM995" t="s">
        <v>236</v>
      </c>
      <c r="CN995" t="s">
        <v>45</v>
      </c>
      <c r="CO995">
        <v>8</v>
      </c>
      <c r="CP995">
        <v>42154034</v>
      </c>
      <c r="CQ995" s="73">
        <v>45359.440972222219</v>
      </c>
      <c r="CR995" t="s">
        <v>229</v>
      </c>
      <c r="CS995" t="s">
        <v>111</v>
      </c>
      <c r="CU995" t="s">
        <v>225</v>
      </c>
    </row>
    <row r="996" spans="1:99">
      <c r="A996" t="s">
        <v>42</v>
      </c>
      <c r="B996" t="s">
        <v>92</v>
      </c>
      <c r="J996" t="s">
        <v>225</v>
      </c>
      <c r="K996" t="s">
        <v>225</v>
      </c>
      <c r="M996" s="73">
        <v>45359.318298611113</v>
      </c>
      <c r="N996">
        <v>42136348</v>
      </c>
      <c r="O996">
        <v>-11830</v>
      </c>
      <c r="P996" t="s">
        <v>45</v>
      </c>
      <c r="Q996">
        <v>-11830</v>
      </c>
      <c r="R996" t="s">
        <v>45</v>
      </c>
      <c r="U996" t="s">
        <v>226</v>
      </c>
      <c r="V996" t="s">
        <v>515</v>
      </c>
      <c r="W996" t="s">
        <v>228</v>
      </c>
      <c r="X996" t="s">
        <v>229</v>
      </c>
      <c r="Y996" t="s">
        <v>42</v>
      </c>
      <c r="AD996" t="s">
        <v>45</v>
      </c>
      <c r="AE996">
        <v>-11830</v>
      </c>
      <c r="AF996">
        <v>42136348</v>
      </c>
      <c r="AG996" s="73">
        <v>45359.318298611113</v>
      </c>
      <c r="AH996" t="s">
        <v>226</v>
      </c>
      <c r="AI996" t="s">
        <v>515</v>
      </c>
      <c r="AJ996" t="s">
        <v>228</v>
      </c>
      <c r="AK996" t="s">
        <v>229</v>
      </c>
      <c r="AL996" t="s">
        <v>42</v>
      </c>
      <c r="AP996" t="s">
        <v>230</v>
      </c>
      <c r="AQ996" t="s">
        <v>231</v>
      </c>
      <c r="AT996" t="s">
        <v>232</v>
      </c>
      <c r="AU996">
        <v>-99</v>
      </c>
      <c r="AV996" t="s">
        <v>45</v>
      </c>
      <c r="AW996">
        <v>-11830</v>
      </c>
      <c r="AX996">
        <v>42136348</v>
      </c>
      <c r="AY996" s="73">
        <v>45359.318298611113</v>
      </c>
      <c r="AZ996" t="s">
        <v>226</v>
      </c>
      <c r="BA996" t="s">
        <v>515</v>
      </c>
      <c r="BB996" t="s">
        <v>228</v>
      </c>
      <c r="BC996" t="s">
        <v>229</v>
      </c>
      <c r="BD996" t="s">
        <v>42</v>
      </c>
      <c r="BI996" t="s">
        <v>233</v>
      </c>
      <c r="BJ996" t="s">
        <v>0</v>
      </c>
      <c r="BK996">
        <v>42136313</v>
      </c>
      <c r="BN996" t="s">
        <v>45</v>
      </c>
      <c r="BR996">
        <v>-11830</v>
      </c>
      <c r="BS996">
        <v>42136348</v>
      </c>
      <c r="BT996" s="73">
        <v>45359.318298611113</v>
      </c>
      <c r="BU996" t="s">
        <v>226</v>
      </c>
      <c r="BV996" t="s">
        <v>515</v>
      </c>
      <c r="BW996" t="s">
        <v>228</v>
      </c>
      <c r="CH996" t="s">
        <v>229</v>
      </c>
      <c r="CI996" t="s">
        <v>42</v>
      </c>
      <c r="CJ996" t="s">
        <v>226</v>
      </c>
      <c r="CK996" t="s">
        <v>515</v>
      </c>
      <c r="CL996" t="s">
        <v>228</v>
      </c>
      <c r="CM996" t="s">
        <v>234</v>
      </c>
      <c r="CN996" t="s">
        <v>45</v>
      </c>
      <c r="CO996">
        <v>-11830</v>
      </c>
      <c r="CP996">
        <v>42136348</v>
      </c>
      <c r="CQ996" s="73">
        <v>45359.318298611113</v>
      </c>
      <c r="CR996" t="s">
        <v>229</v>
      </c>
      <c r="CS996" t="s">
        <v>42</v>
      </c>
      <c r="CU996" t="s">
        <v>225</v>
      </c>
    </row>
    <row r="997" spans="1:99">
      <c r="A997" t="s">
        <v>99</v>
      </c>
      <c r="B997" t="s">
        <v>98</v>
      </c>
      <c r="J997" t="s">
        <v>225</v>
      </c>
      <c r="K997" t="s">
        <v>225</v>
      </c>
      <c r="M997" s="73">
        <v>45359.318298611113</v>
      </c>
      <c r="N997">
        <v>42136347</v>
      </c>
      <c r="O997">
        <v>-591</v>
      </c>
      <c r="P997" t="s">
        <v>73</v>
      </c>
      <c r="Q997">
        <v>-591</v>
      </c>
      <c r="R997" t="s">
        <v>73</v>
      </c>
      <c r="U997" t="s">
        <v>226</v>
      </c>
      <c r="V997" t="s">
        <v>515</v>
      </c>
      <c r="W997" t="s">
        <v>228</v>
      </c>
      <c r="X997" t="s">
        <v>229</v>
      </c>
      <c r="Y997" t="s">
        <v>99</v>
      </c>
      <c r="AD997" t="s">
        <v>73</v>
      </c>
      <c r="AE997">
        <v>-591</v>
      </c>
      <c r="AF997">
        <v>42136347</v>
      </c>
      <c r="AG997" s="73">
        <v>45359.318298611113</v>
      </c>
      <c r="AH997" t="s">
        <v>226</v>
      </c>
      <c r="AI997" t="s">
        <v>515</v>
      </c>
      <c r="AJ997" t="s">
        <v>228</v>
      </c>
      <c r="AK997" t="s">
        <v>229</v>
      </c>
      <c r="AL997" t="s">
        <v>99</v>
      </c>
      <c r="AP997" t="s">
        <v>230</v>
      </c>
      <c r="AQ997" t="s">
        <v>231</v>
      </c>
      <c r="AT997" t="s">
        <v>232</v>
      </c>
      <c r="AU997">
        <v>-99</v>
      </c>
      <c r="AV997" t="s">
        <v>73</v>
      </c>
      <c r="AW997">
        <v>-591</v>
      </c>
      <c r="AX997">
        <v>42136347</v>
      </c>
      <c r="AY997" s="73">
        <v>45359.318298611113</v>
      </c>
      <c r="AZ997" t="s">
        <v>226</v>
      </c>
      <c r="BA997" t="s">
        <v>515</v>
      </c>
      <c r="BB997" t="s">
        <v>228</v>
      </c>
      <c r="BC997" t="s">
        <v>229</v>
      </c>
      <c r="BD997" t="s">
        <v>99</v>
      </c>
      <c r="BI997" t="s">
        <v>233</v>
      </c>
      <c r="BJ997" t="s">
        <v>0</v>
      </c>
      <c r="BK997">
        <v>42136313</v>
      </c>
      <c r="BN997" t="s">
        <v>73</v>
      </c>
      <c r="BR997">
        <v>-591</v>
      </c>
      <c r="BS997">
        <v>42136347</v>
      </c>
      <c r="BT997" s="73">
        <v>45359.318298611113</v>
      </c>
      <c r="BU997" t="s">
        <v>226</v>
      </c>
      <c r="BV997" t="s">
        <v>515</v>
      </c>
      <c r="BW997" t="s">
        <v>228</v>
      </c>
      <c r="CH997" t="s">
        <v>229</v>
      </c>
      <c r="CI997" t="s">
        <v>99</v>
      </c>
      <c r="CJ997" t="s">
        <v>226</v>
      </c>
      <c r="CK997" t="s">
        <v>515</v>
      </c>
      <c r="CL997" t="s">
        <v>228</v>
      </c>
      <c r="CM997" t="s">
        <v>234</v>
      </c>
      <c r="CN997" t="s">
        <v>73</v>
      </c>
      <c r="CO997">
        <v>-591</v>
      </c>
      <c r="CP997">
        <v>42136347</v>
      </c>
      <c r="CQ997" s="73">
        <v>45359.318298611113</v>
      </c>
      <c r="CR997" t="s">
        <v>229</v>
      </c>
      <c r="CS997" t="s">
        <v>99</v>
      </c>
      <c r="CU997" t="s">
        <v>225</v>
      </c>
    </row>
    <row r="998" spans="1:99">
      <c r="A998" t="s">
        <v>103</v>
      </c>
      <c r="B998" t="s">
        <v>98</v>
      </c>
      <c r="J998" t="s">
        <v>225</v>
      </c>
      <c r="K998" t="s">
        <v>225</v>
      </c>
      <c r="M998" s="73">
        <v>45359.318298611113</v>
      </c>
      <c r="N998">
        <v>42136346</v>
      </c>
      <c r="O998">
        <v>11820</v>
      </c>
      <c r="P998" t="s">
        <v>104</v>
      </c>
      <c r="Q998">
        <v>11820</v>
      </c>
      <c r="R998" t="s">
        <v>104</v>
      </c>
      <c r="S998">
        <v>591</v>
      </c>
      <c r="T998" t="s">
        <v>73</v>
      </c>
      <c r="U998" t="s">
        <v>226</v>
      </c>
      <c r="V998" t="s">
        <v>515</v>
      </c>
      <c r="W998" t="s">
        <v>235</v>
      </c>
      <c r="X998" t="s">
        <v>229</v>
      </c>
      <c r="Y998" t="s">
        <v>103</v>
      </c>
      <c r="AD998" t="s">
        <v>104</v>
      </c>
      <c r="AE998">
        <v>11820</v>
      </c>
      <c r="AF998">
        <v>42136346</v>
      </c>
      <c r="AG998" s="73">
        <v>45359.318298611113</v>
      </c>
      <c r="AH998" t="s">
        <v>226</v>
      </c>
      <c r="AI998" t="s">
        <v>515</v>
      </c>
      <c r="AJ998" t="s">
        <v>235</v>
      </c>
      <c r="AK998" t="s">
        <v>229</v>
      </c>
      <c r="AL998" t="s">
        <v>103</v>
      </c>
      <c r="AP998" t="s">
        <v>230</v>
      </c>
      <c r="AQ998" t="s">
        <v>231</v>
      </c>
      <c r="AT998" t="s">
        <v>232</v>
      </c>
      <c r="AU998">
        <v>-99</v>
      </c>
      <c r="AV998" t="s">
        <v>104</v>
      </c>
      <c r="AW998">
        <v>11820</v>
      </c>
      <c r="AX998">
        <v>42136346</v>
      </c>
      <c r="AY998" s="73">
        <v>45359.318298611113</v>
      </c>
      <c r="AZ998" t="s">
        <v>226</v>
      </c>
      <c r="BA998" t="s">
        <v>515</v>
      </c>
      <c r="BB998" t="s">
        <v>235</v>
      </c>
      <c r="BC998" t="s">
        <v>229</v>
      </c>
      <c r="BD998" t="s">
        <v>103</v>
      </c>
      <c r="BI998" t="s">
        <v>233</v>
      </c>
      <c r="BJ998" t="s">
        <v>0</v>
      </c>
      <c r="BK998">
        <v>42136313</v>
      </c>
      <c r="BN998" t="s">
        <v>104</v>
      </c>
      <c r="BO998">
        <v>42136326</v>
      </c>
      <c r="BR998">
        <v>11820</v>
      </c>
      <c r="BS998">
        <v>42136346</v>
      </c>
      <c r="BT998" s="73">
        <v>45359.318298611113</v>
      </c>
      <c r="BU998" t="s">
        <v>226</v>
      </c>
      <c r="BV998" t="s">
        <v>515</v>
      </c>
      <c r="BW998" t="s">
        <v>235</v>
      </c>
      <c r="CH998" t="s">
        <v>229</v>
      </c>
      <c r="CI998" t="s">
        <v>103</v>
      </c>
      <c r="CJ998" t="s">
        <v>226</v>
      </c>
      <c r="CK998" t="s">
        <v>515</v>
      </c>
      <c r="CL998" t="s">
        <v>235</v>
      </c>
      <c r="CM998" t="s">
        <v>236</v>
      </c>
      <c r="CN998" t="s">
        <v>104</v>
      </c>
      <c r="CO998">
        <v>11820</v>
      </c>
      <c r="CP998">
        <v>42136346</v>
      </c>
      <c r="CQ998" s="73">
        <v>45359.318298611113</v>
      </c>
      <c r="CR998" t="s">
        <v>229</v>
      </c>
      <c r="CS998" t="s">
        <v>103</v>
      </c>
      <c r="CU998" t="s">
        <v>225</v>
      </c>
    </row>
    <row r="999" spans="1:99">
      <c r="A999" t="s">
        <v>111</v>
      </c>
      <c r="B999" t="s">
        <v>77</v>
      </c>
      <c r="J999" t="s">
        <v>225</v>
      </c>
      <c r="K999" t="s">
        <v>225</v>
      </c>
      <c r="M999" s="73">
        <v>45359.318298611113</v>
      </c>
      <c r="N999">
        <v>42136345</v>
      </c>
      <c r="O999">
        <v>10</v>
      </c>
      <c r="P999" t="s">
        <v>45</v>
      </c>
      <c r="Q999">
        <v>10</v>
      </c>
      <c r="R999" t="s">
        <v>45</v>
      </c>
      <c r="U999" t="s">
        <v>226</v>
      </c>
      <c r="V999" t="s">
        <v>515</v>
      </c>
      <c r="W999" t="s">
        <v>237</v>
      </c>
      <c r="X999" t="s">
        <v>229</v>
      </c>
      <c r="Y999" t="s">
        <v>111</v>
      </c>
      <c r="AD999" t="s">
        <v>45</v>
      </c>
      <c r="AE999">
        <v>10</v>
      </c>
      <c r="AF999">
        <v>42136345</v>
      </c>
      <c r="AG999" s="73">
        <v>45359.318298611113</v>
      </c>
      <c r="AH999" t="s">
        <v>226</v>
      </c>
      <c r="AI999" t="s">
        <v>515</v>
      </c>
      <c r="AJ999" t="s">
        <v>237</v>
      </c>
      <c r="AK999" t="s">
        <v>229</v>
      </c>
      <c r="AL999" t="s">
        <v>111</v>
      </c>
      <c r="AP999" t="s">
        <v>230</v>
      </c>
      <c r="AQ999" t="s">
        <v>231</v>
      </c>
      <c r="AT999" t="s">
        <v>232</v>
      </c>
      <c r="AU999">
        <v>-99</v>
      </c>
      <c r="AV999" t="s">
        <v>45</v>
      </c>
      <c r="AW999">
        <v>10</v>
      </c>
      <c r="AX999">
        <v>42136345</v>
      </c>
      <c r="AY999" s="73">
        <v>45359.318298611113</v>
      </c>
      <c r="AZ999" t="s">
        <v>226</v>
      </c>
      <c r="BA999" t="s">
        <v>515</v>
      </c>
      <c r="BB999" t="s">
        <v>237</v>
      </c>
      <c r="BC999" t="s">
        <v>229</v>
      </c>
      <c r="BD999" t="s">
        <v>111</v>
      </c>
      <c r="BI999" t="s">
        <v>233</v>
      </c>
      <c r="BJ999" t="s">
        <v>0</v>
      </c>
      <c r="BK999">
        <v>42136313</v>
      </c>
      <c r="BN999" t="s">
        <v>45</v>
      </c>
      <c r="BO999">
        <v>42136328</v>
      </c>
      <c r="BR999">
        <v>10</v>
      </c>
      <c r="BS999">
        <v>42136345</v>
      </c>
      <c r="BT999" s="73">
        <v>45359.318298611113</v>
      </c>
      <c r="BU999" t="s">
        <v>226</v>
      </c>
      <c r="BV999" t="s">
        <v>515</v>
      </c>
      <c r="BW999" t="s">
        <v>237</v>
      </c>
      <c r="CH999" t="s">
        <v>229</v>
      </c>
      <c r="CI999" t="s">
        <v>111</v>
      </c>
      <c r="CJ999" t="s">
        <v>226</v>
      </c>
      <c r="CK999" t="s">
        <v>515</v>
      </c>
      <c r="CL999" t="s">
        <v>237</v>
      </c>
      <c r="CM999" t="s">
        <v>236</v>
      </c>
      <c r="CN999" t="s">
        <v>45</v>
      </c>
      <c r="CO999">
        <v>10</v>
      </c>
      <c r="CP999">
        <v>42136345</v>
      </c>
      <c r="CQ999" s="73">
        <v>45359.318298611113</v>
      </c>
      <c r="CR999" t="s">
        <v>229</v>
      </c>
      <c r="CS999" t="s">
        <v>111</v>
      </c>
      <c r="CU999" t="s">
        <v>225</v>
      </c>
    </row>
    <row r="1000" spans="1:99">
      <c r="A1000" t="s">
        <v>42</v>
      </c>
      <c r="B1000" t="s">
        <v>92</v>
      </c>
      <c r="J1000" t="s">
        <v>225</v>
      </c>
      <c r="K1000" t="s">
        <v>225</v>
      </c>
      <c r="M1000" s="73">
        <v>45359.315949074073</v>
      </c>
      <c r="N1000">
        <v>42136259</v>
      </c>
      <c r="O1000">
        <v>-5637</v>
      </c>
      <c r="P1000" t="s">
        <v>45</v>
      </c>
      <c r="Q1000">
        <v>-5637</v>
      </c>
      <c r="R1000" t="s">
        <v>45</v>
      </c>
      <c r="U1000" t="s">
        <v>226</v>
      </c>
      <c r="V1000" t="s">
        <v>516</v>
      </c>
      <c r="W1000" t="s">
        <v>228</v>
      </c>
      <c r="X1000" t="s">
        <v>229</v>
      </c>
      <c r="Y1000" t="s">
        <v>42</v>
      </c>
      <c r="AD1000" t="s">
        <v>45</v>
      </c>
      <c r="AE1000">
        <v>-5637</v>
      </c>
      <c r="AF1000">
        <v>42136259</v>
      </c>
      <c r="AG1000" s="73">
        <v>45359.315949074073</v>
      </c>
      <c r="AH1000" t="s">
        <v>226</v>
      </c>
      <c r="AI1000" t="s">
        <v>516</v>
      </c>
      <c r="AJ1000" t="s">
        <v>228</v>
      </c>
      <c r="AK1000" t="s">
        <v>229</v>
      </c>
      <c r="AL1000" t="s">
        <v>42</v>
      </c>
      <c r="AP1000" t="s">
        <v>230</v>
      </c>
      <c r="AQ1000" t="s">
        <v>231</v>
      </c>
      <c r="AT1000" t="s">
        <v>232</v>
      </c>
      <c r="AU1000">
        <v>-99</v>
      </c>
      <c r="AV1000" t="s">
        <v>45</v>
      </c>
      <c r="AW1000">
        <v>-5637</v>
      </c>
      <c r="AX1000">
        <v>42136259</v>
      </c>
      <c r="AY1000" s="73">
        <v>45359.315949074073</v>
      </c>
      <c r="AZ1000" t="s">
        <v>226</v>
      </c>
      <c r="BA1000" t="s">
        <v>516</v>
      </c>
      <c r="BB1000" t="s">
        <v>228</v>
      </c>
      <c r="BC1000" t="s">
        <v>229</v>
      </c>
      <c r="BD1000" t="s">
        <v>42</v>
      </c>
      <c r="BI1000" t="s">
        <v>233</v>
      </c>
      <c r="BJ1000" t="s">
        <v>0</v>
      </c>
      <c r="BK1000">
        <v>42136228</v>
      </c>
      <c r="BN1000" t="s">
        <v>45</v>
      </c>
      <c r="BR1000">
        <v>-5637</v>
      </c>
      <c r="BS1000">
        <v>42136259</v>
      </c>
      <c r="BT1000" s="73">
        <v>45359.315949074073</v>
      </c>
      <c r="BU1000" t="s">
        <v>226</v>
      </c>
      <c r="BV1000" t="s">
        <v>516</v>
      </c>
      <c r="BW1000" t="s">
        <v>228</v>
      </c>
      <c r="CH1000" t="s">
        <v>229</v>
      </c>
      <c r="CI1000" t="s">
        <v>42</v>
      </c>
      <c r="CJ1000" t="s">
        <v>226</v>
      </c>
      <c r="CK1000" t="s">
        <v>516</v>
      </c>
      <c r="CL1000" t="s">
        <v>228</v>
      </c>
      <c r="CM1000" t="s">
        <v>234</v>
      </c>
      <c r="CN1000" t="s">
        <v>45</v>
      </c>
      <c r="CO1000">
        <v>-5637</v>
      </c>
      <c r="CP1000">
        <v>42136259</v>
      </c>
      <c r="CQ1000" s="73">
        <v>45359.315949074073</v>
      </c>
      <c r="CR1000" t="s">
        <v>229</v>
      </c>
      <c r="CS1000" t="s">
        <v>42</v>
      </c>
      <c r="CU1000" t="s">
        <v>225</v>
      </c>
    </row>
    <row r="1001" spans="1:99">
      <c r="A1001" t="s">
        <v>99</v>
      </c>
      <c r="B1001" t="s">
        <v>98</v>
      </c>
      <c r="J1001" t="s">
        <v>225</v>
      </c>
      <c r="K1001" t="s">
        <v>225</v>
      </c>
      <c r="M1001" s="73">
        <v>45359.315949074073</v>
      </c>
      <c r="N1001">
        <v>42136258</v>
      </c>
      <c r="O1001">
        <v>-281.5</v>
      </c>
      <c r="P1001" t="s">
        <v>73</v>
      </c>
      <c r="Q1001">
        <v>-281.5</v>
      </c>
      <c r="R1001" t="s">
        <v>73</v>
      </c>
      <c r="U1001" t="s">
        <v>226</v>
      </c>
      <c r="V1001" t="s">
        <v>516</v>
      </c>
      <c r="W1001" t="s">
        <v>228</v>
      </c>
      <c r="X1001" t="s">
        <v>229</v>
      </c>
      <c r="Y1001" t="s">
        <v>99</v>
      </c>
      <c r="AD1001" t="s">
        <v>73</v>
      </c>
      <c r="AE1001">
        <v>-281.5</v>
      </c>
      <c r="AF1001">
        <v>42136258</v>
      </c>
      <c r="AG1001" s="73">
        <v>45359.315949074073</v>
      </c>
      <c r="AH1001" t="s">
        <v>226</v>
      </c>
      <c r="AI1001" t="s">
        <v>516</v>
      </c>
      <c r="AJ1001" t="s">
        <v>228</v>
      </c>
      <c r="AK1001" t="s">
        <v>229</v>
      </c>
      <c r="AL1001" t="s">
        <v>99</v>
      </c>
      <c r="AP1001" t="s">
        <v>230</v>
      </c>
      <c r="AQ1001" t="s">
        <v>231</v>
      </c>
      <c r="AT1001" t="s">
        <v>232</v>
      </c>
      <c r="AU1001">
        <v>-99</v>
      </c>
      <c r="AV1001" t="s">
        <v>73</v>
      </c>
      <c r="AW1001">
        <v>-281.5</v>
      </c>
      <c r="AX1001">
        <v>42136258</v>
      </c>
      <c r="AY1001" s="73">
        <v>45359.315949074073</v>
      </c>
      <c r="AZ1001" t="s">
        <v>226</v>
      </c>
      <c r="BA1001" t="s">
        <v>516</v>
      </c>
      <c r="BB1001" t="s">
        <v>228</v>
      </c>
      <c r="BC1001" t="s">
        <v>229</v>
      </c>
      <c r="BD1001" t="s">
        <v>99</v>
      </c>
      <c r="BI1001" t="s">
        <v>233</v>
      </c>
      <c r="BJ1001" t="s">
        <v>0</v>
      </c>
      <c r="BK1001">
        <v>42136228</v>
      </c>
      <c r="BN1001" t="s">
        <v>73</v>
      </c>
      <c r="BR1001">
        <v>-281.5</v>
      </c>
      <c r="BS1001">
        <v>42136258</v>
      </c>
      <c r="BT1001" s="73">
        <v>45359.315949074073</v>
      </c>
      <c r="BU1001" t="s">
        <v>226</v>
      </c>
      <c r="BV1001" t="s">
        <v>516</v>
      </c>
      <c r="BW1001" t="s">
        <v>228</v>
      </c>
      <c r="CH1001" t="s">
        <v>229</v>
      </c>
      <c r="CI1001" t="s">
        <v>99</v>
      </c>
      <c r="CJ1001" t="s">
        <v>226</v>
      </c>
      <c r="CK1001" t="s">
        <v>516</v>
      </c>
      <c r="CL1001" t="s">
        <v>228</v>
      </c>
      <c r="CM1001" t="s">
        <v>234</v>
      </c>
      <c r="CN1001" t="s">
        <v>73</v>
      </c>
      <c r="CO1001">
        <v>-281.5</v>
      </c>
      <c r="CP1001">
        <v>42136258</v>
      </c>
      <c r="CQ1001" s="73">
        <v>45359.315949074073</v>
      </c>
      <c r="CR1001" t="s">
        <v>229</v>
      </c>
      <c r="CS1001" t="s">
        <v>99</v>
      </c>
      <c r="CU1001" t="s">
        <v>225</v>
      </c>
    </row>
    <row r="1002" spans="1:99">
      <c r="A1002" t="s">
        <v>103</v>
      </c>
      <c r="B1002" t="s">
        <v>98</v>
      </c>
      <c r="J1002" t="s">
        <v>225</v>
      </c>
      <c r="K1002" t="s">
        <v>225</v>
      </c>
      <c r="M1002" s="73">
        <v>45359.315949074073</v>
      </c>
      <c r="N1002">
        <v>42136257</v>
      </c>
      <c r="O1002">
        <v>5630</v>
      </c>
      <c r="P1002" t="s">
        <v>104</v>
      </c>
      <c r="Q1002">
        <v>5630</v>
      </c>
      <c r="R1002" t="s">
        <v>104</v>
      </c>
      <c r="S1002">
        <v>281.5</v>
      </c>
      <c r="T1002" t="s">
        <v>73</v>
      </c>
      <c r="U1002" t="s">
        <v>226</v>
      </c>
      <c r="V1002" t="s">
        <v>516</v>
      </c>
      <c r="W1002" t="s">
        <v>235</v>
      </c>
      <c r="X1002" t="s">
        <v>229</v>
      </c>
      <c r="Y1002" t="s">
        <v>103</v>
      </c>
      <c r="AD1002" t="s">
        <v>104</v>
      </c>
      <c r="AE1002">
        <v>5630</v>
      </c>
      <c r="AF1002">
        <v>42136257</v>
      </c>
      <c r="AG1002" s="73">
        <v>45359.315949074073</v>
      </c>
      <c r="AH1002" t="s">
        <v>226</v>
      </c>
      <c r="AI1002" t="s">
        <v>516</v>
      </c>
      <c r="AJ1002" t="s">
        <v>235</v>
      </c>
      <c r="AK1002" t="s">
        <v>229</v>
      </c>
      <c r="AL1002" t="s">
        <v>103</v>
      </c>
      <c r="AP1002" t="s">
        <v>230</v>
      </c>
      <c r="AQ1002" t="s">
        <v>231</v>
      </c>
      <c r="AT1002" t="s">
        <v>232</v>
      </c>
      <c r="AU1002">
        <v>-99</v>
      </c>
      <c r="AV1002" t="s">
        <v>104</v>
      </c>
      <c r="AW1002">
        <v>5630</v>
      </c>
      <c r="AX1002">
        <v>42136257</v>
      </c>
      <c r="AY1002" s="73">
        <v>45359.315949074073</v>
      </c>
      <c r="AZ1002" t="s">
        <v>226</v>
      </c>
      <c r="BA1002" t="s">
        <v>516</v>
      </c>
      <c r="BB1002" t="s">
        <v>235</v>
      </c>
      <c r="BC1002" t="s">
        <v>229</v>
      </c>
      <c r="BD1002" t="s">
        <v>103</v>
      </c>
      <c r="BI1002" t="s">
        <v>233</v>
      </c>
      <c r="BJ1002" t="s">
        <v>0</v>
      </c>
      <c r="BK1002">
        <v>42136228</v>
      </c>
      <c r="BN1002" t="s">
        <v>104</v>
      </c>
      <c r="BO1002">
        <v>42136234</v>
      </c>
      <c r="BR1002">
        <v>5630</v>
      </c>
      <c r="BS1002">
        <v>42136257</v>
      </c>
      <c r="BT1002" s="73">
        <v>45359.315949074073</v>
      </c>
      <c r="BU1002" t="s">
        <v>226</v>
      </c>
      <c r="BV1002" t="s">
        <v>516</v>
      </c>
      <c r="BW1002" t="s">
        <v>235</v>
      </c>
      <c r="CH1002" t="s">
        <v>229</v>
      </c>
      <c r="CI1002" t="s">
        <v>103</v>
      </c>
      <c r="CJ1002" t="s">
        <v>226</v>
      </c>
      <c r="CK1002" t="s">
        <v>516</v>
      </c>
      <c r="CL1002" t="s">
        <v>235</v>
      </c>
      <c r="CM1002" t="s">
        <v>236</v>
      </c>
      <c r="CN1002" t="s">
        <v>104</v>
      </c>
      <c r="CO1002">
        <v>5630</v>
      </c>
      <c r="CP1002">
        <v>42136257</v>
      </c>
      <c r="CQ1002" s="73">
        <v>45359.315949074073</v>
      </c>
      <c r="CR1002" t="s">
        <v>229</v>
      </c>
      <c r="CS1002" t="s">
        <v>103</v>
      </c>
      <c r="CU1002" t="s">
        <v>225</v>
      </c>
    </row>
    <row r="1003" spans="1:99">
      <c r="A1003" t="s">
        <v>111</v>
      </c>
      <c r="B1003" t="s">
        <v>77</v>
      </c>
      <c r="J1003" t="s">
        <v>225</v>
      </c>
      <c r="K1003" t="s">
        <v>225</v>
      </c>
      <c r="M1003" s="73">
        <v>45359.315949074073</v>
      </c>
      <c r="N1003">
        <v>42136256</v>
      </c>
      <c r="O1003">
        <v>7</v>
      </c>
      <c r="P1003" t="s">
        <v>45</v>
      </c>
      <c r="Q1003">
        <v>7</v>
      </c>
      <c r="R1003" t="s">
        <v>45</v>
      </c>
      <c r="U1003" t="s">
        <v>226</v>
      </c>
      <c r="V1003" t="s">
        <v>516</v>
      </c>
      <c r="W1003" t="s">
        <v>237</v>
      </c>
      <c r="X1003" t="s">
        <v>229</v>
      </c>
      <c r="Y1003" t="s">
        <v>111</v>
      </c>
      <c r="AD1003" t="s">
        <v>45</v>
      </c>
      <c r="AE1003">
        <v>7</v>
      </c>
      <c r="AF1003">
        <v>42136256</v>
      </c>
      <c r="AG1003" s="73">
        <v>45359.315949074073</v>
      </c>
      <c r="AH1003" t="s">
        <v>226</v>
      </c>
      <c r="AI1003" t="s">
        <v>516</v>
      </c>
      <c r="AJ1003" t="s">
        <v>237</v>
      </c>
      <c r="AK1003" t="s">
        <v>229</v>
      </c>
      <c r="AL1003" t="s">
        <v>111</v>
      </c>
      <c r="AP1003" t="s">
        <v>230</v>
      </c>
      <c r="AQ1003" t="s">
        <v>231</v>
      </c>
      <c r="AT1003" t="s">
        <v>232</v>
      </c>
      <c r="AU1003">
        <v>-99</v>
      </c>
      <c r="AV1003" t="s">
        <v>45</v>
      </c>
      <c r="AW1003">
        <v>7</v>
      </c>
      <c r="AX1003">
        <v>42136256</v>
      </c>
      <c r="AY1003" s="73">
        <v>45359.315949074073</v>
      </c>
      <c r="AZ1003" t="s">
        <v>226</v>
      </c>
      <c r="BA1003" t="s">
        <v>516</v>
      </c>
      <c r="BB1003" t="s">
        <v>237</v>
      </c>
      <c r="BC1003" t="s">
        <v>229</v>
      </c>
      <c r="BD1003" t="s">
        <v>111</v>
      </c>
      <c r="BI1003" t="s">
        <v>233</v>
      </c>
      <c r="BJ1003" t="s">
        <v>0</v>
      </c>
      <c r="BK1003">
        <v>42136228</v>
      </c>
      <c r="BN1003" t="s">
        <v>45</v>
      </c>
      <c r="BO1003">
        <v>42136236</v>
      </c>
      <c r="BR1003">
        <v>7</v>
      </c>
      <c r="BS1003">
        <v>42136256</v>
      </c>
      <c r="BT1003" s="73">
        <v>45359.315949074073</v>
      </c>
      <c r="BU1003" t="s">
        <v>226</v>
      </c>
      <c r="BV1003" t="s">
        <v>516</v>
      </c>
      <c r="BW1003" t="s">
        <v>237</v>
      </c>
      <c r="CH1003" t="s">
        <v>229</v>
      </c>
      <c r="CI1003" t="s">
        <v>111</v>
      </c>
      <c r="CJ1003" t="s">
        <v>226</v>
      </c>
      <c r="CK1003" t="s">
        <v>516</v>
      </c>
      <c r="CL1003" t="s">
        <v>237</v>
      </c>
      <c r="CM1003" t="s">
        <v>236</v>
      </c>
      <c r="CN1003" t="s">
        <v>45</v>
      </c>
      <c r="CO1003">
        <v>7</v>
      </c>
      <c r="CP1003">
        <v>42136256</v>
      </c>
      <c r="CQ1003" s="73">
        <v>45359.315949074073</v>
      </c>
      <c r="CR1003" t="s">
        <v>229</v>
      </c>
      <c r="CS1003" t="s">
        <v>111</v>
      </c>
      <c r="CU1003" t="s">
        <v>225</v>
      </c>
    </row>
    <row r="1004" spans="1:99">
      <c r="A1004" t="s">
        <v>52</v>
      </c>
      <c r="B1004" t="s">
        <v>92</v>
      </c>
      <c r="J1004" t="s">
        <v>225</v>
      </c>
      <c r="K1004" t="s">
        <v>225</v>
      </c>
      <c r="M1004" s="73">
        <v>45359.313194444447</v>
      </c>
      <c r="N1004">
        <v>42136186</v>
      </c>
      <c r="O1004">
        <v>-5245</v>
      </c>
      <c r="P1004" t="s">
        <v>45</v>
      </c>
      <c r="Q1004">
        <v>-5245</v>
      </c>
      <c r="R1004" t="s">
        <v>45</v>
      </c>
      <c r="U1004" t="s">
        <v>226</v>
      </c>
      <c r="V1004" t="s">
        <v>517</v>
      </c>
      <c r="W1004" t="s">
        <v>228</v>
      </c>
      <c r="X1004" t="s">
        <v>229</v>
      </c>
      <c r="Y1004" t="s">
        <v>52</v>
      </c>
      <c r="AD1004" t="s">
        <v>45</v>
      </c>
      <c r="AE1004">
        <v>-5245</v>
      </c>
      <c r="AF1004">
        <v>42136186</v>
      </c>
      <c r="AG1004" s="73">
        <v>45359.313194444447</v>
      </c>
      <c r="AH1004" t="s">
        <v>226</v>
      </c>
      <c r="AI1004" t="s">
        <v>517</v>
      </c>
      <c r="AJ1004" t="s">
        <v>228</v>
      </c>
      <c r="AK1004" t="s">
        <v>229</v>
      </c>
      <c r="AL1004" t="s">
        <v>52</v>
      </c>
      <c r="AP1004" t="s">
        <v>230</v>
      </c>
      <c r="AQ1004" t="s">
        <v>231</v>
      </c>
      <c r="AT1004" t="s">
        <v>232</v>
      </c>
      <c r="AU1004">
        <v>-99</v>
      </c>
      <c r="AV1004" t="s">
        <v>45</v>
      </c>
      <c r="AW1004">
        <v>-5245</v>
      </c>
      <c r="AX1004">
        <v>42136186</v>
      </c>
      <c r="AY1004" s="73">
        <v>45359.313194444447</v>
      </c>
      <c r="AZ1004" t="s">
        <v>226</v>
      </c>
      <c r="BA1004" t="s">
        <v>517</v>
      </c>
      <c r="BB1004" t="s">
        <v>228</v>
      </c>
      <c r="BC1004" t="s">
        <v>229</v>
      </c>
      <c r="BD1004" t="s">
        <v>52</v>
      </c>
      <c r="BI1004" t="s">
        <v>233</v>
      </c>
      <c r="BJ1004" t="s">
        <v>0</v>
      </c>
      <c r="BK1004">
        <v>42136167</v>
      </c>
      <c r="BN1004" t="s">
        <v>45</v>
      </c>
      <c r="BR1004">
        <v>-5245</v>
      </c>
      <c r="BS1004">
        <v>42136186</v>
      </c>
      <c r="BT1004" s="73">
        <v>45359.313194444447</v>
      </c>
      <c r="BU1004" t="s">
        <v>226</v>
      </c>
      <c r="BV1004" t="s">
        <v>517</v>
      </c>
      <c r="BW1004" t="s">
        <v>228</v>
      </c>
      <c r="CH1004" t="s">
        <v>229</v>
      </c>
      <c r="CI1004" t="s">
        <v>52</v>
      </c>
      <c r="CJ1004" t="s">
        <v>226</v>
      </c>
      <c r="CK1004" t="s">
        <v>517</v>
      </c>
      <c r="CL1004" t="s">
        <v>228</v>
      </c>
      <c r="CM1004" t="s">
        <v>234</v>
      </c>
      <c r="CN1004" t="s">
        <v>45</v>
      </c>
      <c r="CO1004">
        <v>-5245</v>
      </c>
      <c r="CP1004">
        <v>42136186</v>
      </c>
      <c r="CQ1004" s="73">
        <v>45359.313194444447</v>
      </c>
      <c r="CR1004" t="s">
        <v>229</v>
      </c>
      <c r="CS1004" t="s">
        <v>52</v>
      </c>
      <c r="CU1004" t="s">
        <v>225</v>
      </c>
    </row>
    <row r="1005" spans="1:99">
      <c r="A1005" t="s">
        <v>101</v>
      </c>
      <c r="B1005" t="s">
        <v>98</v>
      </c>
      <c r="J1005" t="s">
        <v>225</v>
      </c>
      <c r="K1005" t="s">
        <v>225</v>
      </c>
      <c r="M1005" s="73">
        <v>45359.313194444447</v>
      </c>
      <c r="N1005">
        <v>42136185</v>
      </c>
      <c r="O1005">
        <v>-262.25</v>
      </c>
      <c r="P1005" t="s">
        <v>73</v>
      </c>
      <c r="Q1005">
        <v>-262.25</v>
      </c>
      <c r="R1005" t="s">
        <v>73</v>
      </c>
      <c r="U1005" t="s">
        <v>226</v>
      </c>
      <c r="V1005" t="s">
        <v>517</v>
      </c>
      <c r="W1005" t="s">
        <v>228</v>
      </c>
      <c r="X1005" t="s">
        <v>229</v>
      </c>
      <c r="Y1005" t="s">
        <v>101</v>
      </c>
      <c r="AD1005" t="s">
        <v>73</v>
      </c>
      <c r="AE1005">
        <v>-262.25</v>
      </c>
      <c r="AF1005">
        <v>42136185</v>
      </c>
      <c r="AG1005" s="73">
        <v>45359.313194444447</v>
      </c>
      <c r="AH1005" t="s">
        <v>226</v>
      </c>
      <c r="AI1005" t="s">
        <v>517</v>
      </c>
      <c r="AJ1005" t="s">
        <v>228</v>
      </c>
      <c r="AK1005" t="s">
        <v>229</v>
      </c>
      <c r="AL1005" t="s">
        <v>101</v>
      </c>
      <c r="AP1005" t="s">
        <v>230</v>
      </c>
      <c r="AQ1005" t="s">
        <v>231</v>
      </c>
      <c r="AT1005" t="s">
        <v>232</v>
      </c>
      <c r="AU1005">
        <v>-99</v>
      </c>
      <c r="AV1005" t="s">
        <v>73</v>
      </c>
      <c r="AW1005">
        <v>-262.25</v>
      </c>
      <c r="AX1005">
        <v>42136185</v>
      </c>
      <c r="AY1005" s="73">
        <v>45359.313194444447</v>
      </c>
      <c r="AZ1005" t="s">
        <v>226</v>
      </c>
      <c r="BA1005" t="s">
        <v>517</v>
      </c>
      <c r="BB1005" t="s">
        <v>228</v>
      </c>
      <c r="BC1005" t="s">
        <v>229</v>
      </c>
      <c r="BD1005" t="s">
        <v>101</v>
      </c>
      <c r="BI1005" t="s">
        <v>233</v>
      </c>
      <c r="BJ1005" t="s">
        <v>0</v>
      </c>
      <c r="BK1005">
        <v>42136167</v>
      </c>
      <c r="BN1005" t="s">
        <v>73</v>
      </c>
      <c r="BR1005">
        <v>-262.25</v>
      </c>
      <c r="BS1005">
        <v>42136185</v>
      </c>
      <c r="BT1005" s="73">
        <v>45359.313194444447</v>
      </c>
      <c r="BU1005" t="s">
        <v>226</v>
      </c>
      <c r="BV1005" t="s">
        <v>517</v>
      </c>
      <c r="BW1005" t="s">
        <v>228</v>
      </c>
      <c r="CH1005" t="s">
        <v>229</v>
      </c>
      <c r="CI1005" t="s">
        <v>101</v>
      </c>
      <c r="CJ1005" t="s">
        <v>226</v>
      </c>
      <c r="CK1005" t="s">
        <v>517</v>
      </c>
      <c r="CL1005" t="s">
        <v>228</v>
      </c>
      <c r="CM1005" t="s">
        <v>234</v>
      </c>
      <c r="CN1005" t="s">
        <v>73</v>
      </c>
      <c r="CO1005">
        <v>-262.25</v>
      </c>
      <c r="CP1005">
        <v>42136185</v>
      </c>
      <c r="CQ1005" s="73">
        <v>45359.313194444447</v>
      </c>
      <c r="CR1005" t="s">
        <v>229</v>
      </c>
      <c r="CS1005" t="s">
        <v>101</v>
      </c>
      <c r="CU1005" t="s">
        <v>225</v>
      </c>
    </row>
    <row r="1006" spans="1:99">
      <c r="A1006" t="s">
        <v>107</v>
      </c>
      <c r="B1006" t="s">
        <v>98</v>
      </c>
      <c r="J1006" t="s">
        <v>225</v>
      </c>
      <c r="K1006" t="s">
        <v>225</v>
      </c>
      <c r="M1006" s="73">
        <v>45359.313194444447</v>
      </c>
      <c r="N1006">
        <v>42136184</v>
      </c>
      <c r="O1006">
        <v>5245</v>
      </c>
      <c r="P1006" t="s">
        <v>104</v>
      </c>
      <c r="Q1006">
        <v>5245</v>
      </c>
      <c r="R1006" t="s">
        <v>104</v>
      </c>
      <c r="S1006">
        <v>262.25</v>
      </c>
      <c r="T1006" t="s">
        <v>73</v>
      </c>
      <c r="U1006" t="s">
        <v>226</v>
      </c>
      <c r="V1006" t="s">
        <v>517</v>
      </c>
      <c r="W1006" t="s">
        <v>235</v>
      </c>
      <c r="X1006" t="s">
        <v>229</v>
      </c>
      <c r="Y1006" t="s">
        <v>107</v>
      </c>
      <c r="AD1006" t="s">
        <v>104</v>
      </c>
      <c r="AE1006">
        <v>5245</v>
      </c>
      <c r="AF1006">
        <v>42136184</v>
      </c>
      <c r="AG1006" s="73">
        <v>45359.313194444447</v>
      </c>
      <c r="AH1006" t="s">
        <v>226</v>
      </c>
      <c r="AI1006" t="s">
        <v>517</v>
      </c>
      <c r="AJ1006" t="s">
        <v>235</v>
      </c>
      <c r="AK1006" t="s">
        <v>229</v>
      </c>
      <c r="AL1006" t="s">
        <v>107</v>
      </c>
      <c r="AP1006" t="s">
        <v>230</v>
      </c>
      <c r="AQ1006" t="s">
        <v>231</v>
      </c>
      <c r="AT1006" t="s">
        <v>232</v>
      </c>
      <c r="AU1006">
        <v>-99</v>
      </c>
      <c r="AV1006" t="s">
        <v>104</v>
      </c>
      <c r="AW1006">
        <v>5245</v>
      </c>
      <c r="AX1006">
        <v>42136184</v>
      </c>
      <c r="AY1006" s="73">
        <v>45359.313194444447</v>
      </c>
      <c r="AZ1006" t="s">
        <v>226</v>
      </c>
      <c r="BA1006" t="s">
        <v>517</v>
      </c>
      <c r="BB1006" t="s">
        <v>235</v>
      </c>
      <c r="BC1006" t="s">
        <v>229</v>
      </c>
      <c r="BD1006" t="s">
        <v>107</v>
      </c>
      <c r="BI1006" t="s">
        <v>233</v>
      </c>
      <c r="BJ1006" t="s">
        <v>0</v>
      </c>
      <c r="BK1006">
        <v>42136167</v>
      </c>
      <c r="BN1006" t="s">
        <v>104</v>
      </c>
      <c r="BO1006">
        <v>42136180</v>
      </c>
      <c r="BR1006">
        <v>5245</v>
      </c>
      <c r="BS1006">
        <v>42136184</v>
      </c>
      <c r="BT1006" s="73">
        <v>45359.313194444447</v>
      </c>
      <c r="BU1006" t="s">
        <v>226</v>
      </c>
      <c r="BV1006" t="s">
        <v>517</v>
      </c>
      <c r="BW1006" t="s">
        <v>235</v>
      </c>
      <c r="CH1006" t="s">
        <v>229</v>
      </c>
      <c r="CI1006" t="s">
        <v>107</v>
      </c>
      <c r="CJ1006" t="s">
        <v>226</v>
      </c>
      <c r="CK1006" t="s">
        <v>517</v>
      </c>
      <c r="CL1006" t="s">
        <v>235</v>
      </c>
      <c r="CM1006" t="s">
        <v>236</v>
      </c>
      <c r="CN1006" t="s">
        <v>104</v>
      </c>
      <c r="CO1006">
        <v>5245</v>
      </c>
      <c r="CP1006">
        <v>42136184</v>
      </c>
      <c r="CQ1006" s="73">
        <v>45359.313194444447</v>
      </c>
      <c r="CR1006" t="s">
        <v>229</v>
      </c>
      <c r="CS1006" t="s">
        <v>107</v>
      </c>
      <c r="CU1006" t="s">
        <v>225</v>
      </c>
    </row>
    <row r="1007" spans="1:99">
      <c r="A1007" t="s">
        <v>46</v>
      </c>
      <c r="B1007" t="s">
        <v>92</v>
      </c>
      <c r="J1007" t="s">
        <v>225</v>
      </c>
      <c r="K1007" t="s">
        <v>225</v>
      </c>
      <c r="M1007" s="73">
        <v>45359.311932870369</v>
      </c>
      <c r="N1007">
        <v>42136153</v>
      </c>
      <c r="O1007">
        <v>-560</v>
      </c>
      <c r="P1007" t="s">
        <v>45</v>
      </c>
      <c r="Q1007">
        <v>-560</v>
      </c>
      <c r="R1007" t="s">
        <v>45</v>
      </c>
      <c r="U1007" t="s">
        <v>226</v>
      </c>
      <c r="V1007" t="s">
        <v>518</v>
      </c>
      <c r="W1007" t="s">
        <v>228</v>
      </c>
      <c r="X1007" t="s">
        <v>229</v>
      </c>
      <c r="Y1007" t="s">
        <v>46</v>
      </c>
      <c r="AD1007" t="s">
        <v>45</v>
      </c>
      <c r="AE1007">
        <v>-560</v>
      </c>
      <c r="AF1007">
        <v>42136153</v>
      </c>
      <c r="AG1007" s="73">
        <v>45359.311932870369</v>
      </c>
      <c r="AH1007" t="s">
        <v>226</v>
      </c>
      <c r="AI1007" t="s">
        <v>518</v>
      </c>
      <c r="AJ1007" t="s">
        <v>228</v>
      </c>
      <c r="AK1007" t="s">
        <v>229</v>
      </c>
      <c r="AL1007" t="s">
        <v>46</v>
      </c>
      <c r="AP1007" t="s">
        <v>230</v>
      </c>
      <c r="AQ1007" t="s">
        <v>231</v>
      </c>
      <c r="AT1007" t="s">
        <v>232</v>
      </c>
      <c r="AU1007">
        <v>-99</v>
      </c>
      <c r="AV1007" t="s">
        <v>45</v>
      </c>
      <c r="AW1007">
        <v>-560</v>
      </c>
      <c r="AX1007">
        <v>42136153</v>
      </c>
      <c r="AY1007" s="73">
        <v>45359.311932870369</v>
      </c>
      <c r="AZ1007" t="s">
        <v>226</v>
      </c>
      <c r="BA1007" t="s">
        <v>518</v>
      </c>
      <c r="BB1007" t="s">
        <v>228</v>
      </c>
      <c r="BC1007" t="s">
        <v>229</v>
      </c>
      <c r="BD1007" t="s">
        <v>46</v>
      </c>
      <c r="BI1007" t="s">
        <v>233</v>
      </c>
      <c r="BJ1007" t="s">
        <v>0</v>
      </c>
      <c r="BK1007">
        <v>42136138</v>
      </c>
      <c r="BN1007" t="s">
        <v>45</v>
      </c>
      <c r="BR1007">
        <v>-560</v>
      </c>
      <c r="BS1007">
        <v>42136153</v>
      </c>
      <c r="BT1007" s="73">
        <v>45359.311932870369</v>
      </c>
      <c r="BU1007" t="s">
        <v>226</v>
      </c>
      <c r="BV1007" t="s">
        <v>518</v>
      </c>
      <c r="BW1007" t="s">
        <v>228</v>
      </c>
      <c r="CH1007" t="s">
        <v>229</v>
      </c>
      <c r="CI1007" t="s">
        <v>46</v>
      </c>
      <c r="CJ1007" t="s">
        <v>226</v>
      </c>
      <c r="CK1007" t="s">
        <v>518</v>
      </c>
      <c r="CL1007" t="s">
        <v>228</v>
      </c>
      <c r="CM1007" t="s">
        <v>234</v>
      </c>
      <c r="CN1007" t="s">
        <v>45</v>
      </c>
      <c r="CO1007">
        <v>-560</v>
      </c>
      <c r="CP1007">
        <v>42136153</v>
      </c>
      <c r="CQ1007" s="73">
        <v>45359.311932870369</v>
      </c>
      <c r="CR1007" t="s">
        <v>229</v>
      </c>
      <c r="CS1007" t="s">
        <v>46</v>
      </c>
      <c r="CU1007" t="s">
        <v>225</v>
      </c>
    </row>
    <row r="1008" spans="1:99">
      <c r="A1008" t="s">
        <v>93</v>
      </c>
      <c r="B1008" t="s">
        <v>98</v>
      </c>
      <c r="J1008" t="s">
        <v>225</v>
      </c>
      <c r="K1008" t="s">
        <v>225</v>
      </c>
      <c r="M1008" s="73">
        <v>45359.311932870369</v>
      </c>
      <c r="N1008">
        <v>42136152</v>
      </c>
      <c r="O1008">
        <v>-28</v>
      </c>
      <c r="P1008" t="s">
        <v>73</v>
      </c>
      <c r="Q1008">
        <v>-28</v>
      </c>
      <c r="R1008" t="s">
        <v>73</v>
      </c>
      <c r="U1008" t="s">
        <v>226</v>
      </c>
      <c r="V1008" t="s">
        <v>518</v>
      </c>
      <c r="W1008" t="s">
        <v>228</v>
      </c>
      <c r="X1008" t="s">
        <v>229</v>
      </c>
      <c r="Y1008" t="s">
        <v>93</v>
      </c>
      <c r="AD1008" t="s">
        <v>73</v>
      </c>
      <c r="AE1008">
        <v>-28</v>
      </c>
      <c r="AF1008">
        <v>42136152</v>
      </c>
      <c r="AG1008" s="73">
        <v>45359.311932870369</v>
      </c>
      <c r="AH1008" t="s">
        <v>226</v>
      </c>
      <c r="AI1008" t="s">
        <v>518</v>
      </c>
      <c r="AJ1008" t="s">
        <v>228</v>
      </c>
      <c r="AK1008" t="s">
        <v>229</v>
      </c>
      <c r="AL1008" t="s">
        <v>93</v>
      </c>
      <c r="AP1008" t="s">
        <v>230</v>
      </c>
      <c r="AQ1008" t="s">
        <v>231</v>
      </c>
      <c r="AT1008" t="s">
        <v>232</v>
      </c>
      <c r="AU1008">
        <v>-99</v>
      </c>
      <c r="AV1008" t="s">
        <v>73</v>
      </c>
      <c r="AW1008">
        <v>-28</v>
      </c>
      <c r="AX1008">
        <v>42136152</v>
      </c>
      <c r="AY1008" s="73">
        <v>45359.311932870369</v>
      </c>
      <c r="AZ1008" t="s">
        <v>226</v>
      </c>
      <c r="BA1008" t="s">
        <v>518</v>
      </c>
      <c r="BB1008" t="s">
        <v>228</v>
      </c>
      <c r="BC1008" t="s">
        <v>229</v>
      </c>
      <c r="BD1008" t="s">
        <v>93</v>
      </c>
      <c r="BI1008" t="s">
        <v>233</v>
      </c>
      <c r="BJ1008" t="s">
        <v>0</v>
      </c>
      <c r="BK1008">
        <v>42136138</v>
      </c>
      <c r="BN1008" t="s">
        <v>73</v>
      </c>
      <c r="BR1008">
        <v>-28</v>
      </c>
      <c r="BS1008">
        <v>42136152</v>
      </c>
      <c r="BT1008" s="73">
        <v>45359.311932870369</v>
      </c>
      <c r="BU1008" t="s">
        <v>226</v>
      </c>
      <c r="BV1008" t="s">
        <v>518</v>
      </c>
      <c r="BW1008" t="s">
        <v>228</v>
      </c>
      <c r="CH1008" t="s">
        <v>229</v>
      </c>
      <c r="CI1008" t="s">
        <v>93</v>
      </c>
      <c r="CJ1008" t="s">
        <v>226</v>
      </c>
      <c r="CK1008" t="s">
        <v>518</v>
      </c>
      <c r="CL1008" t="s">
        <v>228</v>
      </c>
      <c r="CM1008" t="s">
        <v>234</v>
      </c>
      <c r="CN1008" t="s">
        <v>73</v>
      </c>
      <c r="CO1008">
        <v>-28</v>
      </c>
      <c r="CP1008">
        <v>42136152</v>
      </c>
      <c r="CQ1008" s="73">
        <v>45359.311932870369</v>
      </c>
      <c r="CR1008" t="s">
        <v>229</v>
      </c>
      <c r="CS1008" t="s">
        <v>93</v>
      </c>
      <c r="CU1008" t="s">
        <v>225</v>
      </c>
    </row>
    <row r="1009" spans="1:99">
      <c r="A1009" t="s">
        <v>108</v>
      </c>
      <c r="B1009" t="s">
        <v>98</v>
      </c>
      <c r="J1009" t="s">
        <v>225</v>
      </c>
      <c r="K1009" t="s">
        <v>225</v>
      </c>
      <c r="M1009" s="73">
        <v>45359.311932870369</v>
      </c>
      <c r="N1009">
        <v>42136151</v>
      </c>
      <c r="O1009">
        <v>560</v>
      </c>
      <c r="P1009" t="s">
        <v>104</v>
      </c>
      <c r="Q1009">
        <v>560</v>
      </c>
      <c r="R1009" t="s">
        <v>104</v>
      </c>
      <c r="S1009">
        <v>28</v>
      </c>
      <c r="T1009" t="s">
        <v>73</v>
      </c>
      <c r="U1009" t="s">
        <v>226</v>
      </c>
      <c r="V1009" t="s">
        <v>518</v>
      </c>
      <c r="W1009" t="s">
        <v>235</v>
      </c>
      <c r="X1009" t="s">
        <v>229</v>
      </c>
      <c r="Y1009" t="s">
        <v>108</v>
      </c>
      <c r="AD1009" t="s">
        <v>104</v>
      </c>
      <c r="AE1009">
        <v>560</v>
      </c>
      <c r="AF1009">
        <v>42136151</v>
      </c>
      <c r="AG1009" s="73">
        <v>45359.311932870369</v>
      </c>
      <c r="AH1009" t="s">
        <v>226</v>
      </c>
      <c r="AI1009" t="s">
        <v>518</v>
      </c>
      <c r="AJ1009" t="s">
        <v>235</v>
      </c>
      <c r="AK1009" t="s">
        <v>229</v>
      </c>
      <c r="AL1009" t="s">
        <v>108</v>
      </c>
      <c r="AP1009" t="s">
        <v>230</v>
      </c>
      <c r="AQ1009" t="s">
        <v>231</v>
      </c>
      <c r="AT1009" t="s">
        <v>232</v>
      </c>
      <c r="AU1009">
        <v>-99</v>
      </c>
      <c r="AV1009" t="s">
        <v>104</v>
      </c>
      <c r="AW1009">
        <v>560</v>
      </c>
      <c r="AX1009">
        <v>42136151</v>
      </c>
      <c r="AY1009" s="73">
        <v>45359.311932870369</v>
      </c>
      <c r="AZ1009" t="s">
        <v>226</v>
      </c>
      <c r="BA1009" t="s">
        <v>518</v>
      </c>
      <c r="BB1009" t="s">
        <v>235</v>
      </c>
      <c r="BC1009" t="s">
        <v>229</v>
      </c>
      <c r="BD1009" t="s">
        <v>108</v>
      </c>
      <c r="BI1009" t="s">
        <v>233</v>
      </c>
      <c r="BJ1009" t="s">
        <v>0</v>
      </c>
      <c r="BK1009">
        <v>42136138</v>
      </c>
      <c r="BN1009" t="s">
        <v>104</v>
      </c>
      <c r="BO1009">
        <v>42136147</v>
      </c>
      <c r="BR1009">
        <v>560</v>
      </c>
      <c r="BS1009">
        <v>42136151</v>
      </c>
      <c r="BT1009" s="73">
        <v>45359.311932870369</v>
      </c>
      <c r="BU1009" t="s">
        <v>226</v>
      </c>
      <c r="BV1009" t="s">
        <v>518</v>
      </c>
      <c r="BW1009" t="s">
        <v>235</v>
      </c>
      <c r="CH1009" t="s">
        <v>229</v>
      </c>
      <c r="CI1009" t="s">
        <v>108</v>
      </c>
      <c r="CJ1009" t="s">
        <v>226</v>
      </c>
      <c r="CK1009" t="s">
        <v>518</v>
      </c>
      <c r="CL1009" t="s">
        <v>235</v>
      </c>
      <c r="CM1009" t="s">
        <v>236</v>
      </c>
      <c r="CN1009" t="s">
        <v>104</v>
      </c>
      <c r="CO1009">
        <v>560</v>
      </c>
      <c r="CP1009">
        <v>42136151</v>
      </c>
      <c r="CQ1009" s="73">
        <v>45359.311932870369</v>
      </c>
      <c r="CR1009" t="s">
        <v>229</v>
      </c>
      <c r="CS1009" t="s">
        <v>108</v>
      </c>
      <c r="CU1009" t="s">
        <v>225</v>
      </c>
    </row>
    <row r="1010" spans="1:99">
      <c r="A1010" t="s">
        <v>113</v>
      </c>
      <c r="B1010" t="s">
        <v>90</v>
      </c>
      <c r="J1010" t="s">
        <v>225</v>
      </c>
      <c r="K1010" t="s">
        <v>225</v>
      </c>
      <c r="M1010" s="73">
        <v>45359.256956018522</v>
      </c>
      <c r="N1010">
        <v>42143306</v>
      </c>
      <c r="O1010">
        <v>-300</v>
      </c>
      <c r="P1010" t="s">
        <v>115</v>
      </c>
      <c r="Q1010">
        <v>-300</v>
      </c>
      <c r="R1010" t="s">
        <v>115</v>
      </c>
      <c r="U1010" t="s">
        <v>226</v>
      </c>
      <c r="V1010" t="s">
        <v>506</v>
      </c>
      <c r="W1010" t="s">
        <v>228</v>
      </c>
      <c r="X1010" t="s">
        <v>229</v>
      </c>
      <c r="Y1010" t="s">
        <v>113</v>
      </c>
      <c r="AD1010" t="s">
        <v>115</v>
      </c>
      <c r="AE1010">
        <v>-300</v>
      </c>
      <c r="AF1010">
        <v>42143306</v>
      </c>
      <c r="AG1010" s="73">
        <v>45359.256956018522</v>
      </c>
      <c r="AH1010" t="s">
        <v>226</v>
      </c>
      <c r="AI1010" t="s">
        <v>506</v>
      </c>
      <c r="AJ1010" t="s">
        <v>228</v>
      </c>
      <c r="AK1010" t="s">
        <v>229</v>
      </c>
      <c r="AL1010" t="s">
        <v>113</v>
      </c>
      <c r="AP1010" t="s">
        <v>230</v>
      </c>
      <c r="AQ1010" t="s">
        <v>231</v>
      </c>
      <c r="AT1010" t="s">
        <v>232</v>
      </c>
      <c r="AU1010">
        <v>-99</v>
      </c>
      <c r="AV1010" t="s">
        <v>115</v>
      </c>
      <c r="AW1010">
        <v>-300</v>
      </c>
      <c r="AX1010">
        <v>42143306</v>
      </c>
      <c r="AY1010" s="73">
        <v>45359.256956018522</v>
      </c>
      <c r="AZ1010" t="s">
        <v>226</v>
      </c>
      <c r="BA1010" t="s">
        <v>506</v>
      </c>
      <c r="BB1010" t="s">
        <v>228</v>
      </c>
      <c r="BC1010" t="s">
        <v>229</v>
      </c>
      <c r="BD1010" t="s">
        <v>113</v>
      </c>
      <c r="BI1010" t="s">
        <v>233</v>
      </c>
      <c r="BJ1010" t="s">
        <v>0</v>
      </c>
      <c r="BK1010">
        <v>42143291</v>
      </c>
      <c r="BN1010" t="s">
        <v>115</v>
      </c>
      <c r="BR1010">
        <v>-300</v>
      </c>
      <c r="BS1010">
        <v>42143306</v>
      </c>
      <c r="BT1010" s="73">
        <v>45359.256956018522</v>
      </c>
      <c r="BU1010" t="s">
        <v>226</v>
      </c>
      <c r="BV1010" t="s">
        <v>506</v>
      </c>
      <c r="BW1010" t="s">
        <v>228</v>
      </c>
      <c r="CH1010" t="s">
        <v>229</v>
      </c>
      <c r="CI1010" t="s">
        <v>113</v>
      </c>
      <c r="CJ1010" t="s">
        <v>226</v>
      </c>
      <c r="CK1010" t="s">
        <v>506</v>
      </c>
      <c r="CL1010" t="s">
        <v>228</v>
      </c>
      <c r="CM1010" t="s">
        <v>234</v>
      </c>
      <c r="CN1010" t="s">
        <v>115</v>
      </c>
      <c r="CO1010">
        <v>-300</v>
      </c>
      <c r="CP1010">
        <v>42143306</v>
      </c>
      <c r="CQ1010" s="73">
        <v>45359.256956018522</v>
      </c>
      <c r="CR1010" t="s">
        <v>229</v>
      </c>
      <c r="CS1010" t="s">
        <v>113</v>
      </c>
      <c r="CU1010" t="s">
        <v>225</v>
      </c>
    </row>
    <row r="1011" spans="1:99">
      <c r="A1011" t="s">
        <v>129</v>
      </c>
      <c r="B1011" t="s">
        <v>90</v>
      </c>
      <c r="J1011" t="s">
        <v>225</v>
      </c>
      <c r="K1011" t="s">
        <v>225</v>
      </c>
      <c r="M1011" s="73">
        <v>45359.256956018522</v>
      </c>
      <c r="N1011">
        <v>42143305</v>
      </c>
      <c r="O1011">
        <v>-5.7</v>
      </c>
      <c r="P1011" t="s">
        <v>73</v>
      </c>
      <c r="Q1011">
        <v>-5.7</v>
      </c>
      <c r="R1011" t="s">
        <v>73</v>
      </c>
      <c r="U1011" t="s">
        <v>226</v>
      </c>
      <c r="V1011" t="s">
        <v>506</v>
      </c>
      <c r="W1011" t="s">
        <v>228</v>
      </c>
      <c r="X1011" t="s">
        <v>229</v>
      </c>
      <c r="Y1011" t="s">
        <v>129</v>
      </c>
      <c r="AD1011" t="s">
        <v>73</v>
      </c>
      <c r="AE1011">
        <v>-5.7</v>
      </c>
      <c r="AF1011">
        <v>42143305</v>
      </c>
      <c r="AG1011" s="73">
        <v>45359.256956018522</v>
      </c>
      <c r="AH1011" t="s">
        <v>226</v>
      </c>
      <c r="AI1011" t="s">
        <v>506</v>
      </c>
      <c r="AJ1011" t="s">
        <v>228</v>
      </c>
      <c r="AK1011" t="s">
        <v>229</v>
      </c>
      <c r="AL1011" t="s">
        <v>129</v>
      </c>
      <c r="AP1011" t="s">
        <v>230</v>
      </c>
      <c r="AQ1011" t="s">
        <v>231</v>
      </c>
      <c r="AT1011" t="s">
        <v>232</v>
      </c>
      <c r="AU1011">
        <v>-99</v>
      </c>
      <c r="AV1011" t="s">
        <v>73</v>
      </c>
      <c r="AW1011">
        <v>-5.7</v>
      </c>
      <c r="AX1011">
        <v>42143305</v>
      </c>
      <c r="AY1011" s="73">
        <v>45359.256956018522</v>
      </c>
      <c r="AZ1011" t="s">
        <v>226</v>
      </c>
      <c r="BA1011" t="s">
        <v>506</v>
      </c>
      <c r="BB1011" t="s">
        <v>228</v>
      </c>
      <c r="BC1011" t="s">
        <v>229</v>
      </c>
      <c r="BD1011" t="s">
        <v>129</v>
      </c>
      <c r="BI1011" t="s">
        <v>233</v>
      </c>
      <c r="BJ1011" t="s">
        <v>0</v>
      </c>
      <c r="BK1011">
        <v>42143291</v>
      </c>
      <c r="BN1011" t="s">
        <v>73</v>
      </c>
      <c r="BR1011">
        <v>-5.7</v>
      </c>
      <c r="BS1011">
        <v>42143305</v>
      </c>
      <c r="BT1011" s="73">
        <v>45359.256956018522</v>
      </c>
      <c r="BU1011" t="s">
        <v>226</v>
      </c>
      <c r="BV1011" t="s">
        <v>506</v>
      </c>
      <c r="BW1011" t="s">
        <v>228</v>
      </c>
      <c r="CH1011" t="s">
        <v>229</v>
      </c>
      <c r="CI1011" t="s">
        <v>129</v>
      </c>
      <c r="CJ1011" t="s">
        <v>226</v>
      </c>
      <c r="CK1011" t="s">
        <v>506</v>
      </c>
      <c r="CL1011" t="s">
        <v>228</v>
      </c>
      <c r="CM1011" t="s">
        <v>234</v>
      </c>
      <c r="CN1011" t="s">
        <v>73</v>
      </c>
      <c r="CO1011">
        <v>-5.7</v>
      </c>
      <c r="CP1011">
        <v>42143305</v>
      </c>
      <c r="CQ1011" s="73">
        <v>45359.256956018522</v>
      </c>
      <c r="CR1011" t="s">
        <v>229</v>
      </c>
      <c r="CS1011" t="s">
        <v>129</v>
      </c>
      <c r="CU1011" t="s">
        <v>225</v>
      </c>
    </row>
    <row r="1012" spans="1:99">
      <c r="A1012" t="s">
        <v>113</v>
      </c>
      <c r="B1012" t="s">
        <v>90</v>
      </c>
      <c r="J1012" t="s">
        <v>225</v>
      </c>
      <c r="K1012" t="s">
        <v>225</v>
      </c>
      <c r="M1012" s="73">
        <v>45358.923622685186</v>
      </c>
      <c r="N1012">
        <v>42135632</v>
      </c>
      <c r="O1012">
        <v>-300</v>
      </c>
      <c r="P1012" t="s">
        <v>115</v>
      </c>
      <c r="Q1012">
        <v>-300</v>
      </c>
      <c r="R1012" t="s">
        <v>115</v>
      </c>
      <c r="U1012" t="s">
        <v>226</v>
      </c>
      <c r="V1012" t="s">
        <v>519</v>
      </c>
      <c r="W1012" t="s">
        <v>228</v>
      </c>
      <c r="X1012" t="s">
        <v>229</v>
      </c>
      <c r="Y1012" t="s">
        <v>113</v>
      </c>
      <c r="AD1012" t="s">
        <v>115</v>
      </c>
      <c r="AE1012">
        <v>-300</v>
      </c>
      <c r="AF1012">
        <v>42135632</v>
      </c>
      <c r="AG1012" s="73">
        <v>45358.923622685186</v>
      </c>
      <c r="AH1012" t="s">
        <v>226</v>
      </c>
      <c r="AI1012" t="s">
        <v>519</v>
      </c>
      <c r="AJ1012" t="s">
        <v>228</v>
      </c>
      <c r="AK1012" t="s">
        <v>229</v>
      </c>
      <c r="AL1012" t="s">
        <v>113</v>
      </c>
      <c r="AP1012" t="s">
        <v>230</v>
      </c>
      <c r="AQ1012" t="s">
        <v>231</v>
      </c>
      <c r="AT1012" t="s">
        <v>232</v>
      </c>
      <c r="AU1012">
        <v>-99</v>
      </c>
      <c r="AV1012" t="s">
        <v>115</v>
      </c>
      <c r="AW1012">
        <v>-300</v>
      </c>
      <c r="AX1012">
        <v>42135632</v>
      </c>
      <c r="AY1012" s="73">
        <v>45358.923622685186</v>
      </c>
      <c r="AZ1012" t="s">
        <v>226</v>
      </c>
      <c r="BA1012" t="s">
        <v>519</v>
      </c>
      <c r="BB1012" t="s">
        <v>228</v>
      </c>
      <c r="BC1012" t="s">
        <v>229</v>
      </c>
      <c r="BD1012" t="s">
        <v>113</v>
      </c>
      <c r="BI1012" t="s">
        <v>233</v>
      </c>
      <c r="BJ1012" t="s">
        <v>0</v>
      </c>
      <c r="BK1012">
        <v>42135616</v>
      </c>
      <c r="BN1012" t="s">
        <v>115</v>
      </c>
      <c r="BR1012">
        <v>-300</v>
      </c>
      <c r="BS1012">
        <v>42135632</v>
      </c>
      <c r="BT1012" s="73">
        <v>45358.923622685186</v>
      </c>
      <c r="BU1012" t="s">
        <v>226</v>
      </c>
      <c r="BV1012" t="s">
        <v>519</v>
      </c>
      <c r="BW1012" t="s">
        <v>228</v>
      </c>
      <c r="CH1012" t="s">
        <v>229</v>
      </c>
      <c r="CI1012" t="s">
        <v>113</v>
      </c>
      <c r="CJ1012" t="s">
        <v>226</v>
      </c>
      <c r="CK1012" t="s">
        <v>519</v>
      </c>
      <c r="CL1012" t="s">
        <v>228</v>
      </c>
      <c r="CM1012" t="s">
        <v>234</v>
      </c>
      <c r="CN1012" t="s">
        <v>115</v>
      </c>
      <c r="CO1012">
        <v>-300</v>
      </c>
      <c r="CP1012">
        <v>42135632</v>
      </c>
      <c r="CQ1012" s="73">
        <v>45358.923622685186</v>
      </c>
      <c r="CR1012" t="s">
        <v>229</v>
      </c>
      <c r="CS1012" t="s">
        <v>113</v>
      </c>
      <c r="CU1012" t="s">
        <v>225</v>
      </c>
    </row>
    <row r="1013" spans="1:99">
      <c r="A1013" t="s">
        <v>129</v>
      </c>
      <c r="B1013" t="s">
        <v>90</v>
      </c>
      <c r="J1013" t="s">
        <v>225</v>
      </c>
      <c r="K1013" t="s">
        <v>225</v>
      </c>
      <c r="M1013" s="73">
        <v>45358.923622685186</v>
      </c>
      <c r="N1013">
        <v>42135631</v>
      </c>
      <c r="O1013">
        <v>-6</v>
      </c>
      <c r="P1013" t="s">
        <v>73</v>
      </c>
      <c r="Q1013">
        <v>-6</v>
      </c>
      <c r="R1013" t="s">
        <v>73</v>
      </c>
      <c r="U1013" t="s">
        <v>226</v>
      </c>
      <c r="V1013" t="s">
        <v>519</v>
      </c>
      <c r="W1013" t="s">
        <v>228</v>
      </c>
      <c r="X1013" t="s">
        <v>229</v>
      </c>
      <c r="Y1013" t="s">
        <v>129</v>
      </c>
      <c r="AD1013" t="s">
        <v>73</v>
      </c>
      <c r="AE1013">
        <v>-6</v>
      </c>
      <c r="AF1013">
        <v>42135631</v>
      </c>
      <c r="AG1013" s="73">
        <v>45358.923622685186</v>
      </c>
      <c r="AH1013" t="s">
        <v>226</v>
      </c>
      <c r="AI1013" t="s">
        <v>519</v>
      </c>
      <c r="AJ1013" t="s">
        <v>228</v>
      </c>
      <c r="AK1013" t="s">
        <v>229</v>
      </c>
      <c r="AL1013" t="s">
        <v>129</v>
      </c>
      <c r="AP1013" t="s">
        <v>230</v>
      </c>
      <c r="AQ1013" t="s">
        <v>231</v>
      </c>
      <c r="AT1013" t="s">
        <v>232</v>
      </c>
      <c r="AU1013">
        <v>-99</v>
      </c>
      <c r="AV1013" t="s">
        <v>73</v>
      </c>
      <c r="AW1013">
        <v>-6</v>
      </c>
      <c r="AX1013">
        <v>42135631</v>
      </c>
      <c r="AY1013" s="73">
        <v>45358.923622685186</v>
      </c>
      <c r="AZ1013" t="s">
        <v>226</v>
      </c>
      <c r="BA1013" t="s">
        <v>519</v>
      </c>
      <c r="BB1013" t="s">
        <v>228</v>
      </c>
      <c r="BC1013" t="s">
        <v>229</v>
      </c>
      <c r="BD1013" t="s">
        <v>129</v>
      </c>
      <c r="BI1013" t="s">
        <v>233</v>
      </c>
      <c r="BJ1013" t="s">
        <v>0</v>
      </c>
      <c r="BK1013">
        <v>42135616</v>
      </c>
      <c r="BN1013" t="s">
        <v>73</v>
      </c>
      <c r="BR1013">
        <v>-6</v>
      </c>
      <c r="BS1013">
        <v>42135631</v>
      </c>
      <c r="BT1013" s="73">
        <v>45358.923622685186</v>
      </c>
      <c r="BU1013" t="s">
        <v>226</v>
      </c>
      <c r="BV1013" t="s">
        <v>519</v>
      </c>
      <c r="BW1013" t="s">
        <v>228</v>
      </c>
      <c r="CH1013" t="s">
        <v>229</v>
      </c>
      <c r="CI1013" t="s">
        <v>129</v>
      </c>
      <c r="CJ1013" t="s">
        <v>226</v>
      </c>
      <c r="CK1013" t="s">
        <v>519</v>
      </c>
      <c r="CL1013" t="s">
        <v>228</v>
      </c>
      <c r="CM1013" t="s">
        <v>234</v>
      </c>
      <c r="CN1013" t="s">
        <v>73</v>
      </c>
      <c r="CO1013">
        <v>-6</v>
      </c>
      <c r="CP1013">
        <v>42135631</v>
      </c>
      <c r="CQ1013" s="73">
        <v>45358.923622685186</v>
      </c>
      <c r="CR1013" t="s">
        <v>229</v>
      </c>
      <c r="CS1013" t="s">
        <v>129</v>
      </c>
      <c r="CU1013" t="s">
        <v>225</v>
      </c>
    </row>
    <row r="1014" spans="1:99">
      <c r="A1014" t="s">
        <v>99</v>
      </c>
      <c r="B1014" t="s">
        <v>98</v>
      </c>
      <c r="J1014" t="s">
        <v>225</v>
      </c>
      <c r="K1014" t="s">
        <v>225</v>
      </c>
      <c r="M1014" s="73">
        <v>45358.923622685186</v>
      </c>
      <c r="N1014">
        <v>42135607</v>
      </c>
      <c r="O1014">
        <v>1416.02</v>
      </c>
      <c r="P1014" t="s">
        <v>73</v>
      </c>
      <c r="Q1014">
        <v>1416.02</v>
      </c>
      <c r="R1014" t="s">
        <v>73</v>
      </c>
      <c r="U1014" t="s">
        <v>226</v>
      </c>
      <c r="V1014" t="s">
        <v>519</v>
      </c>
      <c r="W1014" t="s">
        <v>235</v>
      </c>
      <c r="X1014" t="s">
        <v>229</v>
      </c>
      <c r="Y1014" t="s">
        <v>99</v>
      </c>
      <c r="AD1014" t="s">
        <v>73</v>
      </c>
      <c r="AE1014">
        <v>1416.02</v>
      </c>
      <c r="AF1014">
        <v>42135607</v>
      </c>
      <c r="AG1014" s="73">
        <v>45358.923622685186</v>
      </c>
      <c r="AH1014" t="s">
        <v>226</v>
      </c>
      <c r="AI1014" t="s">
        <v>519</v>
      </c>
      <c r="AJ1014" t="s">
        <v>235</v>
      </c>
      <c r="AK1014" t="s">
        <v>229</v>
      </c>
      <c r="AL1014" t="s">
        <v>99</v>
      </c>
      <c r="AP1014" t="s">
        <v>230</v>
      </c>
      <c r="AQ1014" t="s">
        <v>231</v>
      </c>
      <c r="AT1014" t="s">
        <v>232</v>
      </c>
      <c r="AU1014">
        <v>-99</v>
      </c>
      <c r="AV1014" t="s">
        <v>73</v>
      </c>
      <c r="AW1014">
        <v>1416.02</v>
      </c>
      <c r="AX1014">
        <v>42135607</v>
      </c>
      <c r="AY1014" s="73">
        <v>45358.923622685186</v>
      </c>
      <c r="AZ1014" t="s">
        <v>226</v>
      </c>
      <c r="BA1014" t="s">
        <v>519</v>
      </c>
      <c r="BB1014" t="s">
        <v>235</v>
      </c>
      <c r="BC1014" t="s">
        <v>229</v>
      </c>
      <c r="BD1014" t="s">
        <v>99</v>
      </c>
      <c r="BI1014" t="s">
        <v>233</v>
      </c>
      <c r="BJ1014" t="s">
        <v>0</v>
      </c>
      <c r="BK1014">
        <v>42135603</v>
      </c>
      <c r="BN1014" t="s">
        <v>73</v>
      </c>
      <c r="BO1014">
        <v>42135605</v>
      </c>
      <c r="BR1014">
        <v>1416.02</v>
      </c>
      <c r="BS1014">
        <v>42135607</v>
      </c>
      <c r="BT1014" s="73">
        <v>45358.923622685186</v>
      </c>
      <c r="BU1014" t="s">
        <v>226</v>
      </c>
      <c r="BV1014" t="s">
        <v>519</v>
      </c>
      <c r="BW1014" t="s">
        <v>235</v>
      </c>
      <c r="CH1014" t="s">
        <v>229</v>
      </c>
      <c r="CI1014" t="s">
        <v>99</v>
      </c>
      <c r="CJ1014" t="s">
        <v>226</v>
      </c>
      <c r="CK1014" t="s">
        <v>519</v>
      </c>
      <c r="CL1014" t="s">
        <v>235</v>
      </c>
      <c r="CM1014" t="s">
        <v>236</v>
      </c>
      <c r="CN1014" t="s">
        <v>73</v>
      </c>
      <c r="CO1014">
        <v>1416.02</v>
      </c>
      <c r="CP1014">
        <v>42135607</v>
      </c>
      <c r="CQ1014" s="73">
        <v>45358.923622685186</v>
      </c>
      <c r="CR1014" t="s">
        <v>229</v>
      </c>
      <c r="CS1014" t="s">
        <v>99</v>
      </c>
      <c r="CU1014" t="s">
        <v>225</v>
      </c>
    </row>
    <row r="1015" spans="1:99">
      <c r="A1015" t="s">
        <v>71</v>
      </c>
      <c r="B1015" t="s">
        <v>77</v>
      </c>
      <c r="J1015" t="s">
        <v>225</v>
      </c>
      <c r="K1015" t="s">
        <v>225</v>
      </c>
      <c r="M1015" s="73">
        <v>45358.923622685186</v>
      </c>
      <c r="N1015">
        <v>42135600</v>
      </c>
      <c r="O1015">
        <v>1.28</v>
      </c>
      <c r="P1015" t="s">
        <v>73</v>
      </c>
      <c r="Q1015">
        <v>1.28</v>
      </c>
      <c r="R1015" t="s">
        <v>73</v>
      </c>
      <c r="U1015" t="s">
        <v>226</v>
      </c>
      <c r="V1015" t="s">
        <v>519</v>
      </c>
      <c r="W1015" t="s">
        <v>237</v>
      </c>
      <c r="X1015" t="s">
        <v>229</v>
      </c>
      <c r="Y1015" t="s">
        <v>71</v>
      </c>
      <c r="AD1015" t="s">
        <v>73</v>
      </c>
      <c r="AE1015">
        <v>1.28</v>
      </c>
      <c r="AF1015">
        <v>42135600</v>
      </c>
      <c r="AG1015" s="73">
        <v>45358.923622685186</v>
      </c>
      <c r="AH1015" t="s">
        <v>226</v>
      </c>
      <c r="AI1015" t="s">
        <v>519</v>
      </c>
      <c r="AJ1015" t="s">
        <v>237</v>
      </c>
      <c r="AK1015" t="s">
        <v>229</v>
      </c>
      <c r="AL1015" t="s">
        <v>71</v>
      </c>
      <c r="AP1015" t="s">
        <v>230</v>
      </c>
      <c r="AQ1015" t="s">
        <v>231</v>
      </c>
      <c r="AT1015" t="s">
        <v>232</v>
      </c>
      <c r="AU1015">
        <v>-99</v>
      </c>
      <c r="AV1015" t="s">
        <v>73</v>
      </c>
      <c r="AW1015">
        <v>1.28</v>
      </c>
      <c r="AX1015">
        <v>42135600</v>
      </c>
      <c r="AY1015" s="73">
        <v>45358.923622685186</v>
      </c>
      <c r="AZ1015" t="s">
        <v>226</v>
      </c>
      <c r="BA1015" t="s">
        <v>519</v>
      </c>
      <c r="BB1015" t="s">
        <v>237</v>
      </c>
      <c r="BC1015" t="s">
        <v>229</v>
      </c>
      <c r="BD1015" t="s">
        <v>71</v>
      </c>
      <c r="BI1015" t="s">
        <v>233</v>
      </c>
      <c r="BJ1015" t="s">
        <v>0</v>
      </c>
      <c r="BK1015">
        <v>42135596</v>
      </c>
      <c r="BN1015" t="s">
        <v>73</v>
      </c>
      <c r="BO1015">
        <v>42135598</v>
      </c>
      <c r="BR1015">
        <v>1.28</v>
      </c>
      <c r="BS1015">
        <v>42135600</v>
      </c>
      <c r="BT1015" s="73">
        <v>45358.923622685186</v>
      </c>
      <c r="BU1015" t="s">
        <v>226</v>
      </c>
      <c r="BV1015" t="s">
        <v>519</v>
      </c>
      <c r="BW1015" t="s">
        <v>237</v>
      </c>
      <c r="CH1015" t="s">
        <v>229</v>
      </c>
      <c r="CI1015" t="s">
        <v>71</v>
      </c>
      <c r="CJ1015" t="s">
        <v>226</v>
      </c>
      <c r="CK1015" t="s">
        <v>519</v>
      </c>
      <c r="CL1015" t="s">
        <v>237</v>
      </c>
      <c r="CM1015" t="s">
        <v>236</v>
      </c>
      <c r="CN1015" t="s">
        <v>73</v>
      </c>
      <c r="CO1015">
        <v>1.28</v>
      </c>
      <c r="CP1015">
        <v>42135600</v>
      </c>
      <c r="CQ1015" s="73">
        <v>45358.923622685186</v>
      </c>
      <c r="CR1015" t="s">
        <v>229</v>
      </c>
      <c r="CS1015" t="s">
        <v>71</v>
      </c>
      <c r="CU1015" t="s">
        <v>225</v>
      </c>
    </row>
    <row r="1016" spans="1:99">
      <c r="A1016" t="s">
        <v>87</v>
      </c>
      <c r="B1016" t="s">
        <v>90</v>
      </c>
      <c r="J1016" t="s">
        <v>225</v>
      </c>
      <c r="K1016" t="s">
        <v>225</v>
      </c>
      <c r="M1016" s="73">
        <v>45358.923622685186</v>
      </c>
      <c r="N1016">
        <v>42135593</v>
      </c>
      <c r="O1016">
        <v>-58.5</v>
      </c>
      <c r="P1016" t="s">
        <v>73</v>
      </c>
      <c r="Q1016">
        <v>-58.5</v>
      </c>
      <c r="R1016" t="s">
        <v>73</v>
      </c>
      <c r="U1016" t="s">
        <v>226</v>
      </c>
      <c r="V1016" t="s">
        <v>519</v>
      </c>
      <c r="W1016" t="s">
        <v>228</v>
      </c>
      <c r="X1016" t="s">
        <v>229</v>
      </c>
      <c r="Y1016" t="s">
        <v>87</v>
      </c>
      <c r="AD1016" t="s">
        <v>73</v>
      </c>
      <c r="AE1016">
        <v>-58.5</v>
      </c>
      <c r="AF1016">
        <v>42135593</v>
      </c>
      <c r="AG1016" s="73">
        <v>45358.923622685186</v>
      </c>
      <c r="AH1016" t="s">
        <v>226</v>
      </c>
      <c r="AI1016" t="s">
        <v>519</v>
      </c>
      <c r="AJ1016" t="s">
        <v>228</v>
      </c>
      <c r="AK1016" t="s">
        <v>229</v>
      </c>
      <c r="AL1016" t="s">
        <v>87</v>
      </c>
      <c r="AP1016" t="s">
        <v>230</v>
      </c>
      <c r="AQ1016" t="s">
        <v>231</v>
      </c>
      <c r="AT1016" t="s">
        <v>232</v>
      </c>
      <c r="AU1016">
        <v>-99</v>
      </c>
      <c r="AV1016" t="s">
        <v>73</v>
      </c>
      <c r="AW1016">
        <v>-58.5</v>
      </c>
      <c r="AX1016">
        <v>42135593</v>
      </c>
      <c r="AY1016" s="73">
        <v>45358.923622685186</v>
      </c>
      <c r="AZ1016" t="s">
        <v>226</v>
      </c>
      <c r="BA1016" t="s">
        <v>519</v>
      </c>
      <c r="BB1016" t="s">
        <v>228</v>
      </c>
      <c r="BC1016" t="s">
        <v>229</v>
      </c>
      <c r="BD1016" t="s">
        <v>87</v>
      </c>
      <c r="BI1016" t="s">
        <v>233</v>
      </c>
      <c r="BJ1016" t="s">
        <v>0</v>
      </c>
      <c r="BK1016">
        <v>42135589</v>
      </c>
      <c r="BN1016" t="s">
        <v>73</v>
      </c>
      <c r="BR1016">
        <v>-58.5</v>
      </c>
      <c r="BS1016">
        <v>42135593</v>
      </c>
      <c r="BT1016" s="73">
        <v>45358.923622685186</v>
      </c>
      <c r="BU1016" t="s">
        <v>226</v>
      </c>
      <c r="BV1016" t="s">
        <v>519</v>
      </c>
      <c r="BW1016" t="s">
        <v>228</v>
      </c>
      <c r="CH1016" t="s">
        <v>229</v>
      </c>
      <c r="CI1016" t="s">
        <v>87</v>
      </c>
      <c r="CJ1016" t="s">
        <v>226</v>
      </c>
      <c r="CK1016" t="s">
        <v>519</v>
      </c>
      <c r="CL1016" t="s">
        <v>228</v>
      </c>
      <c r="CM1016" t="s">
        <v>234</v>
      </c>
      <c r="CN1016" t="s">
        <v>73</v>
      </c>
      <c r="CO1016">
        <v>-58.5</v>
      </c>
      <c r="CP1016">
        <v>42135593</v>
      </c>
      <c r="CQ1016" s="73">
        <v>45358.923622685186</v>
      </c>
      <c r="CR1016" t="s">
        <v>229</v>
      </c>
      <c r="CS1016" t="s">
        <v>87</v>
      </c>
      <c r="CU1016" t="s">
        <v>225</v>
      </c>
    </row>
    <row r="1017" spans="1:99">
      <c r="A1017" t="s">
        <v>127</v>
      </c>
      <c r="B1017" t="s">
        <v>90</v>
      </c>
      <c r="J1017" t="s">
        <v>225</v>
      </c>
      <c r="K1017" t="s">
        <v>225</v>
      </c>
      <c r="M1017" s="73">
        <v>45358.923622685186</v>
      </c>
      <c r="N1017">
        <v>42135586</v>
      </c>
      <c r="O1017">
        <v>-657.8</v>
      </c>
      <c r="P1017" t="s">
        <v>73</v>
      </c>
      <c r="Q1017">
        <v>-657.8</v>
      </c>
      <c r="R1017" t="s">
        <v>73</v>
      </c>
      <c r="U1017" t="s">
        <v>226</v>
      </c>
      <c r="V1017" t="s">
        <v>519</v>
      </c>
      <c r="W1017" t="s">
        <v>228</v>
      </c>
      <c r="X1017" t="s">
        <v>229</v>
      </c>
      <c r="Y1017" t="s">
        <v>127</v>
      </c>
      <c r="AD1017" t="s">
        <v>73</v>
      </c>
      <c r="AE1017">
        <v>-657.8</v>
      </c>
      <c r="AF1017">
        <v>42135586</v>
      </c>
      <c r="AG1017" s="73">
        <v>45358.923622685186</v>
      </c>
      <c r="AH1017" t="s">
        <v>226</v>
      </c>
      <c r="AI1017" t="s">
        <v>519</v>
      </c>
      <c r="AJ1017" t="s">
        <v>228</v>
      </c>
      <c r="AK1017" t="s">
        <v>229</v>
      </c>
      <c r="AL1017" t="s">
        <v>127</v>
      </c>
      <c r="AP1017" t="s">
        <v>230</v>
      </c>
      <c r="AQ1017" t="s">
        <v>231</v>
      </c>
      <c r="AT1017" t="s">
        <v>232</v>
      </c>
      <c r="AU1017">
        <v>-99</v>
      </c>
      <c r="AV1017" t="s">
        <v>73</v>
      </c>
      <c r="AW1017">
        <v>-657.8</v>
      </c>
      <c r="AX1017">
        <v>42135586</v>
      </c>
      <c r="AY1017" s="73">
        <v>45358.923622685186</v>
      </c>
      <c r="AZ1017" t="s">
        <v>226</v>
      </c>
      <c r="BA1017" t="s">
        <v>519</v>
      </c>
      <c r="BB1017" t="s">
        <v>228</v>
      </c>
      <c r="BC1017" t="s">
        <v>229</v>
      </c>
      <c r="BD1017" t="s">
        <v>127</v>
      </c>
      <c r="BI1017" t="s">
        <v>233</v>
      </c>
      <c r="BJ1017" t="s">
        <v>0</v>
      </c>
      <c r="BK1017">
        <v>42135582</v>
      </c>
      <c r="BN1017" t="s">
        <v>73</v>
      </c>
      <c r="BR1017">
        <v>-657.8</v>
      </c>
      <c r="BS1017">
        <v>42135586</v>
      </c>
      <c r="BT1017" s="73">
        <v>45358.923622685186</v>
      </c>
      <c r="BU1017" t="s">
        <v>226</v>
      </c>
      <c r="BV1017" t="s">
        <v>519</v>
      </c>
      <c r="BW1017" t="s">
        <v>228</v>
      </c>
      <c r="CH1017" t="s">
        <v>229</v>
      </c>
      <c r="CI1017" t="s">
        <v>127</v>
      </c>
      <c r="CJ1017" t="s">
        <v>226</v>
      </c>
      <c r="CK1017" t="s">
        <v>519</v>
      </c>
      <c r="CL1017" t="s">
        <v>228</v>
      </c>
      <c r="CM1017" t="s">
        <v>234</v>
      </c>
      <c r="CN1017" t="s">
        <v>73</v>
      </c>
      <c r="CO1017">
        <v>-657.8</v>
      </c>
      <c r="CP1017">
        <v>42135586</v>
      </c>
      <c r="CQ1017" s="73">
        <v>45358.923622685186</v>
      </c>
      <c r="CR1017" t="s">
        <v>229</v>
      </c>
      <c r="CS1017" t="s">
        <v>127</v>
      </c>
      <c r="CU1017" t="s">
        <v>225</v>
      </c>
    </row>
    <row r="1018" spans="1:99">
      <c r="A1018" t="s">
        <v>131</v>
      </c>
      <c r="B1018" t="s">
        <v>90</v>
      </c>
      <c r="J1018" t="s">
        <v>225</v>
      </c>
      <c r="K1018" t="s">
        <v>225</v>
      </c>
      <c r="M1018" s="73">
        <v>45358.923622685186</v>
      </c>
      <c r="N1018">
        <v>42135579</v>
      </c>
      <c r="O1018">
        <v>-160.69999999999999</v>
      </c>
      <c r="P1018" t="s">
        <v>73</v>
      </c>
      <c r="Q1018">
        <v>-160.69999999999999</v>
      </c>
      <c r="R1018" t="s">
        <v>73</v>
      </c>
      <c r="U1018" t="s">
        <v>226</v>
      </c>
      <c r="V1018" t="s">
        <v>519</v>
      </c>
      <c r="W1018" t="s">
        <v>228</v>
      </c>
      <c r="X1018" t="s">
        <v>229</v>
      </c>
      <c r="Y1018" t="s">
        <v>131</v>
      </c>
      <c r="AD1018" t="s">
        <v>73</v>
      </c>
      <c r="AE1018">
        <v>-160.69999999999999</v>
      </c>
      <c r="AF1018">
        <v>42135579</v>
      </c>
      <c r="AG1018" s="73">
        <v>45358.923622685186</v>
      </c>
      <c r="AH1018" t="s">
        <v>226</v>
      </c>
      <c r="AI1018" t="s">
        <v>519</v>
      </c>
      <c r="AJ1018" t="s">
        <v>228</v>
      </c>
      <c r="AK1018" t="s">
        <v>229</v>
      </c>
      <c r="AL1018" t="s">
        <v>131</v>
      </c>
      <c r="AP1018" t="s">
        <v>230</v>
      </c>
      <c r="AQ1018" t="s">
        <v>231</v>
      </c>
      <c r="AT1018" t="s">
        <v>232</v>
      </c>
      <c r="AU1018">
        <v>-99</v>
      </c>
      <c r="AV1018" t="s">
        <v>73</v>
      </c>
      <c r="AW1018">
        <v>-160.69999999999999</v>
      </c>
      <c r="AX1018">
        <v>42135579</v>
      </c>
      <c r="AY1018" s="73">
        <v>45358.923622685186</v>
      </c>
      <c r="AZ1018" t="s">
        <v>226</v>
      </c>
      <c r="BA1018" t="s">
        <v>519</v>
      </c>
      <c r="BB1018" t="s">
        <v>228</v>
      </c>
      <c r="BC1018" t="s">
        <v>229</v>
      </c>
      <c r="BD1018" t="s">
        <v>131</v>
      </c>
      <c r="BI1018" t="s">
        <v>233</v>
      </c>
      <c r="BJ1018" t="s">
        <v>0</v>
      </c>
      <c r="BK1018">
        <v>42135575</v>
      </c>
      <c r="BN1018" t="s">
        <v>73</v>
      </c>
      <c r="BR1018">
        <v>-160.69999999999999</v>
      </c>
      <c r="BS1018">
        <v>42135579</v>
      </c>
      <c r="BT1018" s="73">
        <v>45358.923622685186</v>
      </c>
      <c r="BU1018" t="s">
        <v>226</v>
      </c>
      <c r="BV1018" t="s">
        <v>519</v>
      </c>
      <c r="BW1018" t="s">
        <v>228</v>
      </c>
      <c r="CH1018" t="s">
        <v>229</v>
      </c>
      <c r="CI1018" t="s">
        <v>131</v>
      </c>
      <c r="CJ1018" t="s">
        <v>226</v>
      </c>
      <c r="CK1018" t="s">
        <v>519</v>
      </c>
      <c r="CL1018" t="s">
        <v>228</v>
      </c>
      <c r="CM1018" t="s">
        <v>234</v>
      </c>
      <c r="CN1018" t="s">
        <v>73</v>
      </c>
      <c r="CO1018">
        <v>-160.69999999999999</v>
      </c>
      <c r="CP1018">
        <v>42135579</v>
      </c>
      <c r="CQ1018" s="73">
        <v>45358.923622685186</v>
      </c>
      <c r="CR1018" t="s">
        <v>229</v>
      </c>
      <c r="CS1018" t="s">
        <v>131</v>
      </c>
      <c r="CU1018" t="s">
        <v>225</v>
      </c>
    </row>
    <row r="1019" spans="1:99">
      <c r="A1019" t="s">
        <v>133</v>
      </c>
      <c r="B1019" t="s">
        <v>90</v>
      </c>
      <c r="J1019" t="s">
        <v>225</v>
      </c>
      <c r="K1019" t="s">
        <v>225</v>
      </c>
      <c r="M1019" s="73">
        <v>45358.923622685186</v>
      </c>
      <c r="N1019">
        <v>42135572</v>
      </c>
      <c r="O1019">
        <v>-584.5</v>
      </c>
      <c r="P1019" t="s">
        <v>73</v>
      </c>
      <c r="Q1019">
        <v>-584.5</v>
      </c>
      <c r="R1019" t="s">
        <v>73</v>
      </c>
      <c r="U1019" t="s">
        <v>226</v>
      </c>
      <c r="V1019" t="s">
        <v>519</v>
      </c>
      <c r="W1019" t="s">
        <v>228</v>
      </c>
      <c r="X1019" t="s">
        <v>229</v>
      </c>
      <c r="Y1019" t="s">
        <v>133</v>
      </c>
      <c r="AD1019" t="s">
        <v>73</v>
      </c>
      <c r="AE1019">
        <v>-584.5</v>
      </c>
      <c r="AF1019">
        <v>42135572</v>
      </c>
      <c r="AG1019" s="73">
        <v>45358.923622685186</v>
      </c>
      <c r="AH1019" t="s">
        <v>226</v>
      </c>
      <c r="AI1019" t="s">
        <v>519</v>
      </c>
      <c r="AJ1019" t="s">
        <v>228</v>
      </c>
      <c r="AK1019" t="s">
        <v>229</v>
      </c>
      <c r="AL1019" t="s">
        <v>133</v>
      </c>
      <c r="AP1019" t="s">
        <v>230</v>
      </c>
      <c r="AQ1019" t="s">
        <v>231</v>
      </c>
      <c r="AT1019" t="s">
        <v>232</v>
      </c>
      <c r="AU1019">
        <v>-99</v>
      </c>
      <c r="AV1019" t="s">
        <v>73</v>
      </c>
      <c r="AW1019">
        <v>-584.5</v>
      </c>
      <c r="AX1019">
        <v>42135572</v>
      </c>
      <c r="AY1019" s="73">
        <v>45358.923622685186</v>
      </c>
      <c r="AZ1019" t="s">
        <v>226</v>
      </c>
      <c r="BA1019" t="s">
        <v>519</v>
      </c>
      <c r="BB1019" t="s">
        <v>228</v>
      </c>
      <c r="BC1019" t="s">
        <v>229</v>
      </c>
      <c r="BD1019" t="s">
        <v>133</v>
      </c>
      <c r="BI1019" t="s">
        <v>233</v>
      </c>
      <c r="BJ1019" t="s">
        <v>0</v>
      </c>
      <c r="BK1019">
        <v>42135568</v>
      </c>
      <c r="BN1019" t="s">
        <v>73</v>
      </c>
      <c r="BR1019">
        <v>-584.5</v>
      </c>
      <c r="BS1019">
        <v>42135572</v>
      </c>
      <c r="BT1019" s="73">
        <v>45358.923622685186</v>
      </c>
      <c r="BU1019" t="s">
        <v>226</v>
      </c>
      <c r="BV1019" t="s">
        <v>519</v>
      </c>
      <c r="BW1019" t="s">
        <v>228</v>
      </c>
      <c r="CH1019" t="s">
        <v>229</v>
      </c>
      <c r="CI1019" t="s">
        <v>133</v>
      </c>
      <c r="CJ1019" t="s">
        <v>226</v>
      </c>
      <c r="CK1019" t="s">
        <v>519</v>
      </c>
      <c r="CL1019" t="s">
        <v>228</v>
      </c>
      <c r="CM1019" t="s">
        <v>234</v>
      </c>
      <c r="CN1019" t="s">
        <v>73</v>
      </c>
      <c r="CO1019">
        <v>-584.5</v>
      </c>
      <c r="CP1019">
        <v>42135572</v>
      </c>
      <c r="CQ1019" s="73">
        <v>45358.923622685186</v>
      </c>
      <c r="CR1019" t="s">
        <v>229</v>
      </c>
      <c r="CS1019" t="s">
        <v>133</v>
      </c>
      <c r="CU1019" t="s">
        <v>225</v>
      </c>
    </row>
    <row r="1020" spans="1:99">
      <c r="A1020" t="s">
        <v>99</v>
      </c>
      <c r="B1020" t="s">
        <v>98</v>
      </c>
      <c r="J1020" t="s">
        <v>225</v>
      </c>
      <c r="K1020" t="s">
        <v>225</v>
      </c>
      <c r="M1020" s="73">
        <v>45358.923611111109</v>
      </c>
      <c r="N1020">
        <v>42129739</v>
      </c>
      <c r="O1020">
        <v>1417.46</v>
      </c>
      <c r="P1020" t="s">
        <v>73</v>
      </c>
      <c r="Q1020">
        <v>1417.46</v>
      </c>
      <c r="R1020" t="s">
        <v>73</v>
      </c>
      <c r="U1020" t="s">
        <v>226</v>
      </c>
      <c r="V1020" t="s">
        <v>520</v>
      </c>
      <c r="W1020" t="s">
        <v>235</v>
      </c>
      <c r="X1020" t="s">
        <v>229</v>
      </c>
      <c r="Y1020" t="s">
        <v>99</v>
      </c>
      <c r="AD1020" t="s">
        <v>73</v>
      </c>
      <c r="AE1020">
        <v>1417.46</v>
      </c>
      <c r="AF1020">
        <v>42129739</v>
      </c>
      <c r="AG1020" s="73">
        <v>45358.923611111109</v>
      </c>
      <c r="AH1020" t="s">
        <v>226</v>
      </c>
      <c r="AI1020" t="s">
        <v>520</v>
      </c>
      <c r="AJ1020" t="s">
        <v>235</v>
      </c>
      <c r="AK1020" t="s">
        <v>229</v>
      </c>
      <c r="AL1020" t="s">
        <v>99</v>
      </c>
      <c r="AP1020" t="s">
        <v>230</v>
      </c>
      <c r="AQ1020" t="s">
        <v>231</v>
      </c>
      <c r="AT1020" t="s">
        <v>232</v>
      </c>
      <c r="AU1020">
        <v>-99</v>
      </c>
      <c r="AV1020" t="s">
        <v>73</v>
      </c>
      <c r="AW1020">
        <v>1417.46</v>
      </c>
      <c r="AX1020">
        <v>42129739</v>
      </c>
      <c r="AY1020" s="73">
        <v>45358.923611111109</v>
      </c>
      <c r="AZ1020" t="s">
        <v>226</v>
      </c>
      <c r="BA1020" t="s">
        <v>520</v>
      </c>
      <c r="BB1020" t="s">
        <v>235</v>
      </c>
      <c r="BC1020" t="s">
        <v>229</v>
      </c>
      <c r="BD1020" t="s">
        <v>99</v>
      </c>
      <c r="BI1020" t="s">
        <v>233</v>
      </c>
      <c r="BJ1020" t="s">
        <v>0</v>
      </c>
      <c r="BK1020">
        <v>42129735</v>
      </c>
      <c r="BN1020" t="s">
        <v>73</v>
      </c>
      <c r="BO1020">
        <v>42129737</v>
      </c>
      <c r="BR1020">
        <v>1417.46</v>
      </c>
      <c r="BS1020">
        <v>42129739</v>
      </c>
      <c r="BT1020" s="73">
        <v>45358.923611111109</v>
      </c>
      <c r="BU1020" t="s">
        <v>226</v>
      </c>
      <c r="BV1020" t="s">
        <v>520</v>
      </c>
      <c r="BW1020" t="s">
        <v>235</v>
      </c>
      <c r="CH1020" t="s">
        <v>229</v>
      </c>
      <c r="CI1020" t="s">
        <v>99</v>
      </c>
      <c r="CJ1020" t="s">
        <v>226</v>
      </c>
      <c r="CK1020" t="s">
        <v>520</v>
      </c>
      <c r="CL1020" t="s">
        <v>235</v>
      </c>
      <c r="CM1020" t="s">
        <v>236</v>
      </c>
      <c r="CN1020" t="s">
        <v>73</v>
      </c>
      <c r="CO1020">
        <v>1417.46</v>
      </c>
      <c r="CP1020">
        <v>42129739</v>
      </c>
      <c r="CQ1020" s="73">
        <v>45358.923611111109</v>
      </c>
      <c r="CR1020" t="s">
        <v>229</v>
      </c>
      <c r="CS1020" t="s">
        <v>99</v>
      </c>
      <c r="CU1020" t="s">
        <v>225</v>
      </c>
    </row>
    <row r="1021" spans="1:99">
      <c r="A1021" t="s">
        <v>71</v>
      </c>
      <c r="B1021" t="s">
        <v>77</v>
      </c>
      <c r="J1021" t="s">
        <v>225</v>
      </c>
      <c r="K1021" t="s">
        <v>225</v>
      </c>
      <c r="M1021" s="73">
        <v>45358.923611111109</v>
      </c>
      <c r="N1021">
        <v>42129732</v>
      </c>
      <c r="O1021">
        <v>1.28</v>
      </c>
      <c r="P1021" t="s">
        <v>73</v>
      </c>
      <c r="Q1021">
        <v>1.28</v>
      </c>
      <c r="R1021" t="s">
        <v>73</v>
      </c>
      <c r="U1021" t="s">
        <v>226</v>
      </c>
      <c r="V1021" t="s">
        <v>520</v>
      </c>
      <c r="W1021" t="s">
        <v>237</v>
      </c>
      <c r="X1021" t="s">
        <v>229</v>
      </c>
      <c r="Y1021" t="s">
        <v>71</v>
      </c>
      <c r="AD1021" t="s">
        <v>73</v>
      </c>
      <c r="AE1021">
        <v>1.28</v>
      </c>
      <c r="AF1021">
        <v>42129732</v>
      </c>
      <c r="AG1021" s="73">
        <v>45358.923611111109</v>
      </c>
      <c r="AH1021" t="s">
        <v>226</v>
      </c>
      <c r="AI1021" t="s">
        <v>520</v>
      </c>
      <c r="AJ1021" t="s">
        <v>237</v>
      </c>
      <c r="AK1021" t="s">
        <v>229</v>
      </c>
      <c r="AL1021" t="s">
        <v>71</v>
      </c>
      <c r="AP1021" t="s">
        <v>230</v>
      </c>
      <c r="AQ1021" t="s">
        <v>231</v>
      </c>
      <c r="AT1021" t="s">
        <v>232</v>
      </c>
      <c r="AU1021">
        <v>-99</v>
      </c>
      <c r="AV1021" t="s">
        <v>73</v>
      </c>
      <c r="AW1021">
        <v>1.28</v>
      </c>
      <c r="AX1021">
        <v>42129732</v>
      </c>
      <c r="AY1021" s="73">
        <v>45358.923611111109</v>
      </c>
      <c r="AZ1021" t="s">
        <v>226</v>
      </c>
      <c r="BA1021" t="s">
        <v>520</v>
      </c>
      <c r="BB1021" t="s">
        <v>237</v>
      </c>
      <c r="BC1021" t="s">
        <v>229</v>
      </c>
      <c r="BD1021" t="s">
        <v>71</v>
      </c>
      <c r="BI1021" t="s">
        <v>233</v>
      </c>
      <c r="BJ1021" t="s">
        <v>0</v>
      </c>
      <c r="BK1021">
        <v>42129728</v>
      </c>
      <c r="BN1021" t="s">
        <v>73</v>
      </c>
      <c r="BO1021">
        <v>42129730</v>
      </c>
      <c r="BR1021">
        <v>1.28</v>
      </c>
      <c r="BS1021">
        <v>42129732</v>
      </c>
      <c r="BT1021" s="73">
        <v>45358.923611111109</v>
      </c>
      <c r="BU1021" t="s">
        <v>226</v>
      </c>
      <c r="BV1021" t="s">
        <v>520</v>
      </c>
      <c r="BW1021" t="s">
        <v>237</v>
      </c>
      <c r="CH1021" t="s">
        <v>229</v>
      </c>
      <c r="CI1021" t="s">
        <v>71</v>
      </c>
      <c r="CJ1021" t="s">
        <v>226</v>
      </c>
      <c r="CK1021" t="s">
        <v>520</v>
      </c>
      <c r="CL1021" t="s">
        <v>237</v>
      </c>
      <c r="CM1021" t="s">
        <v>236</v>
      </c>
      <c r="CN1021" t="s">
        <v>73</v>
      </c>
      <c r="CO1021">
        <v>1.28</v>
      </c>
      <c r="CP1021">
        <v>42129732</v>
      </c>
      <c r="CQ1021" s="73">
        <v>45358.923611111109</v>
      </c>
      <c r="CR1021" t="s">
        <v>229</v>
      </c>
      <c r="CS1021" t="s">
        <v>71</v>
      </c>
      <c r="CU1021" t="s">
        <v>225</v>
      </c>
    </row>
    <row r="1022" spans="1:99">
      <c r="A1022" t="s">
        <v>133</v>
      </c>
      <c r="B1022" t="s">
        <v>90</v>
      </c>
      <c r="J1022" t="s">
        <v>225</v>
      </c>
      <c r="K1022" t="s">
        <v>225</v>
      </c>
      <c r="M1022" s="73">
        <v>45358.923611111109</v>
      </c>
      <c r="N1022">
        <v>42129725</v>
      </c>
      <c r="O1022">
        <v>-585</v>
      </c>
      <c r="P1022" t="s">
        <v>73</v>
      </c>
      <c r="Q1022">
        <v>-585</v>
      </c>
      <c r="R1022" t="s">
        <v>73</v>
      </c>
      <c r="U1022" t="s">
        <v>226</v>
      </c>
      <c r="V1022" t="s">
        <v>520</v>
      </c>
      <c r="W1022" t="s">
        <v>228</v>
      </c>
      <c r="X1022" t="s">
        <v>229</v>
      </c>
      <c r="Y1022" t="s">
        <v>133</v>
      </c>
      <c r="AD1022" t="s">
        <v>73</v>
      </c>
      <c r="AE1022">
        <v>-585</v>
      </c>
      <c r="AF1022">
        <v>42129725</v>
      </c>
      <c r="AG1022" s="73">
        <v>45358.923611111109</v>
      </c>
      <c r="AH1022" t="s">
        <v>226</v>
      </c>
      <c r="AI1022" t="s">
        <v>520</v>
      </c>
      <c r="AJ1022" t="s">
        <v>228</v>
      </c>
      <c r="AK1022" t="s">
        <v>229</v>
      </c>
      <c r="AL1022" t="s">
        <v>133</v>
      </c>
      <c r="AP1022" t="s">
        <v>230</v>
      </c>
      <c r="AQ1022" t="s">
        <v>231</v>
      </c>
      <c r="AT1022" t="s">
        <v>232</v>
      </c>
      <c r="AU1022">
        <v>-99</v>
      </c>
      <c r="AV1022" t="s">
        <v>73</v>
      </c>
      <c r="AW1022">
        <v>-585</v>
      </c>
      <c r="AX1022">
        <v>42129725</v>
      </c>
      <c r="AY1022" s="73">
        <v>45358.923611111109</v>
      </c>
      <c r="AZ1022" t="s">
        <v>226</v>
      </c>
      <c r="BA1022" t="s">
        <v>520</v>
      </c>
      <c r="BB1022" t="s">
        <v>228</v>
      </c>
      <c r="BC1022" t="s">
        <v>229</v>
      </c>
      <c r="BD1022" t="s">
        <v>133</v>
      </c>
      <c r="BI1022" t="s">
        <v>233</v>
      </c>
      <c r="BJ1022" t="s">
        <v>0</v>
      </c>
      <c r="BK1022">
        <v>42129721</v>
      </c>
      <c r="BN1022" t="s">
        <v>73</v>
      </c>
      <c r="BR1022">
        <v>-585</v>
      </c>
      <c r="BS1022">
        <v>42129725</v>
      </c>
      <c r="BT1022" s="73">
        <v>45358.923611111109</v>
      </c>
      <c r="BU1022" t="s">
        <v>226</v>
      </c>
      <c r="BV1022" t="s">
        <v>520</v>
      </c>
      <c r="BW1022" t="s">
        <v>228</v>
      </c>
      <c r="CH1022" t="s">
        <v>229</v>
      </c>
      <c r="CI1022" t="s">
        <v>133</v>
      </c>
      <c r="CJ1022" t="s">
        <v>226</v>
      </c>
      <c r="CK1022" t="s">
        <v>520</v>
      </c>
      <c r="CL1022" t="s">
        <v>228</v>
      </c>
      <c r="CM1022" t="s">
        <v>234</v>
      </c>
      <c r="CN1022" t="s">
        <v>73</v>
      </c>
      <c r="CO1022">
        <v>-585</v>
      </c>
      <c r="CP1022">
        <v>42129725</v>
      </c>
      <c r="CQ1022" s="73">
        <v>45358.923611111109</v>
      </c>
      <c r="CR1022" t="s">
        <v>229</v>
      </c>
      <c r="CS1022" t="s">
        <v>133</v>
      </c>
      <c r="CU1022" t="s">
        <v>225</v>
      </c>
    </row>
    <row r="1023" spans="1:99">
      <c r="A1023" t="s">
        <v>127</v>
      </c>
      <c r="B1023" t="s">
        <v>90</v>
      </c>
      <c r="J1023" t="s">
        <v>225</v>
      </c>
      <c r="K1023" t="s">
        <v>225</v>
      </c>
      <c r="M1023" s="73">
        <v>45358.923611111109</v>
      </c>
      <c r="N1023">
        <v>42129718</v>
      </c>
      <c r="O1023">
        <v>-658.2</v>
      </c>
      <c r="P1023" t="s">
        <v>73</v>
      </c>
      <c r="Q1023">
        <v>-658.2</v>
      </c>
      <c r="R1023" t="s">
        <v>73</v>
      </c>
      <c r="U1023" t="s">
        <v>226</v>
      </c>
      <c r="V1023" t="s">
        <v>520</v>
      </c>
      <c r="W1023" t="s">
        <v>228</v>
      </c>
      <c r="X1023" t="s">
        <v>229</v>
      </c>
      <c r="Y1023" t="s">
        <v>127</v>
      </c>
      <c r="AD1023" t="s">
        <v>73</v>
      </c>
      <c r="AE1023">
        <v>-658.2</v>
      </c>
      <c r="AF1023">
        <v>42129718</v>
      </c>
      <c r="AG1023" s="73">
        <v>45358.923611111109</v>
      </c>
      <c r="AH1023" t="s">
        <v>226</v>
      </c>
      <c r="AI1023" t="s">
        <v>520</v>
      </c>
      <c r="AJ1023" t="s">
        <v>228</v>
      </c>
      <c r="AK1023" t="s">
        <v>229</v>
      </c>
      <c r="AL1023" t="s">
        <v>127</v>
      </c>
      <c r="AP1023" t="s">
        <v>230</v>
      </c>
      <c r="AQ1023" t="s">
        <v>231</v>
      </c>
      <c r="AT1023" t="s">
        <v>232</v>
      </c>
      <c r="AU1023">
        <v>-99</v>
      </c>
      <c r="AV1023" t="s">
        <v>73</v>
      </c>
      <c r="AW1023">
        <v>-658.2</v>
      </c>
      <c r="AX1023">
        <v>42129718</v>
      </c>
      <c r="AY1023" s="73">
        <v>45358.923611111109</v>
      </c>
      <c r="AZ1023" t="s">
        <v>226</v>
      </c>
      <c r="BA1023" t="s">
        <v>520</v>
      </c>
      <c r="BB1023" t="s">
        <v>228</v>
      </c>
      <c r="BC1023" t="s">
        <v>229</v>
      </c>
      <c r="BD1023" t="s">
        <v>127</v>
      </c>
      <c r="BI1023" t="s">
        <v>233</v>
      </c>
      <c r="BJ1023" t="s">
        <v>0</v>
      </c>
      <c r="BK1023">
        <v>42129714</v>
      </c>
      <c r="BN1023" t="s">
        <v>73</v>
      </c>
      <c r="BR1023">
        <v>-658.2</v>
      </c>
      <c r="BS1023">
        <v>42129718</v>
      </c>
      <c r="BT1023" s="73">
        <v>45358.923611111109</v>
      </c>
      <c r="BU1023" t="s">
        <v>226</v>
      </c>
      <c r="BV1023" t="s">
        <v>520</v>
      </c>
      <c r="BW1023" t="s">
        <v>228</v>
      </c>
      <c r="CH1023" t="s">
        <v>229</v>
      </c>
      <c r="CI1023" t="s">
        <v>127</v>
      </c>
      <c r="CJ1023" t="s">
        <v>226</v>
      </c>
      <c r="CK1023" t="s">
        <v>520</v>
      </c>
      <c r="CL1023" t="s">
        <v>228</v>
      </c>
      <c r="CM1023" t="s">
        <v>234</v>
      </c>
      <c r="CN1023" t="s">
        <v>73</v>
      </c>
      <c r="CO1023">
        <v>-658.2</v>
      </c>
      <c r="CP1023">
        <v>42129718</v>
      </c>
      <c r="CQ1023" s="73">
        <v>45358.923611111109</v>
      </c>
      <c r="CR1023" t="s">
        <v>229</v>
      </c>
      <c r="CS1023" t="s">
        <v>127</v>
      </c>
      <c r="CU1023" t="s">
        <v>225</v>
      </c>
    </row>
    <row r="1024" spans="1:99">
      <c r="A1024" t="s">
        <v>87</v>
      </c>
      <c r="B1024" t="s">
        <v>90</v>
      </c>
      <c r="J1024" t="s">
        <v>225</v>
      </c>
      <c r="K1024" t="s">
        <v>225</v>
      </c>
      <c r="M1024" s="73">
        <v>45358.923611111109</v>
      </c>
      <c r="N1024">
        <v>42129711</v>
      </c>
      <c r="O1024">
        <v>-58.5</v>
      </c>
      <c r="P1024" t="s">
        <v>73</v>
      </c>
      <c r="Q1024">
        <v>-58.5</v>
      </c>
      <c r="R1024" t="s">
        <v>73</v>
      </c>
      <c r="U1024" t="s">
        <v>226</v>
      </c>
      <c r="V1024" t="s">
        <v>520</v>
      </c>
      <c r="W1024" t="s">
        <v>228</v>
      </c>
      <c r="X1024" t="s">
        <v>229</v>
      </c>
      <c r="Y1024" t="s">
        <v>87</v>
      </c>
      <c r="AD1024" t="s">
        <v>73</v>
      </c>
      <c r="AE1024">
        <v>-58.5</v>
      </c>
      <c r="AF1024">
        <v>42129711</v>
      </c>
      <c r="AG1024" s="73">
        <v>45358.923611111109</v>
      </c>
      <c r="AH1024" t="s">
        <v>226</v>
      </c>
      <c r="AI1024" t="s">
        <v>520</v>
      </c>
      <c r="AJ1024" t="s">
        <v>228</v>
      </c>
      <c r="AK1024" t="s">
        <v>229</v>
      </c>
      <c r="AL1024" t="s">
        <v>87</v>
      </c>
      <c r="AP1024" t="s">
        <v>230</v>
      </c>
      <c r="AQ1024" t="s">
        <v>231</v>
      </c>
      <c r="AT1024" t="s">
        <v>232</v>
      </c>
      <c r="AU1024">
        <v>-99</v>
      </c>
      <c r="AV1024" t="s">
        <v>73</v>
      </c>
      <c r="AW1024">
        <v>-58.5</v>
      </c>
      <c r="AX1024">
        <v>42129711</v>
      </c>
      <c r="AY1024" s="73">
        <v>45358.923611111109</v>
      </c>
      <c r="AZ1024" t="s">
        <v>226</v>
      </c>
      <c r="BA1024" t="s">
        <v>520</v>
      </c>
      <c r="BB1024" t="s">
        <v>228</v>
      </c>
      <c r="BC1024" t="s">
        <v>229</v>
      </c>
      <c r="BD1024" t="s">
        <v>87</v>
      </c>
      <c r="BI1024" t="s">
        <v>233</v>
      </c>
      <c r="BJ1024" t="s">
        <v>0</v>
      </c>
      <c r="BK1024">
        <v>42129707</v>
      </c>
      <c r="BN1024" t="s">
        <v>73</v>
      </c>
      <c r="BR1024">
        <v>-58.5</v>
      </c>
      <c r="BS1024">
        <v>42129711</v>
      </c>
      <c r="BT1024" s="73">
        <v>45358.923611111109</v>
      </c>
      <c r="BU1024" t="s">
        <v>226</v>
      </c>
      <c r="BV1024" t="s">
        <v>520</v>
      </c>
      <c r="BW1024" t="s">
        <v>228</v>
      </c>
      <c r="CH1024" t="s">
        <v>229</v>
      </c>
      <c r="CI1024" t="s">
        <v>87</v>
      </c>
      <c r="CJ1024" t="s">
        <v>226</v>
      </c>
      <c r="CK1024" t="s">
        <v>520</v>
      </c>
      <c r="CL1024" t="s">
        <v>228</v>
      </c>
      <c r="CM1024" t="s">
        <v>234</v>
      </c>
      <c r="CN1024" t="s">
        <v>73</v>
      </c>
      <c r="CO1024">
        <v>-58.5</v>
      </c>
      <c r="CP1024">
        <v>42129711</v>
      </c>
      <c r="CQ1024" s="73">
        <v>45358.923611111109</v>
      </c>
      <c r="CR1024" t="s">
        <v>229</v>
      </c>
      <c r="CS1024" t="s">
        <v>87</v>
      </c>
      <c r="CU1024" t="s">
        <v>225</v>
      </c>
    </row>
    <row r="1025" spans="1:99">
      <c r="A1025" t="s">
        <v>131</v>
      </c>
      <c r="B1025" t="s">
        <v>90</v>
      </c>
      <c r="J1025" t="s">
        <v>225</v>
      </c>
      <c r="K1025" t="s">
        <v>225</v>
      </c>
      <c r="M1025" s="73">
        <v>45358.923611111109</v>
      </c>
      <c r="N1025">
        <v>42129704</v>
      </c>
      <c r="O1025">
        <v>-160.9</v>
      </c>
      <c r="P1025" t="s">
        <v>73</v>
      </c>
      <c r="Q1025">
        <v>-160.9</v>
      </c>
      <c r="R1025" t="s">
        <v>73</v>
      </c>
      <c r="U1025" t="s">
        <v>226</v>
      </c>
      <c r="V1025" t="s">
        <v>520</v>
      </c>
      <c r="W1025" t="s">
        <v>228</v>
      </c>
      <c r="X1025" t="s">
        <v>229</v>
      </c>
      <c r="Y1025" t="s">
        <v>131</v>
      </c>
      <c r="AD1025" t="s">
        <v>73</v>
      </c>
      <c r="AE1025">
        <v>-160.9</v>
      </c>
      <c r="AF1025">
        <v>42129704</v>
      </c>
      <c r="AG1025" s="73">
        <v>45358.923611111109</v>
      </c>
      <c r="AH1025" t="s">
        <v>226</v>
      </c>
      <c r="AI1025" t="s">
        <v>520</v>
      </c>
      <c r="AJ1025" t="s">
        <v>228</v>
      </c>
      <c r="AK1025" t="s">
        <v>229</v>
      </c>
      <c r="AL1025" t="s">
        <v>131</v>
      </c>
      <c r="AP1025" t="s">
        <v>230</v>
      </c>
      <c r="AQ1025" t="s">
        <v>231</v>
      </c>
      <c r="AT1025" t="s">
        <v>232</v>
      </c>
      <c r="AU1025">
        <v>-99</v>
      </c>
      <c r="AV1025" t="s">
        <v>73</v>
      </c>
      <c r="AW1025">
        <v>-160.9</v>
      </c>
      <c r="AX1025">
        <v>42129704</v>
      </c>
      <c r="AY1025" s="73">
        <v>45358.923611111109</v>
      </c>
      <c r="AZ1025" t="s">
        <v>226</v>
      </c>
      <c r="BA1025" t="s">
        <v>520</v>
      </c>
      <c r="BB1025" t="s">
        <v>228</v>
      </c>
      <c r="BC1025" t="s">
        <v>229</v>
      </c>
      <c r="BD1025" t="s">
        <v>131</v>
      </c>
      <c r="BI1025" t="s">
        <v>233</v>
      </c>
      <c r="BJ1025" t="s">
        <v>0</v>
      </c>
      <c r="BK1025">
        <v>42129700</v>
      </c>
      <c r="BN1025" t="s">
        <v>73</v>
      </c>
      <c r="BR1025">
        <v>-160.9</v>
      </c>
      <c r="BS1025">
        <v>42129704</v>
      </c>
      <c r="BT1025" s="73">
        <v>45358.923611111109</v>
      </c>
      <c r="BU1025" t="s">
        <v>226</v>
      </c>
      <c r="BV1025" t="s">
        <v>520</v>
      </c>
      <c r="BW1025" t="s">
        <v>228</v>
      </c>
      <c r="CH1025" t="s">
        <v>229</v>
      </c>
      <c r="CI1025" t="s">
        <v>131</v>
      </c>
      <c r="CJ1025" t="s">
        <v>226</v>
      </c>
      <c r="CK1025" t="s">
        <v>520</v>
      </c>
      <c r="CL1025" t="s">
        <v>228</v>
      </c>
      <c r="CM1025" t="s">
        <v>234</v>
      </c>
      <c r="CN1025" t="s">
        <v>73</v>
      </c>
      <c r="CO1025">
        <v>-160.9</v>
      </c>
      <c r="CP1025">
        <v>42129704</v>
      </c>
      <c r="CQ1025" s="73">
        <v>45358.923611111109</v>
      </c>
      <c r="CR1025" t="s">
        <v>229</v>
      </c>
      <c r="CS1025" t="s">
        <v>131</v>
      </c>
      <c r="CU1025" t="s">
        <v>225</v>
      </c>
    </row>
    <row r="1026" spans="1:99">
      <c r="A1026" t="s">
        <v>42</v>
      </c>
      <c r="B1026" t="s">
        <v>92</v>
      </c>
      <c r="J1026" t="s">
        <v>225</v>
      </c>
      <c r="K1026" t="s">
        <v>225</v>
      </c>
      <c r="M1026" s="73">
        <v>45358.739710648151</v>
      </c>
      <c r="N1026">
        <v>42123085</v>
      </c>
      <c r="O1026">
        <v>-1446</v>
      </c>
      <c r="P1026" t="s">
        <v>45</v>
      </c>
      <c r="Q1026">
        <v>-1446</v>
      </c>
      <c r="R1026" t="s">
        <v>45</v>
      </c>
      <c r="U1026" t="s">
        <v>226</v>
      </c>
      <c r="V1026" t="s">
        <v>521</v>
      </c>
      <c r="W1026" t="s">
        <v>228</v>
      </c>
      <c r="X1026" t="s">
        <v>229</v>
      </c>
      <c r="Y1026" t="s">
        <v>42</v>
      </c>
      <c r="AD1026" t="s">
        <v>45</v>
      </c>
      <c r="AE1026">
        <v>-1446</v>
      </c>
      <c r="AF1026">
        <v>42123085</v>
      </c>
      <c r="AG1026" s="73">
        <v>45358.739710648151</v>
      </c>
      <c r="AH1026" t="s">
        <v>226</v>
      </c>
      <c r="AI1026" t="s">
        <v>521</v>
      </c>
      <c r="AJ1026" t="s">
        <v>228</v>
      </c>
      <c r="AK1026" t="s">
        <v>229</v>
      </c>
      <c r="AL1026" t="s">
        <v>42</v>
      </c>
      <c r="AP1026" t="s">
        <v>230</v>
      </c>
      <c r="AQ1026" t="s">
        <v>231</v>
      </c>
      <c r="AT1026" t="s">
        <v>232</v>
      </c>
      <c r="AU1026">
        <v>-99</v>
      </c>
      <c r="AV1026" t="s">
        <v>45</v>
      </c>
      <c r="AW1026">
        <v>-1446</v>
      </c>
      <c r="AX1026">
        <v>42123085</v>
      </c>
      <c r="AY1026" s="73">
        <v>45358.739710648151</v>
      </c>
      <c r="AZ1026" t="s">
        <v>226</v>
      </c>
      <c r="BA1026" t="s">
        <v>521</v>
      </c>
      <c r="BB1026" t="s">
        <v>228</v>
      </c>
      <c r="BC1026" t="s">
        <v>229</v>
      </c>
      <c r="BD1026" t="s">
        <v>42</v>
      </c>
      <c r="BI1026" t="s">
        <v>233</v>
      </c>
      <c r="BJ1026" t="s">
        <v>0</v>
      </c>
      <c r="BK1026">
        <v>42123066</v>
      </c>
      <c r="BN1026" t="s">
        <v>45</v>
      </c>
      <c r="BR1026">
        <v>-1446</v>
      </c>
      <c r="BS1026">
        <v>42123085</v>
      </c>
      <c r="BT1026" s="73">
        <v>45358.739710648151</v>
      </c>
      <c r="BU1026" t="s">
        <v>226</v>
      </c>
      <c r="BV1026" t="s">
        <v>521</v>
      </c>
      <c r="BW1026" t="s">
        <v>228</v>
      </c>
      <c r="CH1026" t="s">
        <v>229</v>
      </c>
      <c r="CI1026" t="s">
        <v>42</v>
      </c>
      <c r="CJ1026" t="s">
        <v>226</v>
      </c>
      <c r="CK1026" t="s">
        <v>521</v>
      </c>
      <c r="CL1026" t="s">
        <v>228</v>
      </c>
      <c r="CM1026" t="s">
        <v>234</v>
      </c>
      <c r="CN1026" t="s">
        <v>45</v>
      </c>
      <c r="CO1026">
        <v>-1446</v>
      </c>
      <c r="CP1026">
        <v>42123085</v>
      </c>
      <c r="CQ1026" s="73">
        <v>45358.739710648151</v>
      </c>
      <c r="CR1026" t="s">
        <v>229</v>
      </c>
      <c r="CS1026" t="s">
        <v>42</v>
      </c>
      <c r="CU1026" t="s">
        <v>225</v>
      </c>
    </row>
    <row r="1027" spans="1:99">
      <c r="A1027" t="s">
        <v>99</v>
      </c>
      <c r="B1027" t="s">
        <v>98</v>
      </c>
      <c r="J1027" t="s">
        <v>225</v>
      </c>
      <c r="K1027" t="s">
        <v>225</v>
      </c>
      <c r="M1027" s="73">
        <v>45358.739710648151</v>
      </c>
      <c r="N1027">
        <v>42123084</v>
      </c>
      <c r="O1027">
        <v>-72.2</v>
      </c>
      <c r="P1027" t="s">
        <v>73</v>
      </c>
      <c r="Q1027">
        <v>-72.2</v>
      </c>
      <c r="R1027" t="s">
        <v>73</v>
      </c>
      <c r="U1027" t="s">
        <v>226</v>
      </c>
      <c r="V1027" t="s">
        <v>521</v>
      </c>
      <c r="W1027" t="s">
        <v>228</v>
      </c>
      <c r="X1027" t="s">
        <v>229</v>
      </c>
      <c r="Y1027" t="s">
        <v>99</v>
      </c>
      <c r="AD1027" t="s">
        <v>73</v>
      </c>
      <c r="AE1027">
        <v>-72.2</v>
      </c>
      <c r="AF1027">
        <v>42123084</v>
      </c>
      <c r="AG1027" s="73">
        <v>45358.739710648151</v>
      </c>
      <c r="AH1027" t="s">
        <v>226</v>
      </c>
      <c r="AI1027" t="s">
        <v>521</v>
      </c>
      <c r="AJ1027" t="s">
        <v>228</v>
      </c>
      <c r="AK1027" t="s">
        <v>229</v>
      </c>
      <c r="AL1027" t="s">
        <v>99</v>
      </c>
      <c r="AP1027" t="s">
        <v>230</v>
      </c>
      <c r="AQ1027" t="s">
        <v>231</v>
      </c>
      <c r="AT1027" t="s">
        <v>232</v>
      </c>
      <c r="AU1027">
        <v>-99</v>
      </c>
      <c r="AV1027" t="s">
        <v>73</v>
      </c>
      <c r="AW1027">
        <v>-72.2</v>
      </c>
      <c r="AX1027">
        <v>42123084</v>
      </c>
      <c r="AY1027" s="73">
        <v>45358.739710648151</v>
      </c>
      <c r="AZ1027" t="s">
        <v>226</v>
      </c>
      <c r="BA1027" t="s">
        <v>521</v>
      </c>
      <c r="BB1027" t="s">
        <v>228</v>
      </c>
      <c r="BC1027" t="s">
        <v>229</v>
      </c>
      <c r="BD1027" t="s">
        <v>99</v>
      </c>
      <c r="BI1027" t="s">
        <v>233</v>
      </c>
      <c r="BJ1027" t="s">
        <v>0</v>
      </c>
      <c r="BK1027">
        <v>42123066</v>
      </c>
      <c r="BN1027" t="s">
        <v>73</v>
      </c>
      <c r="BR1027">
        <v>-72.2</v>
      </c>
      <c r="BS1027">
        <v>42123084</v>
      </c>
      <c r="BT1027" s="73">
        <v>45358.739710648151</v>
      </c>
      <c r="BU1027" t="s">
        <v>226</v>
      </c>
      <c r="BV1027" t="s">
        <v>521</v>
      </c>
      <c r="BW1027" t="s">
        <v>228</v>
      </c>
      <c r="CH1027" t="s">
        <v>229</v>
      </c>
      <c r="CI1027" t="s">
        <v>99</v>
      </c>
      <c r="CJ1027" t="s">
        <v>226</v>
      </c>
      <c r="CK1027" t="s">
        <v>521</v>
      </c>
      <c r="CL1027" t="s">
        <v>228</v>
      </c>
      <c r="CM1027" t="s">
        <v>234</v>
      </c>
      <c r="CN1027" t="s">
        <v>73</v>
      </c>
      <c r="CO1027">
        <v>-72.2</v>
      </c>
      <c r="CP1027">
        <v>42123084</v>
      </c>
      <c r="CQ1027" s="73">
        <v>45358.739710648151</v>
      </c>
      <c r="CR1027" t="s">
        <v>229</v>
      </c>
      <c r="CS1027" t="s">
        <v>99</v>
      </c>
      <c r="CU1027" t="s">
        <v>225</v>
      </c>
    </row>
    <row r="1028" spans="1:99">
      <c r="A1028" t="s">
        <v>103</v>
      </c>
      <c r="B1028" t="s">
        <v>98</v>
      </c>
      <c r="J1028" t="s">
        <v>225</v>
      </c>
      <c r="K1028" t="s">
        <v>225</v>
      </c>
      <c r="M1028" s="73">
        <v>45358.739710648151</v>
      </c>
      <c r="N1028">
        <v>42123083</v>
      </c>
      <c r="O1028">
        <v>1444</v>
      </c>
      <c r="P1028" t="s">
        <v>104</v>
      </c>
      <c r="Q1028">
        <v>1444</v>
      </c>
      <c r="R1028" t="s">
        <v>104</v>
      </c>
      <c r="S1028">
        <v>72.2</v>
      </c>
      <c r="T1028" t="s">
        <v>73</v>
      </c>
      <c r="U1028" t="s">
        <v>226</v>
      </c>
      <c r="V1028" t="s">
        <v>521</v>
      </c>
      <c r="W1028" t="s">
        <v>235</v>
      </c>
      <c r="X1028" t="s">
        <v>229</v>
      </c>
      <c r="Y1028" t="s">
        <v>103</v>
      </c>
      <c r="AD1028" t="s">
        <v>104</v>
      </c>
      <c r="AE1028">
        <v>1444</v>
      </c>
      <c r="AF1028">
        <v>42123083</v>
      </c>
      <c r="AG1028" s="73">
        <v>45358.739710648151</v>
      </c>
      <c r="AH1028" t="s">
        <v>226</v>
      </c>
      <c r="AI1028" t="s">
        <v>521</v>
      </c>
      <c r="AJ1028" t="s">
        <v>235</v>
      </c>
      <c r="AK1028" t="s">
        <v>229</v>
      </c>
      <c r="AL1028" t="s">
        <v>103</v>
      </c>
      <c r="AP1028" t="s">
        <v>230</v>
      </c>
      <c r="AQ1028" t="s">
        <v>231</v>
      </c>
      <c r="AT1028" t="s">
        <v>232</v>
      </c>
      <c r="AU1028">
        <v>-99</v>
      </c>
      <c r="AV1028" t="s">
        <v>104</v>
      </c>
      <c r="AW1028">
        <v>1444</v>
      </c>
      <c r="AX1028">
        <v>42123083</v>
      </c>
      <c r="AY1028" s="73">
        <v>45358.739710648151</v>
      </c>
      <c r="AZ1028" t="s">
        <v>226</v>
      </c>
      <c r="BA1028" t="s">
        <v>521</v>
      </c>
      <c r="BB1028" t="s">
        <v>235</v>
      </c>
      <c r="BC1028" t="s">
        <v>229</v>
      </c>
      <c r="BD1028" t="s">
        <v>103</v>
      </c>
      <c r="BI1028" t="s">
        <v>233</v>
      </c>
      <c r="BJ1028" t="s">
        <v>0</v>
      </c>
      <c r="BK1028">
        <v>42123066</v>
      </c>
      <c r="BN1028" t="s">
        <v>104</v>
      </c>
      <c r="BO1028">
        <v>42123075</v>
      </c>
      <c r="BR1028">
        <v>1444</v>
      </c>
      <c r="BS1028">
        <v>42123083</v>
      </c>
      <c r="BT1028" s="73">
        <v>45358.739710648151</v>
      </c>
      <c r="BU1028" t="s">
        <v>226</v>
      </c>
      <c r="BV1028" t="s">
        <v>521</v>
      </c>
      <c r="BW1028" t="s">
        <v>235</v>
      </c>
      <c r="CH1028" t="s">
        <v>229</v>
      </c>
      <c r="CI1028" t="s">
        <v>103</v>
      </c>
      <c r="CJ1028" t="s">
        <v>226</v>
      </c>
      <c r="CK1028" t="s">
        <v>521</v>
      </c>
      <c r="CL1028" t="s">
        <v>235</v>
      </c>
      <c r="CM1028" t="s">
        <v>236</v>
      </c>
      <c r="CN1028" t="s">
        <v>104</v>
      </c>
      <c r="CO1028">
        <v>1444</v>
      </c>
      <c r="CP1028">
        <v>42123083</v>
      </c>
      <c r="CQ1028" s="73">
        <v>45358.739710648151</v>
      </c>
      <c r="CR1028" t="s">
        <v>229</v>
      </c>
      <c r="CS1028" t="s">
        <v>103</v>
      </c>
      <c r="CU1028" t="s">
        <v>225</v>
      </c>
    </row>
    <row r="1029" spans="1:99">
      <c r="A1029" t="s">
        <v>111</v>
      </c>
      <c r="B1029" t="s">
        <v>77</v>
      </c>
      <c r="J1029" t="s">
        <v>225</v>
      </c>
      <c r="K1029" t="s">
        <v>225</v>
      </c>
      <c r="M1029" s="73">
        <v>45358.739710648151</v>
      </c>
      <c r="N1029">
        <v>42123082</v>
      </c>
      <c r="O1029">
        <v>2</v>
      </c>
      <c r="P1029" t="s">
        <v>45</v>
      </c>
      <c r="Q1029">
        <v>2</v>
      </c>
      <c r="R1029" t="s">
        <v>45</v>
      </c>
      <c r="U1029" t="s">
        <v>226</v>
      </c>
      <c r="V1029" t="s">
        <v>521</v>
      </c>
      <c r="W1029" t="s">
        <v>237</v>
      </c>
      <c r="X1029" t="s">
        <v>229</v>
      </c>
      <c r="Y1029" t="s">
        <v>111</v>
      </c>
      <c r="AD1029" t="s">
        <v>45</v>
      </c>
      <c r="AE1029">
        <v>2</v>
      </c>
      <c r="AF1029">
        <v>42123082</v>
      </c>
      <c r="AG1029" s="73">
        <v>45358.739710648151</v>
      </c>
      <c r="AH1029" t="s">
        <v>226</v>
      </c>
      <c r="AI1029" t="s">
        <v>521</v>
      </c>
      <c r="AJ1029" t="s">
        <v>237</v>
      </c>
      <c r="AK1029" t="s">
        <v>229</v>
      </c>
      <c r="AL1029" t="s">
        <v>111</v>
      </c>
      <c r="AP1029" t="s">
        <v>230</v>
      </c>
      <c r="AQ1029" t="s">
        <v>231</v>
      </c>
      <c r="AT1029" t="s">
        <v>232</v>
      </c>
      <c r="AU1029">
        <v>-99</v>
      </c>
      <c r="AV1029" t="s">
        <v>45</v>
      </c>
      <c r="AW1029">
        <v>2</v>
      </c>
      <c r="AX1029">
        <v>42123082</v>
      </c>
      <c r="AY1029" s="73">
        <v>45358.739710648151</v>
      </c>
      <c r="AZ1029" t="s">
        <v>226</v>
      </c>
      <c r="BA1029" t="s">
        <v>521</v>
      </c>
      <c r="BB1029" t="s">
        <v>237</v>
      </c>
      <c r="BC1029" t="s">
        <v>229</v>
      </c>
      <c r="BD1029" t="s">
        <v>111</v>
      </c>
      <c r="BI1029" t="s">
        <v>233</v>
      </c>
      <c r="BJ1029" t="s">
        <v>0</v>
      </c>
      <c r="BK1029">
        <v>42123066</v>
      </c>
      <c r="BN1029" t="s">
        <v>45</v>
      </c>
      <c r="BO1029">
        <v>42123077</v>
      </c>
      <c r="BR1029">
        <v>2</v>
      </c>
      <c r="BS1029">
        <v>42123082</v>
      </c>
      <c r="BT1029" s="73">
        <v>45358.739710648151</v>
      </c>
      <c r="BU1029" t="s">
        <v>226</v>
      </c>
      <c r="BV1029" t="s">
        <v>521</v>
      </c>
      <c r="BW1029" t="s">
        <v>237</v>
      </c>
      <c r="CH1029" t="s">
        <v>229</v>
      </c>
      <c r="CI1029" t="s">
        <v>111</v>
      </c>
      <c r="CJ1029" t="s">
        <v>226</v>
      </c>
      <c r="CK1029" t="s">
        <v>521</v>
      </c>
      <c r="CL1029" t="s">
        <v>237</v>
      </c>
      <c r="CM1029" t="s">
        <v>236</v>
      </c>
      <c r="CN1029" t="s">
        <v>45</v>
      </c>
      <c r="CO1029">
        <v>2</v>
      </c>
      <c r="CP1029">
        <v>42123082</v>
      </c>
      <c r="CQ1029" s="73">
        <v>45358.739710648151</v>
      </c>
      <c r="CR1029" t="s">
        <v>229</v>
      </c>
      <c r="CS1029" t="s">
        <v>111</v>
      </c>
      <c r="CU1029" t="s">
        <v>225</v>
      </c>
    </row>
    <row r="1030" spans="1:99">
      <c r="A1030" t="s">
        <v>52</v>
      </c>
      <c r="B1030" t="s">
        <v>92</v>
      </c>
      <c r="J1030" t="s">
        <v>225</v>
      </c>
      <c r="K1030" t="s">
        <v>225</v>
      </c>
      <c r="M1030" s="73">
        <v>45358.737546296295</v>
      </c>
      <c r="N1030">
        <v>42122984</v>
      </c>
      <c r="O1030">
        <v>-820</v>
      </c>
      <c r="P1030" t="s">
        <v>45</v>
      </c>
      <c r="Q1030">
        <v>-820</v>
      </c>
      <c r="R1030" t="s">
        <v>45</v>
      </c>
      <c r="U1030" t="s">
        <v>226</v>
      </c>
      <c r="V1030" t="s">
        <v>522</v>
      </c>
      <c r="W1030" t="s">
        <v>228</v>
      </c>
      <c r="X1030" t="s">
        <v>229</v>
      </c>
      <c r="Y1030" t="s">
        <v>52</v>
      </c>
      <c r="AD1030" t="s">
        <v>45</v>
      </c>
      <c r="AE1030">
        <v>-820</v>
      </c>
      <c r="AF1030">
        <v>42122984</v>
      </c>
      <c r="AG1030" s="73">
        <v>45358.737546296295</v>
      </c>
      <c r="AH1030" t="s">
        <v>226</v>
      </c>
      <c r="AI1030" t="s">
        <v>522</v>
      </c>
      <c r="AJ1030" t="s">
        <v>228</v>
      </c>
      <c r="AK1030" t="s">
        <v>229</v>
      </c>
      <c r="AL1030" t="s">
        <v>52</v>
      </c>
      <c r="AP1030" t="s">
        <v>230</v>
      </c>
      <c r="AQ1030" t="s">
        <v>231</v>
      </c>
      <c r="AT1030" t="s">
        <v>232</v>
      </c>
      <c r="AU1030">
        <v>-99</v>
      </c>
      <c r="AV1030" t="s">
        <v>45</v>
      </c>
      <c r="AW1030">
        <v>-820</v>
      </c>
      <c r="AX1030">
        <v>42122984</v>
      </c>
      <c r="AY1030" s="73">
        <v>45358.737546296295</v>
      </c>
      <c r="AZ1030" t="s">
        <v>226</v>
      </c>
      <c r="BA1030" t="s">
        <v>522</v>
      </c>
      <c r="BB1030" t="s">
        <v>228</v>
      </c>
      <c r="BC1030" t="s">
        <v>229</v>
      </c>
      <c r="BD1030" t="s">
        <v>52</v>
      </c>
      <c r="BI1030" t="s">
        <v>233</v>
      </c>
      <c r="BJ1030" t="s">
        <v>0</v>
      </c>
      <c r="BK1030">
        <v>42122972</v>
      </c>
      <c r="BN1030" t="s">
        <v>45</v>
      </c>
      <c r="BR1030">
        <v>-820</v>
      </c>
      <c r="BS1030">
        <v>42122984</v>
      </c>
      <c r="BT1030" s="73">
        <v>45358.737546296295</v>
      </c>
      <c r="BU1030" t="s">
        <v>226</v>
      </c>
      <c r="BV1030" t="s">
        <v>522</v>
      </c>
      <c r="BW1030" t="s">
        <v>228</v>
      </c>
      <c r="CH1030" t="s">
        <v>229</v>
      </c>
      <c r="CI1030" t="s">
        <v>52</v>
      </c>
      <c r="CJ1030" t="s">
        <v>226</v>
      </c>
      <c r="CK1030" t="s">
        <v>522</v>
      </c>
      <c r="CL1030" t="s">
        <v>228</v>
      </c>
      <c r="CM1030" t="s">
        <v>234</v>
      </c>
      <c r="CN1030" t="s">
        <v>45</v>
      </c>
      <c r="CO1030">
        <v>-820</v>
      </c>
      <c r="CP1030">
        <v>42122984</v>
      </c>
      <c r="CQ1030" s="73">
        <v>45358.737546296295</v>
      </c>
      <c r="CR1030" t="s">
        <v>229</v>
      </c>
      <c r="CS1030" t="s">
        <v>52</v>
      </c>
      <c r="CU1030" t="s">
        <v>225</v>
      </c>
    </row>
    <row r="1031" spans="1:99">
      <c r="A1031" t="s">
        <v>101</v>
      </c>
      <c r="B1031" t="s">
        <v>98</v>
      </c>
      <c r="J1031" t="s">
        <v>225</v>
      </c>
      <c r="K1031" t="s">
        <v>225</v>
      </c>
      <c r="M1031" s="73">
        <v>45358.737546296295</v>
      </c>
      <c r="N1031">
        <v>42122983</v>
      </c>
      <c r="O1031">
        <v>-41</v>
      </c>
      <c r="P1031" t="s">
        <v>73</v>
      </c>
      <c r="Q1031">
        <v>-41</v>
      </c>
      <c r="R1031" t="s">
        <v>73</v>
      </c>
      <c r="U1031" t="s">
        <v>226</v>
      </c>
      <c r="V1031" t="s">
        <v>522</v>
      </c>
      <c r="W1031" t="s">
        <v>228</v>
      </c>
      <c r="X1031" t="s">
        <v>229</v>
      </c>
      <c r="Y1031" t="s">
        <v>101</v>
      </c>
      <c r="AD1031" t="s">
        <v>73</v>
      </c>
      <c r="AE1031">
        <v>-41</v>
      </c>
      <c r="AF1031">
        <v>42122983</v>
      </c>
      <c r="AG1031" s="73">
        <v>45358.737546296295</v>
      </c>
      <c r="AH1031" t="s">
        <v>226</v>
      </c>
      <c r="AI1031" t="s">
        <v>522</v>
      </c>
      <c r="AJ1031" t="s">
        <v>228</v>
      </c>
      <c r="AK1031" t="s">
        <v>229</v>
      </c>
      <c r="AL1031" t="s">
        <v>101</v>
      </c>
      <c r="AP1031" t="s">
        <v>230</v>
      </c>
      <c r="AQ1031" t="s">
        <v>231</v>
      </c>
      <c r="AT1031" t="s">
        <v>232</v>
      </c>
      <c r="AU1031">
        <v>-99</v>
      </c>
      <c r="AV1031" t="s">
        <v>73</v>
      </c>
      <c r="AW1031">
        <v>-41</v>
      </c>
      <c r="AX1031">
        <v>42122983</v>
      </c>
      <c r="AY1031" s="73">
        <v>45358.737546296295</v>
      </c>
      <c r="AZ1031" t="s">
        <v>226</v>
      </c>
      <c r="BA1031" t="s">
        <v>522</v>
      </c>
      <c r="BB1031" t="s">
        <v>228</v>
      </c>
      <c r="BC1031" t="s">
        <v>229</v>
      </c>
      <c r="BD1031" t="s">
        <v>101</v>
      </c>
      <c r="BI1031" t="s">
        <v>233</v>
      </c>
      <c r="BJ1031" t="s">
        <v>0</v>
      </c>
      <c r="BK1031">
        <v>42122972</v>
      </c>
      <c r="BN1031" t="s">
        <v>73</v>
      </c>
      <c r="BR1031">
        <v>-41</v>
      </c>
      <c r="BS1031">
        <v>42122983</v>
      </c>
      <c r="BT1031" s="73">
        <v>45358.737546296295</v>
      </c>
      <c r="BU1031" t="s">
        <v>226</v>
      </c>
      <c r="BV1031" t="s">
        <v>522</v>
      </c>
      <c r="BW1031" t="s">
        <v>228</v>
      </c>
      <c r="CH1031" t="s">
        <v>229</v>
      </c>
      <c r="CI1031" t="s">
        <v>101</v>
      </c>
      <c r="CJ1031" t="s">
        <v>226</v>
      </c>
      <c r="CK1031" t="s">
        <v>522</v>
      </c>
      <c r="CL1031" t="s">
        <v>228</v>
      </c>
      <c r="CM1031" t="s">
        <v>234</v>
      </c>
      <c r="CN1031" t="s">
        <v>73</v>
      </c>
      <c r="CO1031">
        <v>-41</v>
      </c>
      <c r="CP1031">
        <v>42122983</v>
      </c>
      <c r="CQ1031" s="73">
        <v>45358.737546296295</v>
      </c>
      <c r="CR1031" t="s">
        <v>229</v>
      </c>
      <c r="CS1031" t="s">
        <v>101</v>
      </c>
      <c r="CU1031" t="s">
        <v>225</v>
      </c>
    </row>
    <row r="1032" spans="1:99">
      <c r="A1032" t="s">
        <v>107</v>
      </c>
      <c r="B1032" t="s">
        <v>98</v>
      </c>
      <c r="J1032" t="s">
        <v>225</v>
      </c>
      <c r="K1032" t="s">
        <v>225</v>
      </c>
      <c r="M1032" s="73">
        <v>45358.737546296295</v>
      </c>
      <c r="N1032">
        <v>42122982</v>
      </c>
      <c r="O1032">
        <v>820</v>
      </c>
      <c r="P1032" t="s">
        <v>104</v>
      </c>
      <c r="Q1032">
        <v>820</v>
      </c>
      <c r="R1032" t="s">
        <v>104</v>
      </c>
      <c r="S1032">
        <v>41</v>
      </c>
      <c r="T1032" t="s">
        <v>73</v>
      </c>
      <c r="U1032" t="s">
        <v>226</v>
      </c>
      <c r="V1032" t="s">
        <v>522</v>
      </c>
      <c r="W1032" t="s">
        <v>235</v>
      </c>
      <c r="X1032" t="s">
        <v>229</v>
      </c>
      <c r="Y1032" t="s">
        <v>107</v>
      </c>
      <c r="AD1032" t="s">
        <v>104</v>
      </c>
      <c r="AE1032">
        <v>820</v>
      </c>
      <c r="AF1032">
        <v>42122982</v>
      </c>
      <c r="AG1032" s="73">
        <v>45358.737546296295</v>
      </c>
      <c r="AH1032" t="s">
        <v>226</v>
      </c>
      <c r="AI1032" t="s">
        <v>522</v>
      </c>
      <c r="AJ1032" t="s">
        <v>235</v>
      </c>
      <c r="AK1032" t="s">
        <v>229</v>
      </c>
      <c r="AL1032" t="s">
        <v>107</v>
      </c>
      <c r="AP1032" t="s">
        <v>230</v>
      </c>
      <c r="AQ1032" t="s">
        <v>231</v>
      </c>
      <c r="AT1032" t="s">
        <v>232</v>
      </c>
      <c r="AU1032">
        <v>-99</v>
      </c>
      <c r="AV1032" t="s">
        <v>104</v>
      </c>
      <c r="AW1032">
        <v>820</v>
      </c>
      <c r="AX1032">
        <v>42122982</v>
      </c>
      <c r="AY1032" s="73">
        <v>45358.737546296295</v>
      </c>
      <c r="AZ1032" t="s">
        <v>226</v>
      </c>
      <c r="BA1032" t="s">
        <v>522</v>
      </c>
      <c r="BB1032" t="s">
        <v>235</v>
      </c>
      <c r="BC1032" t="s">
        <v>229</v>
      </c>
      <c r="BD1032" t="s">
        <v>107</v>
      </c>
      <c r="BI1032" t="s">
        <v>233</v>
      </c>
      <c r="BJ1032" t="s">
        <v>0</v>
      </c>
      <c r="BK1032">
        <v>42122972</v>
      </c>
      <c r="BN1032" t="s">
        <v>104</v>
      </c>
      <c r="BO1032">
        <v>42122978</v>
      </c>
      <c r="BR1032">
        <v>820</v>
      </c>
      <c r="BS1032">
        <v>42122982</v>
      </c>
      <c r="BT1032" s="73">
        <v>45358.737546296295</v>
      </c>
      <c r="BU1032" t="s">
        <v>226</v>
      </c>
      <c r="BV1032" t="s">
        <v>522</v>
      </c>
      <c r="BW1032" t="s">
        <v>235</v>
      </c>
      <c r="CH1032" t="s">
        <v>229</v>
      </c>
      <c r="CI1032" t="s">
        <v>107</v>
      </c>
      <c r="CJ1032" t="s">
        <v>226</v>
      </c>
      <c r="CK1032" t="s">
        <v>522</v>
      </c>
      <c r="CL1032" t="s">
        <v>235</v>
      </c>
      <c r="CM1032" t="s">
        <v>236</v>
      </c>
      <c r="CN1032" t="s">
        <v>104</v>
      </c>
      <c r="CO1032">
        <v>820</v>
      </c>
      <c r="CP1032">
        <v>42122982</v>
      </c>
      <c r="CQ1032" s="73">
        <v>45358.737546296295</v>
      </c>
      <c r="CR1032" t="s">
        <v>229</v>
      </c>
      <c r="CS1032" t="s">
        <v>107</v>
      </c>
      <c r="CU1032" t="s">
        <v>225</v>
      </c>
    </row>
    <row r="1033" spans="1:99">
      <c r="A1033" t="s">
        <v>42</v>
      </c>
      <c r="B1033" t="s">
        <v>92</v>
      </c>
      <c r="J1033" t="s">
        <v>225</v>
      </c>
      <c r="K1033" t="s">
        <v>225</v>
      </c>
      <c r="M1033" s="73">
        <v>45358.73641203704</v>
      </c>
      <c r="N1033">
        <v>42122948</v>
      </c>
      <c r="O1033">
        <v>-2200</v>
      </c>
      <c r="P1033" t="s">
        <v>45</v>
      </c>
      <c r="Q1033">
        <v>-2200</v>
      </c>
      <c r="R1033" t="s">
        <v>45</v>
      </c>
      <c r="U1033" t="s">
        <v>226</v>
      </c>
      <c r="V1033" t="s">
        <v>523</v>
      </c>
      <c r="W1033" t="s">
        <v>228</v>
      </c>
      <c r="X1033" t="s">
        <v>229</v>
      </c>
      <c r="Y1033" t="s">
        <v>42</v>
      </c>
      <c r="AD1033" t="s">
        <v>45</v>
      </c>
      <c r="AE1033">
        <v>-2200</v>
      </c>
      <c r="AF1033">
        <v>42122948</v>
      </c>
      <c r="AG1033" s="73">
        <v>45358.73641203704</v>
      </c>
      <c r="AH1033" t="s">
        <v>226</v>
      </c>
      <c r="AI1033" t="s">
        <v>523</v>
      </c>
      <c r="AJ1033" t="s">
        <v>228</v>
      </c>
      <c r="AK1033" t="s">
        <v>229</v>
      </c>
      <c r="AL1033" t="s">
        <v>42</v>
      </c>
      <c r="AP1033" t="s">
        <v>230</v>
      </c>
      <c r="AQ1033" t="s">
        <v>231</v>
      </c>
      <c r="AT1033" t="s">
        <v>232</v>
      </c>
      <c r="AU1033">
        <v>-99</v>
      </c>
      <c r="AV1033" t="s">
        <v>45</v>
      </c>
      <c r="AW1033">
        <v>-2200</v>
      </c>
      <c r="AX1033">
        <v>42122948</v>
      </c>
      <c r="AY1033" s="73">
        <v>45358.73641203704</v>
      </c>
      <c r="AZ1033" t="s">
        <v>226</v>
      </c>
      <c r="BA1033" t="s">
        <v>523</v>
      </c>
      <c r="BB1033" t="s">
        <v>228</v>
      </c>
      <c r="BC1033" t="s">
        <v>229</v>
      </c>
      <c r="BD1033" t="s">
        <v>42</v>
      </c>
      <c r="BI1033" t="s">
        <v>233</v>
      </c>
      <c r="BJ1033" t="s">
        <v>0</v>
      </c>
      <c r="BK1033">
        <v>42122936</v>
      </c>
      <c r="BN1033" t="s">
        <v>45</v>
      </c>
      <c r="BR1033">
        <v>-2200</v>
      </c>
      <c r="BS1033">
        <v>42122948</v>
      </c>
      <c r="BT1033" s="73">
        <v>45358.73641203704</v>
      </c>
      <c r="BU1033" t="s">
        <v>226</v>
      </c>
      <c r="BV1033" t="s">
        <v>523</v>
      </c>
      <c r="BW1033" t="s">
        <v>228</v>
      </c>
      <c r="CH1033" t="s">
        <v>229</v>
      </c>
      <c r="CI1033" t="s">
        <v>42</v>
      </c>
      <c r="CJ1033" t="s">
        <v>226</v>
      </c>
      <c r="CK1033" t="s">
        <v>523</v>
      </c>
      <c r="CL1033" t="s">
        <v>228</v>
      </c>
      <c r="CM1033" t="s">
        <v>234</v>
      </c>
      <c r="CN1033" t="s">
        <v>45</v>
      </c>
      <c r="CO1033">
        <v>-2200</v>
      </c>
      <c r="CP1033">
        <v>42122948</v>
      </c>
      <c r="CQ1033" s="73">
        <v>45358.73641203704</v>
      </c>
      <c r="CR1033" t="s">
        <v>229</v>
      </c>
      <c r="CS1033" t="s">
        <v>42</v>
      </c>
      <c r="CU1033" t="s">
        <v>225</v>
      </c>
    </row>
    <row r="1034" spans="1:99">
      <c r="A1034" t="s">
        <v>99</v>
      </c>
      <c r="B1034" t="s">
        <v>98</v>
      </c>
      <c r="J1034" t="s">
        <v>225</v>
      </c>
      <c r="K1034" t="s">
        <v>225</v>
      </c>
      <c r="M1034" s="73">
        <v>45358.73641203704</v>
      </c>
      <c r="N1034">
        <v>42122947</v>
      </c>
      <c r="O1034">
        <v>-110</v>
      </c>
      <c r="P1034" t="s">
        <v>73</v>
      </c>
      <c r="Q1034">
        <v>-110</v>
      </c>
      <c r="R1034" t="s">
        <v>73</v>
      </c>
      <c r="U1034" t="s">
        <v>226</v>
      </c>
      <c r="V1034" t="s">
        <v>523</v>
      </c>
      <c r="W1034" t="s">
        <v>228</v>
      </c>
      <c r="X1034" t="s">
        <v>229</v>
      </c>
      <c r="Y1034" t="s">
        <v>99</v>
      </c>
      <c r="AD1034" t="s">
        <v>73</v>
      </c>
      <c r="AE1034">
        <v>-110</v>
      </c>
      <c r="AF1034">
        <v>42122947</v>
      </c>
      <c r="AG1034" s="73">
        <v>45358.73641203704</v>
      </c>
      <c r="AH1034" t="s">
        <v>226</v>
      </c>
      <c r="AI1034" t="s">
        <v>523</v>
      </c>
      <c r="AJ1034" t="s">
        <v>228</v>
      </c>
      <c r="AK1034" t="s">
        <v>229</v>
      </c>
      <c r="AL1034" t="s">
        <v>99</v>
      </c>
      <c r="AP1034" t="s">
        <v>230</v>
      </c>
      <c r="AQ1034" t="s">
        <v>231</v>
      </c>
      <c r="AT1034" t="s">
        <v>232</v>
      </c>
      <c r="AU1034">
        <v>-99</v>
      </c>
      <c r="AV1034" t="s">
        <v>73</v>
      </c>
      <c r="AW1034">
        <v>-110</v>
      </c>
      <c r="AX1034">
        <v>42122947</v>
      </c>
      <c r="AY1034" s="73">
        <v>45358.73641203704</v>
      </c>
      <c r="AZ1034" t="s">
        <v>226</v>
      </c>
      <c r="BA1034" t="s">
        <v>523</v>
      </c>
      <c r="BB1034" t="s">
        <v>228</v>
      </c>
      <c r="BC1034" t="s">
        <v>229</v>
      </c>
      <c r="BD1034" t="s">
        <v>99</v>
      </c>
      <c r="BI1034" t="s">
        <v>233</v>
      </c>
      <c r="BJ1034" t="s">
        <v>0</v>
      </c>
      <c r="BK1034">
        <v>42122936</v>
      </c>
      <c r="BN1034" t="s">
        <v>73</v>
      </c>
      <c r="BR1034">
        <v>-110</v>
      </c>
      <c r="BS1034">
        <v>42122947</v>
      </c>
      <c r="BT1034" s="73">
        <v>45358.73641203704</v>
      </c>
      <c r="BU1034" t="s">
        <v>226</v>
      </c>
      <c r="BV1034" t="s">
        <v>523</v>
      </c>
      <c r="BW1034" t="s">
        <v>228</v>
      </c>
      <c r="CH1034" t="s">
        <v>229</v>
      </c>
      <c r="CI1034" t="s">
        <v>99</v>
      </c>
      <c r="CJ1034" t="s">
        <v>226</v>
      </c>
      <c r="CK1034" t="s">
        <v>523</v>
      </c>
      <c r="CL1034" t="s">
        <v>228</v>
      </c>
      <c r="CM1034" t="s">
        <v>234</v>
      </c>
      <c r="CN1034" t="s">
        <v>73</v>
      </c>
      <c r="CO1034">
        <v>-110</v>
      </c>
      <c r="CP1034">
        <v>42122947</v>
      </c>
      <c r="CQ1034" s="73">
        <v>45358.73641203704</v>
      </c>
      <c r="CR1034" t="s">
        <v>229</v>
      </c>
      <c r="CS1034" t="s">
        <v>99</v>
      </c>
      <c r="CU1034" t="s">
        <v>225</v>
      </c>
    </row>
    <row r="1035" spans="1:99">
      <c r="A1035" t="s">
        <v>103</v>
      </c>
      <c r="B1035" t="s">
        <v>98</v>
      </c>
      <c r="J1035" t="s">
        <v>225</v>
      </c>
      <c r="K1035" t="s">
        <v>225</v>
      </c>
      <c r="M1035" s="73">
        <v>45358.73641203704</v>
      </c>
      <c r="N1035">
        <v>42122946</v>
      </c>
      <c r="O1035">
        <v>2200</v>
      </c>
      <c r="P1035" t="s">
        <v>104</v>
      </c>
      <c r="Q1035">
        <v>2200</v>
      </c>
      <c r="R1035" t="s">
        <v>104</v>
      </c>
      <c r="S1035">
        <v>110</v>
      </c>
      <c r="T1035" t="s">
        <v>73</v>
      </c>
      <c r="U1035" t="s">
        <v>226</v>
      </c>
      <c r="V1035" t="s">
        <v>523</v>
      </c>
      <c r="W1035" t="s">
        <v>235</v>
      </c>
      <c r="X1035" t="s">
        <v>229</v>
      </c>
      <c r="Y1035" t="s">
        <v>103</v>
      </c>
      <c r="AD1035" t="s">
        <v>104</v>
      </c>
      <c r="AE1035">
        <v>2200</v>
      </c>
      <c r="AF1035">
        <v>42122946</v>
      </c>
      <c r="AG1035" s="73">
        <v>45358.73641203704</v>
      </c>
      <c r="AH1035" t="s">
        <v>226</v>
      </c>
      <c r="AI1035" t="s">
        <v>523</v>
      </c>
      <c r="AJ1035" t="s">
        <v>235</v>
      </c>
      <c r="AK1035" t="s">
        <v>229</v>
      </c>
      <c r="AL1035" t="s">
        <v>103</v>
      </c>
      <c r="AP1035" t="s">
        <v>230</v>
      </c>
      <c r="AQ1035" t="s">
        <v>231</v>
      </c>
      <c r="AT1035" t="s">
        <v>232</v>
      </c>
      <c r="AU1035">
        <v>-99</v>
      </c>
      <c r="AV1035" t="s">
        <v>104</v>
      </c>
      <c r="AW1035">
        <v>2200</v>
      </c>
      <c r="AX1035">
        <v>42122946</v>
      </c>
      <c r="AY1035" s="73">
        <v>45358.73641203704</v>
      </c>
      <c r="AZ1035" t="s">
        <v>226</v>
      </c>
      <c r="BA1035" t="s">
        <v>523</v>
      </c>
      <c r="BB1035" t="s">
        <v>235</v>
      </c>
      <c r="BC1035" t="s">
        <v>229</v>
      </c>
      <c r="BD1035" t="s">
        <v>103</v>
      </c>
      <c r="BI1035" t="s">
        <v>233</v>
      </c>
      <c r="BJ1035" t="s">
        <v>0</v>
      </c>
      <c r="BK1035">
        <v>42122936</v>
      </c>
      <c r="BN1035" t="s">
        <v>104</v>
      </c>
      <c r="BO1035">
        <v>42122942</v>
      </c>
      <c r="BR1035">
        <v>2200</v>
      </c>
      <c r="BS1035">
        <v>42122946</v>
      </c>
      <c r="BT1035" s="73">
        <v>45358.73641203704</v>
      </c>
      <c r="BU1035" t="s">
        <v>226</v>
      </c>
      <c r="BV1035" t="s">
        <v>523</v>
      </c>
      <c r="BW1035" t="s">
        <v>235</v>
      </c>
      <c r="CH1035" t="s">
        <v>229</v>
      </c>
      <c r="CI1035" t="s">
        <v>103</v>
      </c>
      <c r="CJ1035" t="s">
        <v>226</v>
      </c>
      <c r="CK1035" t="s">
        <v>523</v>
      </c>
      <c r="CL1035" t="s">
        <v>235</v>
      </c>
      <c r="CM1035" t="s">
        <v>236</v>
      </c>
      <c r="CN1035" t="s">
        <v>104</v>
      </c>
      <c r="CO1035">
        <v>2200</v>
      </c>
      <c r="CP1035">
        <v>42122946</v>
      </c>
      <c r="CQ1035" s="73">
        <v>45358.73641203704</v>
      </c>
      <c r="CR1035" t="s">
        <v>229</v>
      </c>
      <c r="CS1035" t="s">
        <v>103</v>
      </c>
      <c r="CU1035" t="s">
        <v>225</v>
      </c>
    </row>
    <row r="1036" spans="1:99">
      <c r="A1036" t="s">
        <v>113</v>
      </c>
      <c r="B1036" t="s">
        <v>90</v>
      </c>
      <c r="J1036" t="s">
        <v>225</v>
      </c>
      <c r="K1036" t="s">
        <v>225</v>
      </c>
      <c r="M1036" s="73">
        <v>45358.590289351851</v>
      </c>
      <c r="N1036">
        <v>42129907</v>
      </c>
      <c r="O1036">
        <v>-300</v>
      </c>
      <c r="P1036" t="s">
        <v>115</v>
      </c>
      <c r="Q1036">
        <v>-300</v>
      </c>
      <c r="R1036" t="s">
        <v>115</v>
      </c>
      <c r="U1036" t="s">
        <v>226</v>
      </c>
      <c r="V1036" t="s">
        <v>520</v>
      </c>
      <c r="W1036" t="s">
        <v>228</v>
      </c>
      <c r="X1036" t="s">
        <v>229</v>
      </c>
      <c r="Y1036" t="s">
        <v>113</v>
      </c>
      <c r="AD1036" t="s">
        <v>115</v>
      </c>
      <c r="AE1036">
        <v>-300</v>
      </c>
      <c r="AF1036">
        <v>42129907</v>
      </c>
      <c r="AG1036" s="73">
        <v>45358.590289351851</v>
      </c>
      <c r="AH1036" t="s">
        <v>226</v>
      </c>
      <c r="AI1036" t="s">
        <v>520</v>
      </c>
      <c r="AJ1036" t="s">
        <v>228</v>
      </c>
      <c r="AK1036" t="s">
        <v>229</v>
      </c>
      <c r="AL1036" t="s">
        <v>113</v>
      </c>
      <c r="AP1036" t="s">
        <v>230</v>
      </c>
      <c r="AQ1036" t="s">
        <v>231</v>
      </c>
      <c r="AT1036" t="s">
        <v>232</v>
      </c>
      <c r="AU1036">
        <v>-99</v>
      </c>
      <c r="AV1036" t="s">
        <v>115</v>
      </c>
      <c r="AW1036">
        <v>-300</v>
      </c>
      <c r="AX1036">
        <v>42129907</v>
      </c>
      <c r="AY1036" s="73">
        <v>45358.590289351851</v>
      </c>
      <c r="AZ1036" t="s">
        <v>226</v>
      </c>
      <c r="BA1036" t="s">
        <v>520</v>
      </c>
      <c r="BB1036" t="s">
        <v>228</v>
      </c>
      <c r="BC1036" t="s">
        <v>229</v>
      </c>
      <c r="BD1036" t="s">
        <v>113</v>
      </c>
      <c r="BI1036" t="s">
        <v>233</v>
      </c>
      <c r="BJ1036" t="s">
        <v>0</v>
      </c>
      <c r="BK1036">
        <v>42129881</v>
      </c>
      <c r="BN1036" t="s">
        <v>115</v>
      </c>
      <c r="BR1036">
        <v>-300</v>
      </c>
      <c r="BS1036">
        <v>42129907</v>
      </c>
      <c r="BT1036" s="73">
        <v>45358.590289351851</v>
      </c>
      <c r="BU1036" t="s">
        <v>226</v>
      </c>
      <c r="BV1036" t="s">
        <v>520</v>
      </c>
      <c r="BW1036" t="s">
        <v>228</v>
      </c>
      <c r="CH1036" t="s">
        <v>229</v>
      </c>
      <c r="CI1036" t="s">
        <v>113</v>
      </c>
      <c r="CJ1036" t="s">
        <v>226</v>
      </c>
      <c r="CK1036" t="s">
        <v>520</v>
      </c>
      <c r="CL1036" t="s">
        <v>228</v>
      </c>
      <c r="CM1036" t="s">
        <v>234</v>
      </c>
      <c r="CN1036" t="s">
        <v>115</v>
      </c>
      <c r="CO1036">
        <v>-300</v>
      </c>
      <c r="CP1036">
        <v>42129907</v>
      </c>
      <c r="CQ1036" s="73">
        <v>45358.590289351851</v>
      </c>
      <c r="CR1036" t="s">
        <v>229</v>
      </c>
      <c r="CS1036" t="s">
        <v>113</v>
      </c>
      <c r="CU1036" t="s">
        <v>225</v>
      </c>
    </row>
    <row r="1037" spans="1:99">
      <c r="A1037" t="s">
        <v>129</v>
      </c>
      <c r="B1037" t="s">
        <v>90</v>
      </c>
      <c r="J1037" t="s">
        <v>225</v>
      </c>
      <c r="K1037" t="s">
        <v>225</v>
      </c>
      <c r="M1037" s="73">
        <v>45358.590289351851</v>
      </c>
      <c r="N1037">
        <v>42129906</v>
      </c>
      <c r="O1037">
        <v>-6</v>
      </c>
      <c r="P1037" t="s">
        <v>73</v>
      </c>
      <c r="Q1037">
        <v>-6</v>
      </c>
      <c r="R1037" t="s">
        <v>73</v>
      </c>
      <c r="U1037" t="s">
        <v>226</v>
      </c>
      <c r="V1037" t="s">
        <v>520</v>
      </c>
      <c r="W1037" t="s">
        <v>228</v>
      </c>
      <c r="X1037" t="s">
        <v>229</v>
      </c>
      <c r="Y1037" t="s">
        <v>129</v>
      </c>
      <c r="AD1037" t="s">
        <v>73</v>
      </c>
      <c r="AE1037">
        <v>-6</v>
      </c>
      <c r="AF1037">
        <v>42129906</v>
      </c>
      <c r="AG1037" s="73">
        <v>45358.590289351851</v>
      </c>
      <c r="AH1037" t="s">
        <v>226</v>
      </c>
      <c r="AI1037" t="s">
        <v>520</v>
      </c>
      <c r="AJ1037" t="s">
        <v>228</v>
      </c>
      <c r="AK1037" t="s">
        <v>229</v>
      </c>
      <c r="AL1037" t="s">
        <v>129</v>
      </c>
      <c r="AP1037" t="s">
        <v>230</v>
      </c>
      <c r="AQ1037" t="s">
        <v>231</v>
      </c>
      <c r="AT1037" t="s">
        <v>232</v>
      </c>
      <c r="AU1037">
        <v>-99</v>
      </c>
      <c r="AV1037" t="s">
        <v>73</v>
      </c>
      <c r="AW1037">
        <v>-6</v>
      </c>
      <c r="AX1037">
        <v>42129906</v>
      </c>
      <c r="AY1037" s="73">
        <v>45358.590289351851</v>
      </c>
      <c r="AZ1037" t="s">
        <v>226</v>
      </c>
      <c r="BA1037" t="s">
        <v>520</v>
      </c>
      <c r="BB1037" t="s">
        <v>228</v>
      </c>
      <c r="BC1037" t="s">
        <v>229</v>
      </c>
      <c r="BD1037" t="s">
        <v>129</v>
      </c>
      <c r="BI1037" t="s">
        <v>233</v>
      </c>
      <c r="BJ1037" t="s">
        <v>0</v>
      </c>
      <c r="BK1037">
        <v>42129881</v>
      </c>
      <c r="BN1037" t="s">
        <v>73</v>
      </c>
      <c r="BR1037">
        <v>-6</v>
      </c>
      <c r="BS1037">
        <v>42129906</v>
      </c>
      <c r="BT1037" s="73">
        <v>45358.590289351851</v>
      </c>
      <c r="BU1037" t="s">
        <v>226</v>
      </c>
      <c r="BV1037" t="s">
        <v>520</v>
      </c>
      <c r="BW1037" t="s">
        <v>228</v>
      </c>
      <c r="CH1037" t="s">
        <v>229</v>
      </c>
      <c r="CI1037" t="s">
        <v>129</v>
      </c>
      <c r="CJ1037" t="s">
        <v>226</v>
      </c>
      <c r="CK1037" t="s">
        <v>520</v>
      </c>
      <c r="CL1037" t="s">
        <v>228</v>
      </c>
      <c r="CM1037" t="s">
        <v>234</v>
      </c>
      <c r="CN1037" t="s">
        <v>73</v>
      </c>
      <c r="CO1037">
        <v>-6</v>
      </c>
      <c r="CP1037">
        <v>42129906</v>
      </c>
      <c r="CQ1037" s="73">
        <v>45358.590289351851</v>
      </c>
      <c r="CR1037" t="s">
        <v>229</v>
      </c>
      <c r="CS1037" t="s">
        <v>129</v>
      </c>
      <c r="CU1037" t="s">
        <v>225</v>
      </c>
    </row>
    <row r="1038" spans="1:99">
      <c r="A1038" t="s">
        <v>99</v>
      </c>
      <c r="B1038" t="s">
        <v>98</v>
      </c>
      <c r="J1038" t="s">
        <v>225</v>
      </c>
      <c r="K1038" t="s">
        <v>225</v>
      </c>
      <c r="M1038" s="73">
        <v>45358.590277777781</v>
      </c>
      <c r="N1038">
        <v>42120148</v>
      </c>
      <c r="O1038">
        <v>1411.89</v>
      </c>
      <c r="P1038" t="s">
        <v>73</v>
      </c>
      <c r="Q1038">
        <v>1411.89</v>
      </c>
      <c r="R1038" t="s">
        <v>73</v>
      </c>
      <c r="U1038" t="s">
        <v>226</v>
      </c>
      <c r="V1038" t="s">
        <v>524</v>
      </c>
      <c r="W1038" t="s">
        <v>235</v>
      </c>
      <c r="X1038" t="s">
        <v>229</v>
      </c>
      <c r="Y1038" t="s">
        <v>99</v>
      </c>
      <c r="AD1038" t="s">
        <v>73</v>
      </c>
      <c r="AE1038">
        <v>1411.89</v>
      </c>
      <c r="AF1038">
        <v>42120148</v>
      </c>
      <c r="AG1038" s="73">
        <v>45358.590277777781</v>
      </c>
      <c r="AH1038" t="s">
        <v>226</v>
      </c>
      <c r="AI1038" t="s">
        <v>524</v>
      </c>
      <c r="AJ1038" t="s">
        <v>235</v>
      </c>
      <c r="AK1038" t="s">
        <v>229</v>
      </c>
      <c r="AL1038" t="s">
        <v>99</v>
      </c>
      <c r="AP1038" t="s">
        <v>230</v>
      </c>
      <c r="AQ1038" t="s">
        <v>231</v>
      </c>
      <c r="AT1038" t="s">
        <v>232</v>
      </c>
      <c r="AU1038">
        <v>-99</v>
      </c>
      <c r="AV1038" t="s">
        <v>73</v>
      </c>
      <c r="AW1038">
        <v>1411.89</v>
      </c>
      <c r="AX1038">
        <v>42120148</v>
      </c>
      <c r="AY1038" s="73">
        <v>45358.590277777781</v>
      </c>
      <c r="AZ1038" t="s">
        <v>226</v>
      </c>
      <c r="BA1038" t="s">
        <v>524</v>
      </c>
      <c r="BB1038" t="s">
        <v>235</v>
      </c>
      <c r="BC1038" t="s">
        <v>229</v>
      </c>
      <c r="BD1038" t="s">
        <v>99</v>
      </c>
      <c r="BI1038" t="s">
        <v>233</v>
      </c>
      <c r="BJ1038" t="s">
        <v>0</v>
      </c>
      <c r="BK1038">
        <v>42120144</v>
      </c>
      <c r="BN1038" t="s">
        <v>73</v>
      </c>
      <c r="BO1038">
        <v>42120146</v>
      </c>
      <c r="BR1038">
        <v>1411.89</v>
      </c>
      <c r="BS1038">
        <v>42120148</v>
      </c>
      <c r="BT1038" s="73">
        <v>45358.590277777781</v>
      </c>
      <c r="BU1038" t="s">
        <v>226</v>
      </c>
      <c r="BV1038" t="s">
        <v>524</v>
      </c>
      <c r="BW1038" t="s">
        <v>235</v>
      </c>
      <c r="CH1038" t="s">
        <v>229</v>
      </c>
      <c r="CI1038" t="s">
        <v>99</v>
      </c>
      <c r="CJ1038" t="s">
        <v>226</v>
      </c>
      <c r="CK1038" t="s">
        <v>524</v>
      </c>
      <c r="CL1038" t="s">
        <v>235</v>
      </c>
      <c r="CM1038" t="s">
        <v>236</v>
      </c>
      <c r="CN1038" t="s">
        <v>73</v>
      </c>
      <c r="CO1038">
        <v>1411.89</v>
      </c>
      <c r="CP1038">
        <v>42120148</v>
      </c>
      <c r="CQ1038" s="73">
        <v>45358.590277777781</v>
      </c>
      <c r="CR1038" t="s">
        <v>229</v>
      </c>
      <c r="CS1038" t="s">
        <v>99</v>
      </c>
      <c r="CU1038" t="s">
        <v>225</v>
      </c>
    </row>
    <row r="1039" spans="1:99">
      <c r="A1039" t="s">
        <v>71</v>
      </c>
      <c r="B1039" t="s">
        <v>77</v>
      </c>
      <c r="J1039" t="s">
        <v>225</v>
      </c>
      <c r="K1039" t="s">
        <v>225</v>
      </c>
      <c r="M1039" s="73">
        <v>45358.590277777781</v>
      </c>
      <c r="N1039">
        <v>42120141</v>
      </c>
      <c r="O1039">
        <v>1.27</v>
      </c>
      <c r="P1039" t="s">
        <v>73</v>
      </c>
      <c r="Q1039">
        <v>1.27</v>
      </c>
      <c r="R1039" t="s">
        <v>73</v>
      </c>
      <c r="U1039" t="s">
        <v>226</v>
      </c>
      <c r="V1039" t="s">
        <v>524</v>
      </c>
      <c r="W1039" t="s">
        <v>237</v>
      </c>
      <c r="X1039" t="s">
        <v>229</v>
      </c>
      <c r="Y1039" t="s">
        <v>71</v>
      </c>
      <c r="AD1039" t="s">
        <v>73</v>
      </c>
      <c r="AE1039">
        <v>1.27</v>
      </c>
      <c r="AF1039">
        <v>42120141</v>
      </c>
      <c r="AG1039" s="73">
        <v>45358.590277777781</v>
      </c>
      <c r="AH1039" t="s">
        <v>226</v>
      </c>
      <c r="AI1039" t="s">
        <v>524</v>
      </c>
      <c r="AJ1039" t="s">
        <v>237</v>
      </c>
      <c r="AK1039" t="s">
        <v>229</v>
      </c>
      <c r="AL1039" t="s">
        <v>71</v>
      </c>
      <c r="AP1039" t="s">
        <v>230</v>
      </c>
      <c r="AQ1039" t="s">
        <v>231</v>
      </c>
      <c r="AT1039" t="s">
        <v>232</v>
      </c>
      <c r="AU1039">
        <v>-99</v>
      </c>
      <c r="AV1039" t="s">
        <v>73</v>
      </c>
      <c r="AW1039">
        <v>1.27</v>
      </c>
      <c r="AX1039">
        <v>42120141</v>
      </c>
      <c r="AY1039" s="73">
        <v>45358.590277777781</v>
      </c>
      <c r="AZ1039" t="s">
        <v>226</v>
      </c>
      <c r="BA1039" t="s">
        <v>524</v>
      </c>
      <c r="BB1039" t="s">
        <v>237</v>
      </c>
      <c r="BC1039" t="s">
        <v>229</v>
      </c>
      <c r="BD1039" t="s">
        <v>71</v>
      </c>
      <c r="BI1039" t="s">
        <v>233</v>
      </c>
      <c r="BJ1039" t="s">
        <v>0</v>
      </c>
      <c r="BK1039">
        <v>42120137</v>
      </c>
      <c r="BN1039" t="s">
        <v>73</v>
      </c>
      <c r="BO1039">
        <v>42120139</v>
      </c>
      <c r="BR1039">
        <v>1.27</v>
      </c>
      <c r="BS1039">
        <v>42120141</v>
      </c>
      <c r="BT1039" s="73">
        <v>45358.590277777781</v>
      </c>
      <c r="BU1039" t="s">
        <v>226</v>
      </c>
      <c r="BV1039" t="s">
        <v>524</v>
      </c>
      <c r="BW1039" t="s">
        <v>237</v>
      </c>
      <c r="CH1039" t="s">
        <v>229</v>
      </c>
      <c r="CI1039" t="s">
        <v>71</v>
      </c>
      <c r="CJ1039" t="s">
        <v>226</v>
      </c>
      <c r="CK1039" t="s">
        <v>524</v>
      </c>
      <c r="CL1039" t="s">
        <v>237</v>
      </c>
      <c r="CM1039" t="s">
        <v>236</v>
      </c>
      <c r="CN1039" t="s">
        <v>73</v>
      </c>
      <c r="CO1039">
        <v>1.27</v>
      </c>
      <c r="CP1039">
        <v>42120141</v>
      </c>
      <c r="CQ1039" s="73">
        <v>45358.590277777781</v>
      </c>
      <c r="CR1039" t="s">
        <v>229</v>
      </c>
      <c r="CS1039" t="s">
        <v>71</v>
      </c>
      <c r="CU1039" t="s">
        <v>225</v>
      </c>
    </row>
    <row r="1040" spans="1:99">
      <c r="A1040" t="s">
        <v>127</v>
      </c>
      <c r="B1040" t="s">
        <v>90</v>
      </c>
      <c r="J1040" t="s">
        <v>225</v>
      </c>
      <c r="K1040" t="s">
        <v>225</v>
      </c>
      <c r="M1040" s="73">
        <v>45358.590277777781</v>
      </c>
      <c r="N1040">
        <v>42120134</v>
      </c>
      <c r="O1040">
        <v>-657</v>
      </c>
      <c r="P1040" t="s">
        <v>73</v>
      </c>
      <c r="Q1040">
        <v>-657</v>
      </c>
      <c r="R1040" t="s">
        <v>73</v>
      </c>
      <c r="U1040" t="s">
        <v>226</v>
      </c>
      <c r="V1040" t="s">
        <v>524</v>
      </c>
      <c r="W1040" t="s">
        <v>228</v>
      </c>
      <c r="X1040" t="s">
        <v>229</v>
      </c>
      <c r="Y1040" t="s">
        <v>127</v>
      </c>
      <c r="AD1040" t="s">
        <v>73</v>
      </c>
      <c r="AE1040">
        <v>-657</v>
      </c>
      <c r="AF1040">
        <v>42120134</v>
      </c>
      <c r="AG1040" s="73">
        <v>45358.590277777781</v>
      </c>
      <c r="AH1040" t="s">
        <v>226</v>
      </c>
      <c r="AI1040" t="s">
        <v>524</v>
      </c>
      <c r="AJ1040" t="s">
        <v>228</v>
      </c>
      <c r="AK1040" t="s">
        <v>229</v>
      </c>
      <c r="AL1040" t="s">
        <v>127</v>
      </c>
      <c r="AP1040" t="s">
        <v>230</v>
      </c>
      <c r="AQ1040" t="s">
        <v>231</v>
      </c>
      <c r="AT1040" t="s">
        <v>232</v>
      </c>
      <c r="AU1040">
        <v>-99</v>
      </c>
      <c r="AV1040" t="s">
        <v>73</v>
      </c>
      <c r="AW1040">
        <v>-657</v>
      </c>
      <c r="AX1040">
        <v>42120134</v>
      </c>
      <c r="AY1040" s="73">
        <v>45358.590277777781</v>
      </c>
      <c r="AZ1040" t="s">
        <v>226</v>
      </c>
      <c r="BA1040" t="s">
        <v>524</v>
      </c>
      <c r="BB1040" t="s">
        <v>228</v>
      </c>
      <c r="BC1040" t="s">
        <v>229</v>
      </c>
      <c r="BD1040" t="s">
        <v>127</v>
      </c>
      <c r="BI1040" t="s">
        <v>233</v>
      </c>
      <c r="BJ1040" t="s">
        <v>0</v>
      </c>
      <c r="BK1040">
        <v>42120130</v>
      </c>
      <c r="BN1040" t="s">
        <v>73</v>
      </c>
      <c r="BR1040">
        <v>-657</v>
      </c>
      <c r="BS1040">
        <v>42120134</v>
      </c>
      <c r="BT1040" s="73">
        <v>45358.590277777781</v>
      </c>
      <c r="BU1040" t="s">
        <v>226</v>
      </c>
      <c r="BV1040" t="s">
        <v>524</v>
      </c>
      <c r="BW1040" t="s">
        <v>228</v>
      </c>
      <c r="CH1040" t="s">
        <v>229</v>
      </c>
      <c r="CI1040" t="s">
        <v>127</v>
      </c>
      <c r="CJ1040" t="s">
        <v>226</v>
      </c>
      <c r="CK1040" t="s">
        <v>524</v>
      </c>
      <c r="CL1040" t="s">
        <v>228</v>
      </c>
      <c r="CM1040" t="s">
        <v>234</v>
      </c>
      <c r="CN1040" t="s">
        <v>73</v>
      </c>
      <c r="CO1040">
        <v>-657</v>
      </c>
      <c r="CP1040">
        <v>42120134</v>
      </c>
      <c r="CQ1040" s="73">
        <v>45358.590277777781</v>
      </c>
      <c r="CR1040" t="s">
        <v>229</v>
      </c>
      <c r="CS1040" t="s">
        <v>127</v>
      </c>
      <c r="CU1040" t="s">
        <v>225</v>
      </c>
    </row>
    <row r="1041" spans="1:99">
      <c r="A1041" t="s">
        <v>131</v>
      </c>
      <c r="B1041" t="s">
        <v>90</v>
      </c>
      <c r="J1041" t="s">
        <v>225</v>
      </c>
      <c r="K1041" t="s">
        <v>225</v>
      </c>
      <c r="M1041" s="73">
        <v>45358.590277777781</v>
      </c>
      <c r="N1041">
        <v>42120127</v>
      </c>
      <c r="O1041">
        <v>-160.6</v>
      </c>
      <c r="P1041" t="s">
        <v>73</v>
      </c>
      <c r="Q1041">
        <v>-160.6</v>
      </c>
      <c r="R1041" t="s">
        <v>73</v>
      </c>
      <c r="U1041" t="s">
        <v>226</v>
      </c>
      <c r="V1041" t="s">
        <v>524</v>
      </c>
      <c r="W1041" t="s">
        <v>228</v>
      </c>
      <c r="X1041" t="s">
        <v>229</v>
      </c>
      <c r="Y1041" t="s">
        <v>131</v>
      </c>
      <c r="AD1041" t="s">
        <v>73</v>
      </c>
      <c r="AE1041">
        <v>-160.6</v>
      </c>
      <c r="AF1041">
        <v>42120127</v>
      </c>
      <c r="AG1041" s="73">
        <v>45358.590277777781</v>
      </c>
      <c r="AH1041" t="s">
        <v>226</v>
      </c>
      <c r="AI1041" t="s">
        <v>524</v>
      </c>
      <c r="AJ1041" t="s">
        <v>228</v>
      </c>
      <c r="AK1041" t="s">
        <v>229</v>
      </c>
      <c r="AL1041" t="s">
        <v>131</v>
      </c>
      <c r="AP1041" t="s">
        <v>230</v>
      </c>
      <c r="AQ1041" t="s">
        <v>231</v>
      </c>
      <c r="AT1041" t="s">
        <v>232</v>
      </c>
      <c r="AU1041">
        <v>-99</v>
      </c>
      <c r="AV1041" t="s">
        <v>73</v>
      </c>
      <c r="AW1041">
        <v>-160.6</v>
      </c>
      <c r="AX1041">
        <v>42120127</v>
      </c>
      <c r="AY1041" s="73">
        <v>45358.590277777781</v>
      </c>
      <c r="AZ1041" t="s">
        <v>226</v>
      </c>
      <c r="BA1041" t="s">
        <v>524</v>
      </c>
      <c r="BB1041" t="s">
        <v>228</v>
      </c>
      <c r="BC1041" t="s">
        <v>229</v>
      </c>
      <c r="BD1041" t="s">
        <v>131</v>
      </c>
      <c r="BI1041" t="s">
        <v>233</v>
      </c>
      <c r="BJ1041" t="s">
        <v>0</v>
      </c>
      <c r="BK1041">
        <v>42120123</v>
      </c>
      <c r="BN1041" t="s">
        <v>73</v>
      </c>
      <c r="BR1041">
        <v>-160.6</v>
      </c>
      <c r="BS1041">
        <v>42120127</v>
      </c>
      <c r="BT1041" s="73">
        <v>45358.590277777781</v>
      </c>
      <c r="BU1041" t="s">
        <v>226</v>
      </c>
      <c r="BV1041" t="s">
        <v>524</v>
      </c>
      <c r="BW1041" t="s">
        <v>228</v>
      </c>
      <c r="CH1041" t="s">
        <v>229</v>
      </c>
      <c r="CI1041" t="s">
        <v>131</v>
      </c>
      <c r="CJ1041" t="s">
        <v>226</v>
      </c>
      <c r="CK1041" t="s">
        <v>524</v>
      </c>
      <c r="CL1041" t="s">
        <v>228</v>
      </c>
      <c r="CM1041" t="s">
        <v>234</v>
      </c>
      <c r="CN1041" t="s">
        <v>73</v>
      </c>
      <c r="CO1041">
        <v>-160.6</v>
      </c>
      <c r="CP1041">
        <v>42120127</v>
      </c>
      <c r="CQ1041" s="73">
        <v>45358.590277777781</v>
      </c>
      <c r="CR1041" t="s">
        <v>229</v>
      </c>
      <c r="CS1041" t="s">
        <v>131</v>
      </c>
      <c r="CU1041" t="s">
        <v>225</v>
      </c>
    </row>
    <row r="1042" spans="1:99">
      <c r="A1042" t="s">
        <v>133</v>
      </c>
      <c r="B1042" t="s">
        <v>90</v>
      </c>
      <c r="J1042" t="s">
        <v>225</v>
      </c>
      <c r="K1042" t="s">
        <v>225</v>
      </c>
      <c r="M1042" s="73">
        <v>45358.590277777781</v>
      </c>
      <c r="N1042">
        <v>42120120</v>
      </c>
      <c r="O1042">
        <v>-584</v>
      </c>
      <c r="P1042" t="s">
        <v>73</v>
      </c>
      <c r="Q1042">
        <v>-584</v>
      </c>
      <c r="R1042" t="s">
        <v>73</v>
      </c>
      <c r="U1042" t="s">
        <v>226</v>
      </c>
      <c r="V1042" t="s">
        <v>524</v>
      </c>
      <c r="W1042" t="s">
        <v>228</v>
      </c>
      <c r="X1042" t="s">
        <v>229</v>
      </c>
      <c r="Y1042" t="s">
        <v>133</v>
      </c>
      <c r="AD1042" t="s">
        <v>73</v>
      </c>
      <c r="AE1042">
        <v>-584</v>
      </c>
      <c r="AF1042">
        <v>42120120</v>
      </c>
      <c r="AG1042" s="73">
        <v>45358.590277777781</v>
      </c>
      <c r="AH1042" t="s">
        <v>226</v>
      </c>
      <c r="AI1042" t="s">
        <v>524</v>
      </c>
      <c r="AJ1042" t="s">
        <v>228</v>
      </c>
      <c r="AK1042" t="s">
        <v>229</v>
      </c>
      <c r="AL1042" t="s">
        <v>133</v>
      </c>
      <c r="AP1042" t="s">
        <v>230</v>
      </c>
      <c r="AQ1042" t="s">
        <v>231</v>
      </c>
      <c r="AT1042" t="s">
        <v>232</v>
      </c>
      <c r="AU1042">
        <v>-99</v>
      </c>
      <c r="AV1042" t="s">
        <v>73</v>
      </c>
      <c r="AW1042">
        <v>-584</v>
      </c>
      <c r="AX1042">
        <v>42120120</v>
      </c>
      <c r="AY1042" s="73">
        <v>45358.590277777781</v>
      </c>
      <c r="AZ1042" t="s">
        <v>226</v>
      </c>
      <c r="BA1042" t="s">
        <v>524</v>
      </c>
      <c r="BB1042" t="s">
        <v>228</v>
      </c>
      <c r="BC1042" t="s">
        <v>229</v>
      </c>
      <c r="BD1042" t="s">
        <v>133</v>
      </c>
      <c r="BI1042" t="s">
        <v>233</v>
      </c>
      <c r="BJ1042" t="s">
        <v>0</v>
      </c>
      <c r="BK1042">
        <v>42120116</v>
      </c>
      <c r="BN1042" t="s">
        <v>73</v>
      </c>
      <c r="BR1042">
        <v>-584</v>
      </c>
      <c r="BS1042">
        <v>42120120</v>
      </c>
      <c r="BT1042" s="73">
        <v>45358.590277777781</v>
      </c>
      <c r="BU1042" t="s">
        <v>226</v>
      </c>
      <c r="BV1042" t="s">
        <v>524</v>
      </c>
      <c r="BW1042" t="s">
        <v>228</v>
      </c>
      <c r="CH1042" t="s">
        <v>229</v>
      </c>
      <c r="CI1042" t="s">
        <v>133</v>
      </c>
      <c r="CJ1042" t="s">
        <v>226</v>
      </c>
      <c r="CK1042" t="s">
        <v>524</v>
      </c>
      <c r="CL1042" t="s">
        <v>228</v>
      </c>
      <c r="CM1042" t="s">
        <v>234</v>
      </c>
      <c r="CN1042" t="s">
        <v>73</v>
      </c>
      <c r="CO1042">
        <v>-584</v>
      </c>
      <c r="CP1042">
        <v>42120120</v>
      </c>
      <c r="CQ1042" s="73">
        <v>45358.590277777781</v>
      </c>
      <c r="CR1042" t="s">
        <v>229</v>
      </c>
      <c r="CS1042" t="s">
        <v>133</v>
      </c>
      <c r="CU1042" t="s">
        <v>225</v>
      </c>
    </row>
    <row r="1043" spans="1:99">
      <c r="A1043" t="s">
        <v>87</v>
      </c>
      <c r="B1043" t="s">
        <v>90</v>
      </c>
      <c r="J1043" t="s">
        <v>225</v>
      </c>
      <c r="K1043" t="s">
        <v>225</v>
      </c>
      <c r="M1043" s="73">
        <v>45358.590277777781</v>
      </c>
      <c r="N1043">
        <v>42120113</v>
      </c>
      <c r="O1043">
        <v>-58.4</v>
      </c>
      <c r="P1043" t="s">
        <v>73</v>
      </c>
      <c r="Q1043">
        <v>-58.4</v>
      </c>
      <c r="R1043" t="s">
        <v>73</v>
      </c>
      <c r="U1043" t="s">
        <v>226</v>
      </c>
      <c r="V1043" t="s">
        <v>524</v>
      </c>
      <c r="W1043" t="s">
        <v>228</v>
      </c>
      <c r="X1043" t="s">
        <v>229</v>
      </c>
      <c r="Y1043" t="s">
        <v>87</v>
      </c>
      <c r="AD1043" t="s">
        <v>73</v>
      </c>
      <c r="AE1043">
        <v>-58.4</v>
      </c>
      <c r="AF1043">
        <v>42120113</v>
      </c>
      <c r="AG1043" s="73">
        <v>45358.590277777781</v>
      </c>
      <c r="AH1043" t="s">
        <v>226</v>
      </c>
      <c r="AI1043" t="s">
        <v>524</v>
      </c>
      <c r="AJ1043" t="s">
        <v>228</v>
      </c>
      <c r="AK1043" t="s">
        <v>229</v>
      </c>
      <c r="AL1043" t="s">
        <v>87</v>
      </c>
      <c r="AP1043" t="s">
        <v>230</v>
      </c>
      <c r="AQ1043" t="s">
        <v>231</v>
      </c>
      <c r="AT1043" t="s">
        <v>232</v>
      </c>
      <c r="AU1043">
        <v>-99</v>
      </c>
      <c r="AV1043" t="s">
        <v>73</v>
      </c>
      <c r="AW1043">
        <v>-58.4</v>
      </c>
      <c r="AX1043">
        <v>42120113</v>
      </c>
      <c r="AY1043" s="73">
        <v>45358.590277777781</v>
      </c>
      <c r="AZ1043" t="s">
        <v>226</v>
      </c>
      <c r="BA1043" t="s">
        <v>524</v>
      </c>
      <c r="BB1043" t="s">
        <v>228</v>
      </c>
      <c r="BC1043" t="s">
        <v>229</v>
      </c>
      <c r="BD1043" t="s">
        <v>87</v>
      </c>
      <c r="BI1043" t="s">
        <v>233</v>
      </c>
      <c r="BJ1043" t="s">
        <v>0</v>
      </c>
      <c r="BK1043">
        <v>42120109</v>
      </c>
      <c r="BN1043" t="s">
        <v>73</v>
      </c>
      <c r="BR1043">
        <v>-58.4</v>
      </c>
      <c r="BS1043">
        <v>42120113</v>
      </c>
      <c r="BT1043" s="73">
        <v>45358.590277777781</v>
      </c>
      <c r="BU1043" t="s">
        <v>226</v>
      </c>
      <c r="BV1043" t="s">
        <v>524</v>
      </c>
      <c r="BW1043" t="s">
        <v>228</v>
      </c>
      <c r="CH1043" t="s">
        <v>229</v>
      </c>
      <c r="CI1043" t="s">
        <v>87</v>
      </c>
      <c r="CJ1043" t="s">
        <v>226</v>
      </c>
      <c r="CK1043" t="s">
        <v>524</v>
      </c>
      <c r="CL1043" t="s">
        <v>228</v>
      </c>
      <c r="CM1043" t="s">
        <v>234</v>
      </c>
      <c r="CN1043" t="s">
        <v>73</v>
      </c>
      <c r="CO1043">
        <v>-58.4</v>
      </c>
      <c r="CP1043">
        <v>42120113</v>
      </c>
      <c r="CQ1043" s="73">
        <v>45358.590277777781</v>
      </c>
      <c r="CR1043" t="s">
        <v>229</v>
      </c>
      <c r="CS1043" t="s">
        <v>87</v>
      </c>
      <c r="CU1043" t="s">
        <v>225</v>
      </c>
    </row>
    <row r="1044" spans="1:99">
      <c r="A1044" t="s">
        <v>42</v>
      </c>
      <c r="B1044" t="s">
        <v>92</v>
      </c>
      <c r="J1044" t="s">
        <v>225</v>
      </c>
      <c r="K1044" t="s">
        <v>225</v>
      </c>
      <c r="M1044" s="73">
        <v>45358.583333333336</v>
      </c>
      <c r="N1044">
        <v>42128232</v>
      </c>
      <c r="O1044">
        <v>-2200</v>
      </c>
      <c r="P1044" t="s">
        <v>45</v>
      </c>
      <c r="Q1044">
        <v>-2200</v>
      </c>
      <c r="R1044" t="s">
        <v>45</v>
      </c>
      <c r="U1044" t="s">
        <v>226</v>
      </c>
      <c r="V1044" t="s">
        <v>525</v>
      </c>
      <c r="W1044" t="s">
        <v>228</v>
      </c>
      <c r="X1044" t="s">
        <v>229</v>
      </c>
      <c r="Y1044" t="s">
        <v>42</v>
      </c>
      <c r="AD1044" t="s">
        <v>45</v>
      </c>
      <c r="AE1044">
        <v>-2200</v>
      </c>
      <c r="AF1044">
        <v>42128232</v>
      </c>
      <c r="AG1044" s="73">
        <v>45358.583333333336</v>
      </c>
      <c r="AH1044" t="s">
        <v>226</v>
      </c>
      <c r="AI1044" t="s">
        <v>525</v>
      </c>
      <c r="AJ1044" t="s">
        <v>228</v>
      </c>
      <c r="AK1044" t="s">
        <v>229</v>
      </c>
      <c r="AL1044" t="s">
        <v>42</v>
      </c>
      <c r="AP1044" t="s">
        <v>230</v>
      </c>
      <c r="AQ1044" t="s">
        <v>231</v>
      </c>
      <c r="AT1044" t="s">
        <v>232</v>
      </c>
      <c r="AU1044">
        <v>-99</v>
      </c>
      <c r="AV1044" t="s">
        <v>45</v>
      </c>
      <c r="AW1044">
        <v>-2200</v>
      </c>
      <c r="AX1044">
        <v>42128232</v>
      </c>
      <c r="AY1044" s="73">
        <v>45358.583333333336</v>
      </c>
      <c r="AZ1044" t="s">
        <v>226</v>
      </c>
      <c r="BA1044" t="s">
        <v>525</v>
      </c>
      <c r="BB1044" t="s">
        <v>228</v>
      </c>
      <c r="BC1044" t="s">
        <v>229</v>
      </c>
      <c r="BD1044" t="s">
        <v>42</v>
      </c>
      <c r="BI1044" t="s">
        <v>233</v>
      </c>
      <c r="BJ1044" t="s">
        <v>0</v>
      </c>
      <c r="BK1044">
        <v>42128220</v>
      </c>
      <c r="BN1044" t="s">
        <v>45</v>
      </c>
      <c r="BR1044">
        <v>-2200</v>
      </c>
      <c r="BS1044">
        <v>42128232</v>
      </c>
      <c r="BT1044" s="73">
        <v>45358.583333333336</v>
      </c>
      <c r="BU1044" t="s">
        <v>226</v>
      </c>
      <c r="BV1044" t="s">
        <v>525</v>
      </c>
      <c r="BW1044" t="s">
        <v>228</v>
      </c>
      <c r="CH1044" t="s">
        <v>229</v>
      </c>
      <c r="CI1044" t="s">
        <v>42</v>
      </c>
      <c r="CJ1044" t="s">
        <v>226</v>
      </c>
      <c r="CK1044" t="s">
        <v>525</v>
      </c>
      <c r="CL1044" t="s">
        <v>228</v>
      </c>
      <c r="CM1044" t="s">
        <v>234</v>
      </c>
      <c r="CN1044" t="s">
        <v>45</v>
      </c>
      <c r="CO1044">
        <v>-2200</v>
      </c>
      <c r="CP1044">
        <v>42128232</v>
      </c>
      <c r="CQ1044" s="73">
        <v>45358.583333333336</v>
      </c>
      <c r="CR1044" t="s">
        <v>229</v>
      </c>
      <c r="CS1044" t="s">
        <v>42</v>
      </c>
      <c r="CU1044" t="s">
        <v>225</v>
      </c>
    </row>
    <row r="1045" spans="1:99">
      <c r="A1045" t="s">
        <v>99</v>
      </c>
      <c r="B1045" t="s">
        <v>98</v>
      </c>
      <c r="J1045" t="s">
        <v>225</v>
      </c>
      <c r="K1045" t="s">
        <v>225</v>
      </c>
      <c r="M1045" s="73">
        <v>45358.583333333336</v>
      </c>
      <c r="N1045">
        <v>42128231</v>
      </c>
      <c r="O1045">
        <v>-110</v>
      </c>
      <c r="P1045" t="s">
        <v>73</v>
      </c>
      <c r="Q1045">
        <v>-110</v>
      </c>
      <c r="R1045" t="s">
        <v>73</v>
      </c>
      <c r="U1045" t="s">
        <v>226</v>
      </c>
      <c r="V1045" t="s">
        <v>525</v>
      </c>
      <c r="W1045" t="s">
        <v>228</v>
      </c>
      <c r="X1045" t="s">
        <v>229</v>
      </c>
      <c r="Y1045" t="s">
        <v>99</v>
      </c>
      <c r="AD1045" t="s">
        <v>73</v>
      </c>
      <c r="AE1045">
        <v>-110</v>
      </c>
      <c r="AF1045">
        <v>42128231</v>
      </c>
      <c r="AG1045" s="73">
        <v>45358.583333333336</v>
      </c>
      <c r="AH1045" t="s">
        <v>226</v>
      </c>
      <c r="AI1045" t="s">
        <v>525</v>
      </c>
      <c r="AJ1045" t="s">
        <v>228</v>
      </c>
      <c r="AK1045" t="s">
        <v>229</v>
      </c>
      <c r="AL1045" t="s">
        <v>99</v>
      </c>
      <c r="AP1045" t="s">
        <v>230</v>
      </c>
      <c r="AQ1045" t="s">
        <v>231</v>
      </c>
      <c r="AT1045" t="s">
        <v>232</v>
      </c>
      <c r="AU1045">
        <v>-99</v>
      </c>
      <c r="AV1045" t="s">
        <v>73</v>
      </c>
      <c r="AW1045">
        <v>-110</v>
      </c>
      <c r="AX1045">
        <v>42128231</v>
      </c>
      <c r="AY1045" s="73">
        <v>45358.583333333336</v>
      </c>
      <c r="AZ1045" t="s">
        <v>226</v>
      </c>
      <c r="BA1045" t="s">
        <v>525</v>
      </c>
      <c r="BB1045" t="s">
        <v>228</v>
      </c>
      <c r="BC1045" t="s">
        <v>229</v>
      </c>
      <c r="BD1045" t="s">
        <v>99</v>
      </c>
      <c r="BI1045" t="s">
        <v>233</v>
      </c>
      <c r="BJ1045" t="s">
        <v>0</v>
      </c>
      <c r="BK1045">
        <v>42128220</v>
      </c>
      <c r="BN1045" t="s">
        <v>73</v>
      </c>
      <c r="BR1045">
        <v>-110</v>
      </c>
      <c r="BS1045">
        <v>42128231</v>
      </c>
      <c r="BT1045" s="73">
        <v>45358.583333333336</v>
      </c>
      <c r="BU1045" t="s">
        <v>226</v>
      </c>
      <c r="BV1045" t="s">
        <v>525</v>
      </c>
      <c r="BW1045" t="s">
        <v>228</v>
      </c>
      <c r="CH1045" t="s">
        <v>229</v>
      </c>
      <c r="CI1045" t="s">
        <v>99</v>
      </c>
      <c r="CJ1045" t="s">
        <v>226</v>
      </c>
      <c r="CK1045" t="s">
        <v>525</v>
      </c>
      <c r="CL1045" t="s">
        <v>228</v>
      </c>
      <c r="CM1045" t="s">
        <v>234</v>
      </c>
      <c r="CN1045" t="s">
        <v>73</v>
      </c>
      <c r="CO1045">
        <v>-110</v>
      </c>
      <c r="CP1045">
        <v>42128231</v>
      </c>
      <c r="CQ1045" s="73">
        <v>45358.583333333336</v>
      </c>
      <c r="CR1045" t="s">
        <v>229</v>
      </c>
      <c r="CS1045" t="s">
        <v>99</v>
      </c>
      <c r="CU1045" t="s">
        <v>225</v>
      </c>
    </row>
    <row r="1046" spans="1:99">
      <c r="A1046" t="s">
        <v>103</v>
      </c>
      <c r="B1046" t="s">
        <v>98</v>
      </c>
      <c r="J1046" t="s">
        <v>225</v>
      </c>
      <c r="K1046" t="s">
        <v>225</v>
      </c>
      <c r="M1046" s="73">
        <v>45358.583333333336</v>
      </c>
      <c r="N1046">
        <v>42128230</v>
      </c>
      <c r="O1046">
        <v>2200</v>
      </c>
      <c r="P1046" t="s">
        <v>104</v>
      </c>
      <c r="Q1046">
        <v>2200</v>
      </c>
      <c r="R1046" t="s">
        <v>104</v>
      </c>
      <c r="S1046">
        <v>110</v>
      </c>
      <c r="T1046" t="s">
        <v>73</v>
      </c>
      <c r="U1046" t="s">
        <v>226</v>
      </c>
      <c r="V1046" t="s">
        <v>525</v>
      </c>
      <c r="W1046" t="s">
        <v>235</v>
      </c>
      <c r="X1046" t="s">
        <v>229</v>
      </c>
      <c r="Y1046" t="s">
        <v>103</v>
      </c>
      <c r="AD1046" t="s">
        <v>104</v>
      </c>
      <c r="AE1046">
        <v>2200</v>
      </c>
      <c r="AF1046">
        <v>42128230</v>
      </c>
      <c r="AG1046" s="73">
        <v>45358.583333333336</v>
      </c>
      <c r="AH1046" t="s">
        <v>226</v>
      </c>
      <c r="AI1046" t="s">
        <v>525</v>
      </c>
      <c r="AJ1046" t="s">
        <v>235</v>
      </c>
      <c r="AK1046" t="s">
        <v>229</v>
      </c>
      <c r="AL1046" t="s">
        <v>103</v>
      </c>
      <c r="AP1046" t="s">
        <v>230</v>
      </c>
      <c r="AQ1046" t="s">
        <v>231</v>
      </c>
      <c r="AT1046" t="s">
        <v>232</v>
      </c>
      <c r="AU1046">
        <v>-99</v>
      </c>
      <c r="AV1046" t="s">
        <v>104</v>
      </c>
      <c r="AW1046">
        <v>2200</v>
      </c>
      <c r="AX1046">
        <v>42128230</v>
      </c>
      <c r="AY1046" s="73">
        <v>45358.583333333336</v>
      </c>
      <c r="AZ1046" t="s">
        <v>226</v>
      </c>
      <c r="BA1046" t="s">
        <v>525</v>
      </c>
      <c r="BB1046" t="s">
        <v>235</v>
      </c>
      <c r="BC1046" t="s">
        <v>229</v>
      </c>
      <c r="BD1046" t="s">
        <v>103</v>
      </c>
      <c r="BI1046" t="s">
        <v>233</v>
      </c>
      <c r="BJ1046" t="s">
        <v>0</v>
      </c>
      <c r="BK1046">
        <v>42128220</v>
      </c>
      <c r="BN1046" t="s">
        <v>104</v>
      </c>
      <c r="BO1046">
        <v>42128226</v>
      </c>
      <c r="BR1046">
        <v>2200</v>
      </c>
      <c r="BS1046">
        <v>42128230</v>
      </c>
      <c r="BT1046" s="73">
        <v>45358.583333333336</v>
      </c>
      <c r="BU1046" t="s">
        <v>226</v>
      </c>
      <c r="BV1046" t="s">
        <v>525</v>
      </c>
      <c r="BW1046" t="s">
        <v>235</v>
      </c>
      <c r="CH1046" t="s">
        <v>229</v>
      </c>
      <c r="CI1046" t="s">
        <v>103</v>
      </c>
      <c r="CJ1046" t="s">
        <v>226</v>
      </c>
      <c r="CK1046" t="s">
        <v>525</v>
      </c>
      <c r="CL1046" t="s">
        <v>235</v>
      </c>
      <c r="CM1046" t="s">
        <v>236</v>
      </c>
      <c r="CN1046" t="s">
        <v>104</v>
      </c>
      <c r="CO1046">
        <v>2200</v>
      </c>
      <c r="CP1046">
        <v>42128230</v>
      </c>
      <c r="CQ1046" s="73">
        <v>45358.583333333336</v>
      </c>
      <c r="CR1046" t="s">
        <v>229</v>
      </c>
      <c r="CS1046" t="s">
        <v>103</v>
      </c>
      <c r="CU1046" t="s">
        <v>225</v>
      </c>
    </row>
    <row r="1047" spans="1:99">
      <c r="A1047" t="s">
        <v>42</v>
      </c>
      <c r="B1047" t="s">
        <v>92</v>
      </c>
      <c r="J1047" t="s">
        <v>225</v>
      </c>
      <c r="K1047" t="s">
        <v>225</v>
      </c>
      <c r="M1047" s="73">
        <v>45358.583333333336</v>
      </c>
      <c r="N1047">
        <v>42128183</v>
      </c>
      <c r="O1047">
        <v>-9108</v>
      </c>
      <c r="P1047" t="s">
        <v>45</v>
      </c>
      <c r="Q1047">
        <v>-9108</v>
      </c>
      <c r="R1047" t="s">
        <v>45</v>
      </c>
      <c r="U1047" t="s">
        <v>226</v>
      </c>
      <c r="V1047" t="s">
        <v>526</v>
      </c>
      <c r="W1047" t="s">
        <v>228</v>
      </c>
      <c r="X1047" t="s">
        <v>229</v>
      </c>
      <c r="Y1047" t="s">
        <v>42</v>
      </c>
      <c r="AD1047" t="s">
        <v>45</v>
      </c>
      <c r="AE1047">
        <v>-9108</v>
      </c>
      <c r="AF1047">
        <v>42128183</v>
      </c>
      <c r="AG1047" s="73">
        <v>45358.583333333336</v>
      </c>
      <c r="AH1047" t="s">
        <v>226</v>
      </c>
      <c r="AI1047" t="s">
        <v>526</v>
      </c>
      <c r="AJ1047" t="s">
        <v>228</v>
      </c>
      <c r="AK1047" t="s">
        <v>229</v>
      </c>
      <c r="AL1047" t="s">
        <v>42</v>
      </c>
      <c r="AP1047" t="s">
        <v>230</v>
      </c>
      <c r="AQ1047" t="s">
        <v>231</v>
      </c>
      <c r="AT1047" t="s">
        <v>232</v>
      </c>
      <c r="AU1047">
        <v>-99</v>
      </c>
      <c r="AV1047" t="s">
        <v>45</v>
      </c>
      <c r="AW1047">
        <v>-9108</v>
      </c>
      <c r="AX1047">
        <v>42128183</v>
      </c>
      <c r="AY1047" s="73">
        <v>45358.583333333336</v>
      </c>
      <c r="AZ1047" t="s">
        <v>226</v>
      </c>
      <c r="BA1047" t="s">
        <v>526</v>
      </c>
      <c r="BB1047" t="s">
        <v>228</v>
      </c>
      <c r="BC1047" t="s">
        <v>229</v>
      </c>
      <c r="BD1047" t="s">
        <v>42</v>
      </c>
      <c r="BI1047" t="s">
        <v>233</v>
      </c>
      <c r="BJ1047" t="s">
        <v>0</v>
      </c>
      <c r="BK1047">
        <v>42128150</v>
      </c>
      <c r="BN1047" t="s">
        <v>45</v>
      </c>
      <c r="BR1047">
        <v>-9108</v>
      </c>
      <c r="BS1047">
        <v>42128183</v>
      </c>
      <c r="BT1047" s="73">
        <v>45358.583333333336</v>
      </c>
      <c r="BU1047" t="s">
        <v>226</v>
      </c>
      <c r="BV1047" t="s">
        <v>526</v>
      </c>
      <c r="BW1047" t="s">
        <v>228</v>
      </c>
      <c r="CH1047" t="s">
        <v>229</v>
      </c>
      <c r="CI1047" t="s">
        <v>42</v>
      </c>
      <c r="CJ1047" t="s">
        <v>226</v>
      </c>
      <c r="CK1047" t="s">
        <v>526</v>
      </c>
      <c r="CL1047" t="s">
        <v>228</v>
      </c>
      <c r="CM1047" t="s">
        <v>234</v>
      </c>
      <c r="CN1047" t="s">
        <v>45</v>
      </c>
      <c r="CO1047">
        <v>-9108</v>
      </c>
      <c r="CP1047">
        <v>42128183</v>
      </c>
      <c r="CQ1047" s="73">
        <v>45358.583333333336</v>
      </c>
      <c r="CR1047" t="s">
        <v>229</v>
      </c>
      <c r="CS1047" t="s">
        <v>42</v>
      </c>
      <c r="CU1047" t="s">
        <v>225</v>
      </c>
    </row>
    <row r="1048" spans="1:99">
      <c r="A1048" t="s">
        <v>99</v>
      </c>
      <c r="B1048" t="s">
        <v>98</v>
      </c>
      <c r="J1048" t="s">
        <v>225</v>
      </c>
      <c r="K1048" t="s">
        <v>225</v>
      </c>
      <c r="M1048" s="73">
        <v>45358.583333333336</v>
      </c>
      <c r="N1048">
        <v>42128182</v>
      </c>
      <c r="O1048">
        <v>-455</v>
      </c>
      <c r="P1048" t="s">
        <v>73</v>
      </c>
      <c r="Q1048">
        <v>-455</v>
      </c>
      <c r="R1048" t="s">
        <v>73</v>
      </c>
      <c r="U1048" t="s">
        <v>226</v>
      </c>
      <c r="V1048" t="s">
        <v>526</v>
      </c>
      <c r="W1048" t="s">
        <v>228</v>
      </c>
      <c r="X1048" t="s">
        <v>229</v>
      </c>
      <c r="Y1048" t="s">
        <v>99</v>
      </c>
      <c r="AD1048" t="s">
        <v>73</v>
      </c>
      <c r="AE1048">
        <v>-455</v>
      </c>
      <c r="AF1048">
        <v>42128182</v>
      </c>
      <c r="AG1048" s="73">
        <v>45358.583333333336</v>
      </c>
      <c r="AH1048" t="s">
        <v>226</v>
      </c>
      <c r="AI1048" t="s">
        <v>526</v>
      </c>
      <c r="AJ1048" t="s">
        <v>228</v>
      </c>
      <c r="AK1048" t="s">
        <v>229</v>
      </c>
      <c r="AL1048" t="s">
        <v>99</v>
      </c>
      <c r="AP1048" t="s">
        <v>230</v>
      </c>
      <c r="AQ1048" t="s">
        <v>231</v>
      </c>
      <c r="AT1048" t="s">
        <v>232</v>
      </c>
      <c r="AU1048">
        <v>-99</v>
      </c>
      <c r="AV1048" t="s">
        <v>73</v>
      </c>
      <c r="AW1048">
        <v>-455</v>
      </c>
      <c r="AX1048">
        <v>42128182</v>
      </c>
      <c r="AY1048" s="73">
        <v>45358.583333333336</v>
      </c>
      <c r="AZ1048" t="s">
        <v>226</v>
      </c>
      <c r="BA1048" t="s">
        <v>526</v>
      </c>
      <c r="BB1048" t="s">
        <v>228</v>
      </c>
      <c r="BC1048" t="s">
        <v>229</v>
      </c>
      <c r="BD1048" t="s">
        <v>99</v>
      </c>
      <c r="BI1048" t="s">
        <v>233</v>
      </c>
      <c r="BJ1048" t="s">
        <v>0</v>
      </c>
      <c r="BK1048">
        <v>42128150</v>
      </c>
      <c r="BN1048" t="s">
        <v>73</v>
      </c>
      <c r="BR1048">
        <v>-455</v>
      </c>
      <c r="BS1048">
        <v>42128182</v>
      </c>
      <c r="BT1048" s="73">
        <v>45358.583333333336</v>
      </c>
      <c r="BU1048" t="s">
        <v>226</v>
      </c>
      <c r="BV1048" t="s">
        <v>526</v>
      </c>
      <c r="BW1048" t="s">
        <v>228</v>
      </c>
      <c r="CH1048" t="s">
        <v>229</v>
      </c>
      <c r="CI1048" t="s">
        <v>99</v>
      </c>
      <c r="CJ1048" t="s">
        <v>226</v>
      </c>
      <c r="CK1048" t="s">
        <v>526</v>
      </c>
      <c r="CL1048" t="s">
        <v>228</v>
      </c>
      <c r="CM1048" t="s">
        <v>234</v>
      </c>
      <c r="CN1048" t="s">
        <v>73</v>
      </c>
      <c r="CO1048">
        <v>-455</v>
      </c>
      <c r="CP1048">
        <v>42128182</v>
      </c>
      <c r="CQ1048" s="73">
        <v>45358.583333333336</v>
      </c>
      <c r="CR1048" t="s">
        <v>229</v>
      </c>
      <c r="CS1048" t="s">
        <v>99</v>
      </c>
      <c r="CU1048" t="s">
        <v>225</v>
      </c>
    </row>
    <row r="1049" spans="1:99">
      <c r="A1049" t="s">
        <v>103</v>
      </c>
      <c r="B1049" t="s">
        <v>98</v>
      </c>
      <c r="J1049" t="s">
        <v>225</v>
      </c>
      <c r="K1049" t="s">
        <v>225</v>
      </c>
      <c r="M1049" s="73">
        <v>45358.583333333336</v>
      </c>
      <c r="N1049">
        <v>42128181</v>
      </c>
      <c r="O1049">
        <v>9100</v>
      </c>
      <c r="P1049" t="s">
        <v>104</v>
      </c>
      <c r="Q1049">
        <v>9100</v>
      </c>
      <c r="R1049" t="s">
        <v>104</v>
      </c>
      <c r="S1049">
        <v>455</v>
      </c>
      <c r="T1049" t="s">
        <v>73</v>
      </c>
      <c r="U1049" t="s">
        <v>226</v>
      </c>
      <c r="V1049" t="s">
        <v>526</v>
      </c>
      <c r="W1049" t="s">
        <v>235</v>
      </c>
      <c r="X1049" t="s">
        <v>229</v>
      </c>
      <c r="Y1049" t="s">
        <v>103</v>
      </c>
      <c r="AD1049" t="s">
        <v>104</v>
      </c>
      <c r="AE1049">
        <v>9100</v>
      </c>
      <c r="AF1049">
        <v>42128181</v>
      </c>
      <c r="AG1049" s="73">
        <v>45358.583333333336</v>
      </c>
      <c r="AH1049" t="s">
        <v>226</v>
      </c>
      <c r="AI1049" t="s">
        <v>526</v>
      </c>
      <c r="AJ1049" t="s">
        <v>235</v>
      </c>
      <c r="AK1049" t="s">
        <v>229</v>
      </c>
      <c r="AL1049" t="s">
        <v>103</v>
      </c>
      <c r="AP1049" t="s">
        <v>230</v>
      </c>
      <c r="AQ1049" t="s">
        <v>231</v>
      </c>
      <c r="AT1049" t="s">
        <v>232</v>
      </c>
      <c r="AU1049">
        <v>-99</v>
      </c>
      <c r="AV1049" t="s">
        <v>104</v>
      </c>
      <c r="AW1049">
        <v>9100</v>
      </c>
      <c r="AX1049">
        <v>42128181</v>
      </c>
      <c r="AY1049" s="73">
        <v>45358.583333333336</v>
      </c>
      <c r="AZ1049" t="s">
        <v>226</v>
      </c>
      <c r="BA1049" t="s">
        <v>526</v>
      </c>
      <c r="BB1049" t="s">
        <v>235</v>
      </c>
      <c r="BC1049" t="s">
        <v>229</v>
      </c>
      <c r="BD1049" t="s">
        <v>103</v>
      </c>
      <c r="BI1049" t="s">
        <v>233</v>
      </c>
      <c r="BJ1049" t="s">
        <v>0</v>
      </c>
      <c r="BK1049">
        <v>42128150</v>
      </c>
      <c r="BN1049" t="s">
        <v>104</v>
      </c>
      <c r="BO1049">
        <v>42128156</v>
      </c>
      <c r="BR1049">
        <v>9100</v>
      </c>
      <c r="BS1049">
        <v>42128181</v>
      </c>
      <c r="BT1049" s="73">
        <v>45358.583333333336</v>
      </c>
      <c r="BU1049" t="s">
        <v>226</v>
      </c>
      <c r="BV1049" t="s">
        <v>526</v>
      </c>
      <c r="BW1049" t="s">
        <v>235</v>
      </c>
      <c r="CH1049" t="s">
        <v>229</v>
      </c>
      <c r="CI1049" t="s">
        <v>103</v>
      </c>
      <c r="CJ1049" t="s">
        <v>226</v>
      </c>
      <c r="CK1049" t="s">
        <v>526</v>
      </c>
      <c r="CL1049" t="s">
        <v>235</v>
      </c>
      <c r="CM1049" t="s">
        <v>236</v>
      </c>
      <c r="CN1049" t="s">
        <v>104</v>
      </c>
      <c r="CO1049">
        <v>9100</v>
      </c>
      <c r="CP1049">
        <v>42128181</v>
      </c>
      <c r="CQ1049" s="73">
        <v>45358.583333333336</v>
      </c>
      <c r="CR1049" t="s">
        <v>229</v>
      </c>
      <c r="CS1049" t="s">
        <v>103</v>
      </c>
      <c r="CU1049" t="s">
        <v>225</v>
      </c>
    </row>
    <row r="1050" spans="1:99">
      <c r="A1050" t="s">
        <v>111</v>
      </c>
      <c r="B1050" t="s">
        <v>77</v>
      </c>
      <c r="J1050" t="s">
        <v>225</v>
      </c>
      <c r="K1050" t="s">
        <v>225</v>
      </c>
      <c r="M1050" s="73">
        <v>45358.583333333336</v>
      </c>
      <c r="N1050">
        <v>42128180</v>
      </c>
      <c r="O1050">
        <v>8</v>
      </c>
      <c r="P1050" t="s">
        <v>45</v>
      </c>
      <c r="Q1050">
        <v>8</v>
      </c>
      <c r="R1050" t="s">
        <v>45</v>
      </c>
      <c r="U1050" t="s">
        <v>226</v>
      </c>
      <c r="V1050" t="s">
        <v>526</v>
      </c>
      <c r="W1050" t="s">
        <v>237</v>
      </c>
      <c r="X1050" t="s">
        <v>229</v>
      </c>
      <c r="Y1050" t="s">
        <v>111</v>
      </c>
      <c r="AD1050" t="s">
        <v>45</v>
      </c>
      <c r="AE1050">
        <v>8</v>
      </c>
      <c r="AF1050">
        <v>42128180</v>
      </c>
      <c r="AG1050" s="73">
        <v>45358.583333333336</v>
      </c>
      <c r="AH1050" t="s">
        <v>226</v>
      </c>
      <c r="AI1050" t="s">
        <v>526</v>
      </c>
      <c r="AJ1050" t="s">
        <v>237</v>
      </c>
      <c r="AK1050" t="s">
        <v>229</v>
      </c>
      <c r="AL1050" t="s">
        <v>111</v>
      </c>
      <c r="AP1050" t="s">
        <v>230</v>
      </c>
      <c r="AQ1050" t="s">
        <v>231</v>
      </c>
      <c r="AT1050" t="s">
        <v>232</v>
      </c>
      <c r="AU1050">
        <v>-99</v>
      </c>
      <c r="AV1050" t="s">
        <v>45</v>
      </c>
      <c r="AW1050">
        <v>8</v>
      </c>
      <c r="AX1050">
        <v>42128180</v>
      </c>
      <c r="AY1050" s="73">
        <v>45358.583333333336</v>
      </c>
      <c r="AZ1050" t="s">
        <v>226</v>
      </c>
      <c r="BA1050" t="s">
        <v>526</v>
      </c>
      <c r="BB1050" t="s">
        <v>237</v>
      </c>
      <c r="BC1050" t="s">
        <v>229</v>
      </c>
      <c r="BD1050" t="s">
        <v>111</v>
      </c>
      <c r="BI1050" t="s">
        <v>233</v>
      </c>
      <c r="BJ1050" t="s">
        <v>0</v>
      </c>
      <c r="BK1050">
        <v>42128150</v>
      </c>
      <c r="BN1050" t="s">
        <v>45</v>
      </c>
      <c r="BO1050">
        <v>42128158</v>
      </c>
      <c r="BR1050">
        <v>8</v>
      </c>
      <c r="BS1050">
        <v>42128180</v>
      </c>
      <c r="BT1050" s="73">
        <v>45358.583333333336</v>
      </c>
      <c r="BU1050" t="s">
        <v>226</v>
      </c>
      <c r="BV1050" t="s">
        <v>526</v>
      </c>
      <c r="BW1050" t="s">
        <v>237</v>
      </c>
      <c r="CH1050" t="s">
        <v>229</v>
      </c>
      <c r="CI1050" t="s">
        <v>111</v>
      </c>
      <c r="CJ1050" t="s">
        <v>226</v>
      </c>
      <c r="CK1050" t="s">
        <v>526</v>
      </c>
      <c r="CL1050" t="s">
        <v>237</v>
      </c>
      <c r="CM1050" t="s">
        <v>236</v>
      </c>
      <c r="CN1050" t="s">
        <v>45</v>
      </c>
      <c r="CO1050">
        <v>8</v>
      </c>
      <c r="CP1050">
        <v>42128180</v>
      </c>
      <c r="CQ1050" s="73">
        <v>45358.583333333336</v>
      </c>
      <c r="CR1050" t="s">
        <v>229</v>
      </c>
      <c r="CS1050" t="s">
        <v>111</v>
      </c>
      <c r="CU1050" t="s">
        <v>225</v>
      </c>
    </row>
    <row r="1051" spans="1:99">
      <c r="A1051" t="s">
        <v>46</v>
      </c>
      <c r="B1051" t="s">
        <v>92</v>
      </c>
      <c r="J1051" t="s">
        <v>225</v>
      </c>
      <c r="K1051" t="s">
        <v>225</v>
      </c>
      <c r="M1051" s="73">
        <v>45358.583333333336</v>
      </c>
      <c r="N1051">
        <v>42128122</v>
      </c>
      <c r="O1051">
        <v>-300</v>
      </c>
      <c r="P1051" t="s">
        <v>45</v>
      </c>
      <c r="Q1051">
        <v>-300</v>
      </c>
      <c r="R1051" t="s">
        <v>45</v>
      </c>
      <c r="U1051" t="s">
        <v>226</v>
      </c>
      <c r="V1051" t="s">
        <v>527</v>
      </c>
      <c r="W1051" t="s">
        <v>228</v>
      </c>
      <c r="X1051" t="s">
        <v>229</v>
      </c>
      <c r="Y1051" t="s">
        <v>46</v>
      </c>
      <c r="AD1051" t="s">
        <v>45</v>
      </c>
      <c r="AE1051">
        <v>-300</v>
      </c>
      <c r="AF1051">
        <v>42128122</v>
      </c>
      <c r="AG1051" s="73">
        <v>45358.583333333336</v>
      </c>
      <c r="AH1051" t="s">
        <v>226</v>
      </c>
      <c r="AI1051" t="s">
        <v>527</v>
      </c>
      <c r="AJ1051" t="s">
        <v>228</v>
      </c>
      <c r="AK1051" t="s">
        <v>229</v>
      </c>
      <c r="AL1051" t="s">
        <v>46</v>
      </c>
      <c r="AP1051" t="s">
        <v>230</v>
      </c>
      <c r="AQ1051" t="s">
        <v>231</v>
      </c>
      <c r="AT1051" t="s">
        <v>232</v>
      </c>
      <c r="AU1051">
        <v>-99</v>
      </c>
      <c r="AV1051" t="s">
        <v>45</v>
      </c>
      <c r="AW1051">
        <v>-300</v>
      </c>
      <c r="AX1051">
        <v>42128122</v>
      </c>
      <c r="AY1051" s="73">
        <v>45358.583333333336</v>
      </c>
      <c r="AZ1051" t="s">
        <v>226</v>
      </c>
      <c r="BA1051" t="s">
        <v>527</v>
      </c>
      <c r="BB1051" t="s">
        <v>228</v>
      </c>
      <c r="BC1051" t="s">
        <v>229</v>
      </c>
      <c r="BD1051" t="s">
        <v>46</v>
      </c>
      <c r="BI1051" t="s">
        <v>233</v>
      </c>
      <c r="BJ1051" t="s">
        <v>0</v>
      </c>
      <c r="BK1051">
        <v>42128107</v>
      </c>
      <c r="BN1051" t="s">
        <v>45</v>
      </c>
      <c r="BR1051">
        <v>-300</v>
      </c>
      <c r="BS1051">
        <v>42128122</v>
      </c>
      <c r="BT1051" s="73">
        <v>45358.583333333336</v>
      </c>
      <c r="BU1051" t="s">
        <v>226</v>
      </c>
      <c r="BV1051" t="s">
        <v>527</v>
      </c>
      <c r="BW1051" t="s">
        <v>228</v>
      </c>
      <c r="CH1051" t="s">
        <v>229</v>
      </c>
      <c r="CI1051" t="s">
        <v>46</v>
      </c>
      <c r="CJ1051" t="s">
        <v>226</v>
      </c>
      <c r="CK1051" t="s">
        <v>527</v>
      </c>
      <c r="CL1051" t="s">
        <v>228</v>
      </c>
      <c r="CM1051" t="s">
        <v>234</v>
      </c>
      <c r="CN1051" t="s">
        <v>45</v>
      </c>
      <c r="CO1051">
        <v>-300</v>
      </c>
      <c r="CP1051">
        <v>42128122</v>
      </c>
      <c r="CQ1051" s="73">
        <v>45358.583333333336</v>
      </c>
      <c r="CR1051" t="s">
        <v>229</v>
      </c>
      <c r="CS1051" t="s">
        <v>46</v>
      </c>
      <c r="CU1051" t="s">
        <v>225</v>
      </c>
    </row>
    <row r="1052" spans="1:99">
      <c r="A1052" t="s">
        <v>93</v>
      </c>
      <c r="B1052" t="s">
        <v>98</v>
      </c>
      <c r="J1052" t="s">
        <v>225</v>
      </c>
      <c r="K1052" t="s">
        <v>225</v>
      </c>
      <c r="M1052" s="73">
        <v>45358.583333333336</v>
      </c>
      <c r="N1052">
        <v>42128121</v>
      </c>
      <c r="O1052">
        <v>-15</v>
      </c>
      <c r="P1052" t="s">
        <v>73</v>
      </c>
      <c r="Q1052">
        <v>-15</v>
      </c>
      <c r="R1052" t="s">
        <v>73</v>
      </c>
      <c r="U1052" t="s">
        <v>226</v>
      </c>
      <c r="V1052" t="s">
        <v>527</v>
      </c>
      <c r="W1052" t="s">
        <v>228</v>
      </c>
      <c r="X1052" t="s">
        <v>229</v>
      </c>
      <c r="Y1052" t="s">
        <v>93</v>
      </c>
      <c r="AD1052" t="s">
        <v>73</v>
      </c>
      <c r="AE1052">
        <v>-15</v>
      </c>
      <c r="AF1052">
        <v>42128121</v>
      </c>
      <c r="AG1052" s="73">
        <v>45358.583333333336</v>
      </c>
      <c r="AH1052" t="s">
        <v>226</v>
      </c>
      <c r="AI1052" t="s">
        <v>527</v>
      </c>
      <c r="AJ1052" t="s">
        <v>228</v>
      </c>
      <c r="AK1052" t="s">
        <v>229</v>
      </c>
      <c r="AL1052" t="s">
        <v>93</v>
      </c>
      <c r="AP1052" t="s">
        <v>230</v>
      </c>
      <c r="AQ1052" t="s">
        <v>231</v>
      </c>
      <c r="AT1052" t="s">
        <v>232</v>
      </c>
      <c r="AU1052">
        <v>-99</v>
      </c>
      <c r="AV1052" t="s">
        <v>73</v>
      </c>
      <c r="AW1052">
        <v>-15</v>
      </c>
      <c r="AX1052">
        <v>42128121</v>
      </c>
      <c r="AY1052" s="73">
        <v>45358.583333333336</v>
      </c>
      <c r="AZ1052" t="s">
        <v>226</v>
      </c>
      <c r="BA1052" t="s">
        <v>527</v>
      </c>
      <c r="BB1052" t="s">
        <v>228</v>
      </c>
      <c r="BC1052" t="s">
        <v>229</v>
      </c>
      <c r="BD1052" t="s">
        <v>93</v>
      </c>
      <c r="BI1052" t="s">
        <v>233</v>
      </c>
      <c r="BJ1052" t="s">
        <v>0</v>
      </c>
      <c r="BK1052">
        <v>42128107</v>
      </c>
      <c r="BN1052" t="s">
        <v>73</v>
      </c>
      <c r="BR1052">
        <v>-15</v>
      </c>
      <c r="BS1052">
        <v>42128121</v>
      </c>
      <c r="BT1052" s="73">
        <v>45358.583333333336</v>
      </c>
      <c r="BU1052" t="s">
        <v>226</v>
      </c>
      <c r="BV1052" t="s">
        <v>527</v>
      </c>
      <c r="BW1052" t="s">
        <v>228</v>
      </c>
      <c r="CH1052" t="s">
        <v>229</v>
      </c>
      <c r="CI1052" t="s">
        <v>93</v>
      </c>
      <c r="CJ1052" t="s">
        <v>226</v>
      </c>
      <c r="CK1052" t="s">
        <v>527</v>
      </c>
      <c r="CL1052" t="s">
        <v>228</v>
      </c>
      <c r="CM1052" t="s">
        <v>234</v>
      </c>
      <c r="CN1052" t="s">
        <v>73</v>
      </c>
      <c r="CO1052">
        <v>-15</v>
      </c>
      <c r="CP1052">
        <v>42128121</v>
      </c>
      <c r="CQ1052" s="73">
        <v>45358.583333333336</v>
      </c>
      <c r="CR1052" t="s">
        <v>229</v>
      </c>
      <c r="CS1052" t="s">
        <v>93</v>
      </c>
      <c r="CU1052" t="s">
        <v>225</v>
      </c>
    </row>
    <row r="1053" spans="1:99">
      <c r="A1053" t="s">
        <v>108</v>
      </c>
      <c r="B1053" t="s">
        <v>98</v>
      </c>
      <c r="J1053" t="s">
        <v>225</v>
      </c>
      <c r="K1053" t="s">
        <v>225</v>
      </c>
      <c r="M1053" s="73">
        <v>45358.583333333336</v>
      </c>
      <c r="N1053">
        <v>42128120</v>
      </c>
      <c r="O1053">
        <v>300</v>
      </c>
      <c r="P1053" t="s">
        <v>104</v>
      </c>
      <c r="Q1053">
        <v>300</v>
      </c>
      <c r="R1053" t="s">
        <v>104</v>
      </c>
      <c r="S1053">
        <v>15</v>
      </c>
      <c r="T1053" t="s">
        <v>73</v>
      </c>
      <c r="U1053" t="s">
        <v>226</v>
      </c>
      <c r="V1053" t="s">
        <v>527</v>
      </c>
      <c r="W1053" t="s">
        <v>235</v>
      </c>
      <c r="X1053" t="s">
        <v>229</v>
      </c>
      <c r="Y1053" t="s">
        <v>108</v>
      </c>
      <c r="AD1053" t="s">
        <v>104</v>
      </c>
      <c r="AE1053">
        <v>300</v>
      </c>
      <c r="AF1053">
        <v>42128120</v>
      </c>
      <c r="AG1053" s="73">
        <v>45358.583333333336</v>
      </c>
      <c r="AH1053" t="s">
        <v>226</v>
      </c>
      <c r="AI1053" t="s">
        <v>527</v>
      </c>
      <c r="AJ1053" t="s">
        <v>235</v>
      </c>
      <c r="AK1053" t="s">
        <v>229</v>
      </c>
      <c r="AL1053" t="s">
        <v>108</v>
      </c>
      <c r="AP1053" t="s">
        <v>230</v>
      </c>
      <c r="AQ1053" t="s">
        <v>231</v>
      </c>
      <c r="AT1053" t="s">
        <v>232</v>
      </c>
      <c r="AU1053">
        <v>-99</v>
      </c>
      <c r="AV1053" t="s">
        <v>104</v>
      </c>
      <c r="AW1053">
        <v>300</v>
      </c>
      <c r="AX1053">
        <v>42128120</v>
      </c>
      <c r="AY1053" s="73">
        <v>45358.583333333336</v>
      </c>
      <c r="AZ1053" t="s">
        <v>226</v>
      </c>
      <c r="BA1053" t="s">
        <v>527</v>
      </c>
      <c r="BB1053" t="s">
        <v>235</v>
      </c>
      <c r="BC1053" t="s">
        <v>229</v>
      </c>
      <c r="BD1053" t="s">
        <v>108</v>
      </c>
      <c r="BI1053" t="s">
        <v>233</v>
      </c>
      <c r="BJ1053" t="s">
        <v>0</v>
      </c>
      <c r="BK1053">
        <v>42128107</v>
      </c>
      <c r="BN1053" t="s">
        <v>104</v>
      </c>
      <c r="BO1053">
        <v>42128116</v>
      </c>
      <c r="BR1053">
        <v>300</v>
      </c>
      <c r="BS1053">
        <v>42128120</v>
      </c>
      <c r="BT1053" s="73">
        <v>45358.583333333336</v>
      </c>
      <c r="BU1053" t="s">
        <v>226</v>
      </c>
      <c r="BV1053" t="s">
        <v>527</v>
      </c>
      <c r="BW1053" t="s">
        <v>235</v>
      </c>
      <c r="CH1053" t="s">
        <v>229</v>
      </c>
      <c r="CI1053" t="s">
        <v>108</v>
      </c>
      <c r="CJ1053" t="s">
        <v>226</v>
      </c>
      <c r="CK1053" t="s">
        <v>527</v>
      </c>
      <c r="CL1053" t="s">
        <v>235</v>
      </c>
      <c r="CM1053" t="s">
        <v>236</v>
      </c>
      <c r="CN1053" t="s">
        <v>104</v>
      </c>
      <c r="CO1053">
        <v>300</v>
      </c>
      <c r="CP1053">
        <v>42128120</v>
      </c>
      <c r="CQ1053" s="73">
        <v>45358.583333333336</v>
      </c>
      <c r="CR1053" t="s">
        <v>229</v>
      </c>
      <c r="CS1053" t="s">
        <v>108</v>
      </c>
      <c r="CU1053" t="s">
        <v>225</v>
      </c>
    </row>
    <row r="1054" spans="1:99">
      <c r="A1054" t="s">
        <v>52</v>
      </c>
      <c r="B1054" t="s">
        <v>92</v>
      </c>
      <c r="J1054" t="s">
        <v>225</v>
      </c>
      <c r="K1054" t="s">
        <v>225</v>
      </c>
      <c r="M1054" s="73">
        <v>45358.583333333336</v>
      </c>
      <c r="N1054">
        <v>42128070</v>
      </c>
      <c r="O1054">
        <v>-1205</v>
      </c>
      <c r="P1054" t="s">
        <v>45</v>
      </c>
      <c r="Q1054">
        <v>-1205</v>
      </c>
      <c r="R1054" t="s">
        <v>45</v>
      </c>
      <c r="U1054" t="s">
        <v>226</v>
      </c>
      <c r="V1054" t="s">
        <v>528</v>
      </c>
      <c r="W1054" t="s">
        <v>228</v>
      </c>
      <c r="X1054" t="s">
        <v>229</v>
      </c>
      <c r="Y1054" t="s">
        <v>52</v>
      </c>
      <c r="AD1054" t="s">
        <v>45</v>
      </c>
      <c r="AE1054">
        <v>-1205</v>
      </c>
      <c r="AF1054">
        <v>42128070</v>
      </c>
      <c r="AG1054" s="73">
        <v>45358.583333333336</v>
      </c>
      <c r="AH1054" t="s">
        <v>226</v>
      </c>
      <c r="AI1054" t="s">
        <v>528</v>
      </c>
      <c r="AJ1054" t="s">
        <v>228</v>
      </c>
      <c r="AK1054" t="s">
        <v>229</v>
      </c>
      <c r="AL1054" t="s">
        <v>52</v>
      </c>
      <c r="AP1054" t="s">
        <v>230</v>
      </c>
      <c r="AQ1054" t="s">
        <v>231</v>
      </c>
      <c r="AT1054" t="s">
        <v>232</v>
      </c>
      <c r="AU1054">
        <v>-99</v>
      </c>
      <c r="AV1054" t="s">
        <v>45</v>
      </c>
      <c r="AW1054">
        <v>-1205</v>
      </c>
      <c r="AX1054">
        <v>42128070</v>
      </c>
      <c r="AY1054" s="73">
        <v>45358.583333333336</v>
      </c>
      <c r="AZ1054" t="s">
        <v>226</v>
      </c>
      <c r="BA1054" t="s">
        <v>528</v>
      </c>
      <c r="BB1054" t="s">
        <v>228</v>
      </c>
      <c r="BC1054" t="s">
        <v>229</v>
      </c>
      <c r="BD1054" t="s">
        <v>52</v>
      </c>
      <c r="BI1054" t="s">
        <v>233</v>
      </c>
      <c r="BJ1054" t="s">
        <v>0</v>
      </c>
      <c r="BK1054">
        <v>42128049</v>
      </c>
      <c r="BN1054" t="s">
        <v>45</v>
      </c>
      <c r="BR1054">
        <v>-1205</v>
      </c>
      <c r="BS1054">
        <v>42128070</v>
      </c>
      <c r="BT1054" s="73">
        <v>45358.583333333336</v>
      </c>
      <c r="BU1054" t="s">
        <v>226</v>
      </c>
      <c r="BV1054" t="s">
        <v>528</v>
      </c>
      <c r="BW1054" t="s">
        <v>228</v>
      </c>
      <c r="CH1054" t="s">
        <v>229</v>
      </c>
      <c r="CI1054" t="s">
        <v>52</v>
      </c>
      <c r="CJ1054" t="s">
        <v>226</v>
      </c>
      <c r="CK1054" t="s">
        <v>528</v>
      </c>
      <c r="CL1054" t="s">
        <v>228</v>
      </c>
      <c r="CM1054" t="s">
        <v>234</v>
      </c>
      <c r="CN1054" t="s">
        <v>45</v>
      </c>
      <c r="CO1054">
        <v>-1205</v>
      </c>
      <c r="CP1054">
        <v>42128070</v>
      </c>
      <c r="CQ1054" s="73">
        <v>45358.583333333336</v>
      </c>
      <c r="CR1054" t="s">
        <v>229</v>
      </c>
      <c r="CS1054" t="s">
        <v>52</v>
      </c>
      <c r="CU1054" t="s">
        <v>225</v>
      </c>
    </row>
    <row r="1055" spans="1:99">
      <c r="A1055" t="s">
        <v>101</v>
      </c>
      <c r="B1055" t="s">
        <v>98</v>
      </c>
      <c r="J1055" t="s">
        <v>225</v>
      </c>
      <c r="K1055" t="s">
        <v>225</v>
      </c>
      <c r="M1055" s="73">
        <v>45358.583333333336</v>
      </c>
      <c r="N1055">
        <v>42128069</v>
      </c>
      <c r="O1055">
        <v>-60</v>
      </c>
      <c r="P1055" t="s">
        <v>73</v>
      </c>
      <c r="Q1055">
        <v>-60</v>
      </c>
      <c r="R1055" t="s">
        <v>73</v>
      </c>
      <c r="U1055" t="s">
        <v>226</v>
      </c>
      <c r="V1055" t="s">
        <v>528</v>
      </c>
      <c r="W1055" t="s">
        <v>228</v>
      </c>
      <c r="X1055" t="s">
        <v>229</v>
      </c>
      <c r="Y1055" t="s">
        <v>101</v>
      </c>
      <c r="AD1055" t="s">
        <v>73</v>
      </c>
      <c r="AE1055">
        <v>-60</v>
      </c>
      <c r="AF1055">
        <v>42128069</v>
      </c>
      <c r="AG1055" s="73">
        <v>45358.583333333336</v>
      </c>
      <c r="AH1055" t="s">
        <v>226</v>
      </c>
      <c r="AI1055" t="s">
        <v>528</v>
      </c>
      <c r="AJ1055" t="s">
        <v>228</v>
      </c>
      <c r="AK1055" t="s">
        <v>229</v>
      </c>
      <c r="AL1055" t="s">
        <v>101</v>
      </c>
      <c r="AP1055" t="s">
        <v>230</v>
      </c>
      <c r="AQ1055" t="s">
        <v>231</v>
      </c>
      <c r="AT1055" t="s">
        <v>232</v>
      </c>
      <c r="AU1055">
        <v>-99</v>
      </c>
      <c r="AV1055" t="s">
        <v>73</v>
      </c>
      <c r="AW1055">
        <v>-60</v>
      </c>
      <c r="AX1055">
        <v>42128069</v>
      </c>
      <c r="AY1055" s="73">
        <v>45358.583333333336</v>
      </c>
      <c r="AZ1055" t="s">
        <v>226</v>
      </c>
      <c r="BA1055" t="s">
        <v>528</v>
      </c>
      <c r="BB1055" t="s">
        <v>228</v>
      </c>
      <c r="BC1055" t="s">
        <v>229</v>
      </c>
      <c r="BD1055" t="s">
        <v>101</v>
      </c>
      <c r="BI1055" t="s">
        <v>233</v>
      </c>
      <c r="BJ1055" t="s">
        <v>0</v>
      </c>
      <c r="BK1055">
        <v>42128049</v>
      </c>
      <c r="BN1055" t="s">
        <v>73</v>
      </c>
      <c r="BR1055">
        <v>-60</v>
      </c>
      <c r="BS1055">
        <v>42128069</v>
      </c>
      <c r="BT1055" s="73">
        <v>45358.583333333336</v>
      </c>
      <c r="BU1055" t="s">
        <v>226</v>
      </c>
      <c r="BV1055" t="s">
        <v>528</v>
      </c>
      <c r="BW1055" t="s">
        <v>228</v>
      </c>
      <c r="CH1055" t="s">
        <v>229</v>
      </c>
      <c r="CI1055" t="s">
        <v>101</v>
      </c>
      <c r="CJ1055" t="s">
        <v>226</v>
      </c>
      <c r="CK1055" t="s">
        <v>528</v>
      </c>
      <c r="CL1055" t="s">
        <v>228</v>
      </c>
      <c r="CM1055" t="s">
        <v>234</v>
      </c>
      <c r="CN1055" t="s">
        <v>73</v>
      </c>
      <c r="CO1055">
        <v>-60</v>
      </c>
      <c r="CP1055">
        <v>42128069</v>
      </c>
      <c r="CQ1055" s="73">
        <v>45358.583333333336</v>
      </c>
      <c r="CR1055" t="s">
        <v>229</v>
      </c>
      <c r="CS1055" t="s">
        <v>101</v>
      </c>
      <c r="CU1055" t="s">
        <v>225</v>
      </c>
    </row>
    <row r="1056" spans="1:99">
      <c r="A1056" t="s">
        <v>107</v>
      </c>
      <c r="B1056" t="s">
        <v>98</v>
      </c>
      <c r="J1056" t="s">
        <v>225</v>
      </c>
      <c r="K1056" t="s">
        <v>225</v>
      </c>
      <c r="M1056" s="73">
        <v>45358.583333333336</v>
      </c>
      <c r="N1056">
        <v>42128068</v>
      </c>
      <c r="O1056">
        <v>1200</v>
      </c>
      <c r="P1056" t="s">
        <v>104</v>
      </c>
      <c r="Q1056">
        <v>1200</v>
      </c>
      <c r="R1056" t="s">
        <v>104</v>
      </c>
      <c r="S1056">
        <v>60</v>
      </c>
      <c r="T1056" t="s">
        <v>73</v>
      </c>
      <c r="U1056" t="s">
        <v>226</v>
      </c>
      <c r="V1056" t="s">
        <v>528</v>
      </c>
      <c r="W1056" t="s">
        <v>235</v>
      </c>
      <c r="X1056" t="s">
        <v>229</v>
      </c>
      <c r="Y1056" t="s">
        <v>107</v>
      </c>
      <c r="AD1056" t="s">
        <v>104</v>
      </c>
      <c r="AE1056">
        <v>1200</v>
      </c>
      <c r="AF1056">
        <v>42128068</v>
      </c>
      <c r="AG1056" s="73">
        <v>45358.583333333336</v>
      </c>
      <c r="AH1056" t="s">
        <v>226</v>
      </c>
      <c r="AI1056" t="s">
        <v>528</v>
      </c>
      <c r="AJ1056" t="s">
        <v>235</v>
      </c>
      <c r="AK1056" t="s">
        <v>229</v>
      </c>
      <c r="AL1056" t="s">
        <v>107</v>
      </c>
      <c r="AP1056" t="s">
        <v>230</v>
      </c>
      <c r="AQ1056" t="s">
        <v>231</v>
      </c>
      <c r="AT1056" t="s">
        <v>232</v>
      </c>
      <c r="AU1056">
        <v>-99</v>
      </c>
      <c r="AV1056" t="s">
        <v>104</v>
      </c>
      <c r="AW1056">
        <v>1200</v>
      </c>
      <c r="AX1056">
        <v>42128068</v>
      </c>
      <c r="AY1056" s="73">
        <v>45358.583333333336</v>
      </c>
      <c r="AZ1056" t="s">
        <v>226</v>
      </c>
      <c r="BA1056" t="s">
        <v>528</v>
      </c>
      <c r="BB1056" t="s">
        <v>235</v>
      </c>
      <c r="BC1056" t="s">
        <v>229</v>
      </c>
      <c r="BD1056" t="s">
        <v>107</v>
      </c>
      <c r="BI1056" t="s">
        <v>233</v>
      </c>
      <c r="BJ1056" t="s">
        <v>0</v>
      </c>
      <c r="BK1056">
        <v>42128049</v>
      </c>
      <c r="BN1056" t="s">
        <v>104</v>
      </c>
      <c r="BO1056">
        <v>42128058</v>
      </c>
      <c r="BR1056">
        <v>1200</v>
      </c>
      <c r="BS1056">
        <v>42128068</v>
      </c>
      <c r="BT1056" s="73">
        <v>45358.583333333336</v>
      </c>
      <c r="BU1056" t="s">
        <v>226</v>
      </c>
      <c r="BV1056" t="s">
        <v>528</v>
      </c>
      <c r="BW1056" t="s">
        <v>235</v>
      </c>
      <c r="CH1056" t="s">
        <v>229</v>
      </c>
      <c r="CI1056" t="s">
        <v>107</v>
      </c>
      <c r="CJ1056" t="s">
        <v>226</v>
      </c>
      <c r="CK1056" t="s">
        <v>528</v>
      </c>
      <c r="CL1056" t="s">
        <v>235</v>
      </c>
      <c r="CM1056" t="s">
        <v>236</v>
      </c>
      <c r="CN1056" t="s">
        <v>104</v>
      </c>
      <c r="CO1056">
        <v>1200</v>
      </c>
      <c r="CP1056">
        <v>42128068</v>
      </c>
      <c r="CQ1056" s="73">
        <v>45358.583333333336</v>
      </c>
      <c r="CR1056" t="s">
        <v>229</v>
      </c>
      <c r="CS1056" t="s">
        <v>107</v>
      </c>
      <c r="CU1056" t="s">
        <v>225</v>
      </c>
    </row>
    <row r="1057" spans="1:99">
      <c r="A1057" t="s">
        <v>111</v>
      </c>
      <c r="B1057" t="s">
        <v>77</v>
      </c>
      <c r="J1057" t="s">
        <v>225</v>
      </c>
      <c r="K1057" t="s">
        <v>225</v>
      </c>
      <c r="M1057" s="73">
        <v>45358.583333333336</v>
      </c>
      <c r="N1057">
        <v>42128067</v>
      </c>
      <c r="O1057">
        <v>5</v>
      </c>
      <c r="P1057" t="s">
        <v>45</v>
      </c>
      <c r="Q1057">
        <v>5</v>
      </c>
      <c r="R1057" t="s">
        <v>45</v>
      </c>
      <c r="U1057" t="s">
        <v>226</v>
      </c>
      <c r="V1057" t="s">
        <v>528</v>
      </c>
      <c r="W1057" t="s">
        <v>237</v>
      </c>
      <c r="X1057" t="s">
        <v>229</v>
      </c>
      <c r="Y1057" t="s">
        <v>111</v>
      </c>
      <c r="AD1057" t="s">
        <v>45</v>
      </c>
      <c r="AE1057">
        <v>5</v>
      </c>
      <c r="AF1057">
        <v>42128067</v>
      </c>
      <c r="AG1057" s="73">
        <v>45358.583333333336</v>
      </c>
      <c r="AH1057" t="s">
        <v>226</v>
      </c>
      <c r="AI1057" t="s">
        <v>528</v>
      </c>
      <c r="AJ1057" t="s">
        <v>237</v>
      </c>
      <c r="AK1057" t="s">
        <v>229</v>
      </c>
      <c r="AL1057" t="s">
        <v>111</v>
      </c>
      <c r="AP1057" t="s">
        <v>230</v>
      </c>
      <c r="AQ1057" t="s">
        <v>231</v>
      </c>
      <c r="AT1057" t="s">
        <v>232</v>
      </c>
      <c r="AU1057">
        <v>-99</v>
      </c>
      <c r="AV1057" t="s">
        <v>45</v>
      </c>
      <c r="AW1057">
        <v>5</v>
      </c>
      <c r="AX1057">
        <v>42128067</v>
      </c>
      <c r="AY1057" s="73">
        <v>45358.583333333336</v>
      </c>
      <c r="AZ1057" t="s">
        <v>226</v>
      </c>
      <c r="BA1057" t="s">
        <v>528</v>
      </c>
      <c r="BB1057" t="s">
        <v>237</v>
      </c>
      <c r="BC1057" t="s">
        <v>229</v>
      </c>
      <c r="BD1057" t="s">
        <v>111</v>
      </c>
      <c r="BI1057" t="s">
        <v>233</v>
      </c>
      <c r="BJ1057" t="s">
        <v>0</v>
      </c>
      <c r="BK1057">
        <v>42128049</v>
      </c>
      <c r="BN1057" t="s">
        <v>45</v>
      </c>
      <c r="BO1057">
        <v>42128060</v>
      </c>
      <c r="BR1057">
        <v>5</v>
      </c>
      <c r="BS1057">
        <v>42128067</v>
      </c>
      <c r="BT1057" s="73">
        <v>45358.583333333336</v>
      </c>
      <c r="BU1057" t="s">
        <v>226</v>
      </c>
      <c r="BV1057" t="s">
        <v>528</v>
      </c>
      <c r="BW1057" t="s">
        <v>237</v>
      </c>
      <c r="CH1057" t="s">
        <v>229</v>
      </c>
      <c r="CI1057" t="s">
        <v>111</v>
      </c>
      <c r="CJ1057" t="s">
        <v>226</v>
      </c>
      <c r="CK1057" t="s">
        <v>528</v>
      </c>
      <c r="CL1057" t="s">
        <v>237</v>
      </c>
      <c r="CM1057" t="s">
        <v>236</v>
      </c>
      <c r="CN1057" t="s">
        <v>45</v>
      </c>
      <c r="CO1057">
        <v>5</v>
      </c>
      <c r="CP1057">
        <v>42128067</v>
      </c>
      <c r="CQ1057" s="73">
        <v>45358.583333333336</v>
      </c>
      <c r="CR1057" t="s">
        <v>229</v>
      </c>
      <c r="CS1057" t="s">
        <v>111</v>
      </c>
      <c r="CU1057" t="s">
        <v>225</v>
      </c>
    </row>
    <row r="1058" spans="1:99">
      <c r="A1058" t="s">
        <v>42</v>
      </c>
      <c r="B1058" t="s">
        <v>92</v>
      </c>
      <c r="J1058" t="s">
        <v>225</v>
      </c>
      <c r="K1058" t="s">
        <v>225</v>
      </c>
      <c r="M1058" s="73">
        <v>45358.284108796295</v>
      </c>
      <c r="N1058">
        <v>42110136</v>
      </c>
      <c r="O1058">
        <v>-8346</v>
      </c>
      <c r="P1058" t="s">
        <v>45</v>
      </c>
      <c r="Q1058">
        <v>-8346</v>
      </c>
      <c r="R1058" t="s">
        <v>45</v>
      </c>
      <c r="U1058" t="s">
        <v>226</v>
      </c>
      <c r="V1058" t="s">
        <v>529</v>
      </c>
      <c r="W1058" t="s">
        <v>228</v>
      </c>
      <c r="X1058" t="s">
        <v>229</v>
      </c>
      <c r="Y1058" t="s">
        <v>42</v>
      </c>
      <c r="AD1058" t="s">
        <v>45</v>
      </c>
      <c r="AE1058">
        <v>-8346</v>
      </c>
      <c r="AF1058">
        <v>42110136</v>
      </c>
      <c r="AG1058" s="73">
        <v>45358.284108796295</v>
      </c>
      <c r="AH1058" t="s">
        <v>226</v>
      </c>
      <c r="AI1058" t="s">
        <v>529</v>
      </c>
      <c r="AJ1058" t="s">
        <v>228</v>
      </c>
      <c r="AK1058" t="s">
        <v>229</v>
      </c>
      <c r="AL1058" t="s">
        <v>42</v>
      </c>
      <c r="AP1058" t="s">
        <v>230</v>
      </c>
      <c r="AQ1058" t="s">
        <v>231</v>
      </c>
      <c r="AT1058" t="s">
        <v>232</v>
      </c>
      <c r="AU1058">
        <v>-99</v>
      </c>
      <c r="AV1058" t="s">
        <v>45</v>
      </c>
      <c r="AW1058">
        <v>-8346</v>
      </c>
      <c r="AX1058">
        <v>42110136</v>
      </c>
      <c r="AY1058" s="73">
        <v>45358.284108796295</v>
      </c>
      <c r="AZ1058" t="s">
        <v>226</v>
      </c>
      <c r="BA1058" t="s">
        <v>529</v>
      </c>
      <c r="BB1058" t="s">
        <v>228</v>
      </c>
      <c r="BC1058" t="s">
        <v>229</v>
      </c>
      <c r="BD1058" t="s">
        <v>42</v>
      </c>
      <c r="BI1058" t="s">
        <v>233</v>
      </c>
      <c r="BJ1058" t="s">
        <v>0</v>
      </c>
      <c r="BK1058">
        <v>42110108</v>
      </c>
      <c r="BN1058" t="s">
        <v>45</v>
      </c>
      <c r="BR1058">
        <v>-8346</v>
      </c>
      <c r="BS1058">
        <v>42110136</v>
      </c>
      <c r="BT1058" s="73">
        <v>45358.284108796295</v>
      </c>
      <c r="BU1058" t="s">
        <v>226</v>
      </c>
      <c r="BV1058" t="s">
        <v>529</v>
      </c>
      <c r="BW1058" t="s">
        <v>228</v>
      </c>
      <c r="CH1058" t="s">
        <v>229</v>
      </c>
      <c r="CI1058" t="s">
        <v>42</v>
      </c>
      <c r="CJ1058" t="s">
        <v>226</v>
      </c>
      <c r="CK1058" t="s">
        <v>529</v>
      </c>
      <c r="CL1058" t="s">
        <v>228</v>
      </c>
      <c r="CM1058" t="s">
        <v>234</v>
      </c>
      <c r="CN1058" t="s">
        <v>45</v>
      </c>
      <c r="CO1058">
        <v>-8346</v>
      </c>
      <c r="CP1058">
        <v>42110136</v>
      </c>
      <c r="CQ1058" s="73">
        <v>45358.284108796295</v>
      </c>
      <c r="CR1058" t="s">
        <v>229</v>
      </c>
      <c r="CS1058" t="s">
        <v>42</v>
      </c>
      <c r="CU1058" t="s">
        <v>225</v>
      </c>
    </row>
    <row r="1059" spans="1:99">
      <c r="A1059" t="s">
        <v>99</v>
      </c>
      <c r="B1059" t="s">
        <v>98</v>
      </c>
      <c r="J1059" t="s">
        <v>225</v>
      </c>
      <c r="K1059" t="s">
        <v>225</v>
      </c>
      <c r="M1059" s="73">
        <v>45358.284108796295</v>
      </c>
      <c r="N1059">
        <v>42110135</v>
      </c>
      <c r="O1059">
        <v>-416.85</v>
      </c>
      <c r="P1059" t="s">
        <v>73</v>
      </c>
      <c r="Q1059">
        <v>-416.85</v>
      </c>
      <c r="R1059" t="s">
        <v>73</v>
      </c>
      <c r="U1059" t="s">
        <v>226</v>
      </c>
      <c r="V1059" t="s">
        <v>529</v>
      </c>
      <c r="W1059" t="s">
        <v>228</v>
      </c>
      <c r="X1059" t="s">
        <v>229</v>
      </c>
      <c r="Y1059" t="s">
        <v>99</v>
      </c>
      <c r="AD1059" t="s">
        <v>73</v>
      </c>
      <c r="AE1059">
        <v>-416.85</v>
      </c>
      <c r="AF1059">
        <v>42110135</v>
      </c>
      <c r="AG1059" s="73">
        <v>45358.284108796295</v>
      </c>
      <c r="AH1059" t="s">
        <v>226</v>
      </c>
      <c r="AI1059" t="s">
        <v>529</v>
      </c>
      <c r="AJ1059" t="s">
        <v>228</v>
      </c>
      <c r="AK1059" t="s">
        <v>229</v>
      </c>
      <c r="AL1059" t="s">
        <v>99</v>
      </c>
      <c r="AP1059" t="s">
        <v>230</v>
      </c>
      <c r="AQ1059" t="s">
        <v>231</v>
      </c>
      <c r="AT1059" t="s">
        <v>232</v>
      </c>
      <c r="AU1059">
        <v>-99</v>
      </c>
      <c r="AV1059" t="s">
        <v>73</v>
      </c>
      <c r="AW1059">
        <v>-416.85</v>
      </c>
      <c r="AX1059">
        <v>42110135</v>
      </c>
      <c r="AY1059" s="73">
        <v>45358.284108796295</v>
      </c>
      <c r="AZ1059" t="s">
        <v>226</v>
      </c>
      <c r="BA1059" t="s">
        <v>529</v>
      </c>
      <c r="BB1059" t="s">
        <v>228</v>
      </c>
      <c r="BC1059" t="s">
        <v>229</v>
      </c>
      <c r="BD1059" t="s">
        <v>99</v>
      </c>
      <c r="BI1059" t="s">
        <v>233</v>
      </c>
      <c r="BJ1059" t="s">
        <v>0</v>
      </c>
      <c r="BK1059">
        <v>42110108</v>
      </c>
      <c r="BN1059" t="s">
        <v>73</v>
      </c>
      <c r="BR1059">
        <v>-416.85</v>
      </c>
      <c r="BS1059">
        <v>42110135</v>
      </c>
      <c r="BT1059" s="73">
        <v>45358.284108796295</v>
      </c>
      <c r="BU1059" t="s">
        <v>226</v>
      </c>
      <c r="BV1059" t="s">
        <v>529</v>
      </c>
      <c r="BW1059" t="s">
        <v>228</v>
      </c>
      <c r="CH1059" t="s">
        <v>229</v>
      </c>
      <c r="CI1059" t="s">
        <v>99</v>
      </c>
      <c r="CJ1059" t="s">
        <v>226</v>
      </c>
      <c r="CK1059" t="s">
        <v>529</v>
      </c>
      <c r="CL1059" t="s">
        <v>228</v>
      </c>
      <c r="CM1059" t="s">
        <v>234</v>
      </c>
      <c r="CN1059" t="s">
        <v>73</v>
      </c>
      <c r="CO1059">
        <v>-416.85</v>
      </c>
      <c r="CP1059">
        <v>42110135</v>
      </c>
      <c r="CQ1059" s="73">
        <v>45358.284108796295</v>
      </c>
      <c r="CR1059" t="s">
        <v>229</v>
      </c>
      <c r="CS1059" t="s">
        <v>99</v>
      </c>
      <c r="CU1059" t="s">
        <v>225</v>
      </c>
    </row>
    <row r="1060" spans="1:99">
      <c r="A1060" t="s">
        <v>103</v>
      </c>
      <c r="B1060" t="s">
        <v>98</v>
      </c>
      <c r="J1060" t="s">
        <v>225</v>
      </c>
      <c r="K1060" t="s">
        <v>225</v>
      </c>
      <c r="M1060" s="73">
        <v>45358.284108796295</v>
      </c>
      <c r="N1060">
        <v>42110134</v>
      </c>
      <c r="O1060">
        <v>8337</v>
      </c>
      <c r="P1060" t="s">
        <v>104</v>
      </c>
      <c r="Q1060">
        <v>8337</v>
      </c>
      <c r="R1060" t="s">
        <v>104</v>
      </c>
      <c r="S1060">
        <v>416.85</v>
      </c>
      <c r="T1060" t="s">
        <v>73</v>
      </c>
      <c r="U1060" t="s">
        <v>226</v>
      </c>
      <c r="V1060" t="s">
        <v>529</v>
      </c>
      <c r="W1060" t="s">
        <v>235</v>
      </c>
      <c r="X1060" t="s">
        <v>229</v>
      </c>
      <c r="Y1060" t="s">
        <v>103</v>
      </c>
      <c r="AD1060" t="s">
        <v>104</v>
      </c>
      <c r="AE1060">
        <v>8337</v>
      </c>
      <c r="AF1060">
        <v>42110134</v>
      </c>
      <c r="AG1060" s="73">
        <v>45358.284108796295</v>
      </c>
      <c r="AH1060" t="s">
        <v>226</v>
      </c>
      <c r="AI1060" t="s">
        <v>529</v>
      </c>
      <c r="AJ1060" t="s">
        <v>235</v>
      </c>
      <c r="AK1060" t="s">
        <v>229</v>
      </c>
      <c r="AL1060" t="s">
        <v>103</v>
      </c>
      <c r="AP1060" t="s">
        <v>230</v>
      </c>
      <c r="AQ1060" t="s">
        <v>231</v>
      </c>
      <c r="AT1060" t="s">
        <v>232</v>
      </c>
      <c r="AU1060">
        <v>-99</v>
      </c>
      <c r="AV1060" t="s">
        <v>104</v>
      </c>
      <c r="AW1060">
        <v>8337</v>
      </c>
      <c r="AX1060">
        <v>42110134</v>
      </c>
      <c r="AY1060" s="73">
        <v>45358.284108796295</v>
      </c>
      <c r="AZ1060" t="s">
        <v>226</v>
      </c>
      <c r="BA1060" t="s">
        <v>529</v>
      </c>
      <c r="BB1060" t="s">
        <v>235</v>
      </c>
      <c r="BC1060" t="s">
        <v>229</v>
      </c>
      <c r="BD1060" t="s">
        <v>103</v>
      </c>
      <c r="BI1060" t="s">
        <v>233</v>
      </c>
      <c r="BJ1060" t="s">
        <v>0</v>
      </c>
      <c r="BK1060">
        <v>42110108</v>
      </c>
      <c r="BN1060" t="s">
        <v>104</v>
      </c>
      <c r="BO1060">
        <v>42110121</v>
      </c>
      <c r="BR1060">
        <v>8337</v>
      </c>
      <c r="BS1060">
        <v>42110134</v>
      </c>
      <c r="BT1060" s="73">
        <v>45358.284108796295</v>
      </c>
      <c r="BU1060" t="s">
        <v>226</v>
      </c>
      <c r="BV1060" t="s">
        <v>529</v>
      </c>
      <c r="BW1060" t="s">
        <v>235</v>
      </c>
      <c r="CH1060" t="s">
        <v>229</v>
      </c>
      <c r="CI1060" t="s">
        <v>103</v>
      </c>
      <c r="CJ1060" t="s">
        <v>226</v>
      </c>
      <c r="CK1060" t="s">
        <v>529</v>
      </c>
      <c r="CL1060" t="s">
        <v>235</v>
      </c>
      <c r="CM1060" t="s">
        <v>236</v>
      </c>
      <c r="CN1060" t="s">
        <v>104</v>
      </c>
      <c r="CO1060">
        <v>8337</v>
      </c>
      <c r="CP1060">
        <v>42110134</v>
      </c>
      <c r="CQ1060" s="73">
        <v>45358.284108796295</v>
      </c>
      <c r="CR1060" t="s">
        <v>229</v>
      </c>
      <c r="CS1060" t="s">
        <v>103</v>
      </c>
      <c r="CU1060" t="s">
        <v>225</v>
      </c>
    </row>
    <row r="1061" spans="1:99">
      <c r="A1061" t="s">
        <v>111</v>
      </c>
      <c r="B1061" t="s">
        <v>77</v>
      </c>
      <c r="J1061" t="s">
        <v>225</v>
      </c>
      <c r="K1061" t="s">
        <v>225</v>
      </c>
      <c r="M1061" s="73">
        <v>45358.284108796295</v>
      </c>
      <c r="N1061">
        <v>42110133</v>
      </c>
      <c r="O1061">
        <v>9</v>
      </c>
      <c r="P1061" t="s">
        <v>45</v>
      </c>
      <c r="Q1061">
        <v>9</v>
      </c>
      <c r="R1061" t="s">
        <v>45</v>
      </c>
      <c r="U1061" t="s">
        <v>226</v>
      </c>
      <c r="V1061" t="s">
        <v>529</v>
      </c>
      <c r="W1061" t="s">
        <v>237</v>
      </c>
      <c r="X1061" t="s">
        <v>229</v>
      </c>
      <c r="Y1061" t="s">
        <v>111</v>
      </c>
      <c r="AD1061" t="s">
        <v>45</v>
      </c>
      <c r="AE1061">
        <v>9</v>
      </c>
      <c r="AF1061">
        <v>42110133</v>
      </c>
      <c r="AG1061" s="73">
        <v>45358.284108796295</v>
      </c>
      <c r="AH1061" t="s">
        <v>226</v>
      </c>
      <c r="AI1061" t="s">
        <v>529</v>
      </c>
      <c r="AJ1061" t="s">
        <v>237</v>
      </c>
      <c r="AK1061" t="s">
        <v>229</v>
      </c>
      <c r="AL1061" t="s">
        <v>111</v>
      </c>
      <c r="AP1061" t="s">
        <v>230</v>
      </c>
      <c r="AQ1061" t="s">
        <v>231</v>
      </c>
      <c r="AT1061" t="s">
        <v>232</v>
      </c>
      <c r="AU1061">
        <v>-99</v>
      </c>
      <c r="AV1061" t="s">
        <v>45</v>
      </c>
      <c r="AW1061">
        <v>9</v>
      </c>
      <c r="AX1061">
        <v>42110133</v>
      </c>
      <c r="AY1061" s="73">
        <v>45358.284108796295</v>
      </c>
      <c r="AZ1061" t="s">
        <v>226</v>
      </c>
      <c r="BA1061" t="s">
        <v>529</v>
      </c>
      <c r="BB1061" t="s">
        <v>237</v>
      </c>
      <c r="BC1061" t="s">
        <v>229</v>
      </c>
      <c r="BD1061" t="s">
        <v>111</v>
      </c>
      <c r="BI1061" t="s">
        <v>233</v>
      </c>
      <c r="BJ1061" t="s">
        <v>0</v>
      </c>
      <c r="BK1061">
        <v>42110108</v>
      </c>
      <c r="BN1061" t="s">
        <v>45</v>
      </c>
      <c r="BO1061">
        <v>42110126</v>
      </c>
      <c r="BR1061">
        <v>9</v>
      </c>
      <c r="BS1061">
        <v>42110133</v>
      </c>
      <c r="BT1061" s="73">
        <v>45358.284108796295</v>
      </c>
      <c r="BU1061" t="s">
        <v>226</v>
      </c>
      <c r="BV1061" t="s">
        <v>529</v>
      </c>
      <c r="BW1061" t="s">
        <v>237</v>
      </c>
      <c r="CH1061" t="s">
        <v>229</v>
      </c>
      <c r="CI1061" t="s">
        <v>111</v>
      </c>
      <c r="CJ1061" t="s">
        <v>226</v>
      </c>
      <c r="CK1061" t="s">
        <v>529</v>
      </c>
      <c r="CL1061" t="s">
        <v>237</v>
      </c>
      <c r="CM1061" t="s">
        <v>236</v>
      </c>
      <c r="CN1061" t="s">
        <v>45</v>
      </c>
      <c r="CO1061">
        <v>9</v>
      </c>
      <c r="CP1061">
        <v>42110133</v>
      </c>
      <c r="CQ1061" s="73">
        <v>45358.284108796295</v>
      </c>
      <c r="CR1061" t="s">
        <v>229</v>
      </c>
      <c r="CS1061" t="s">
        <v>111</v>
      </c>
      <c r="CU1061" t="s">
        <v>225</v>
      </c>
    </row>
    <row r="1062" spans="1:99">
      <c r="A1062" t="s">
        <v>46</v>
      </c>
      <c r="B1062" t="s">
        <v>92</v>
      </c>
      <c r="J1062" t="s">
        <v>225</v>
      </c>
      <c r="K1062" t="s">
        <v>225</v>
      </c>
      <c r="M1062" s="73">
        <v>45358.282650462963</v>
      </c>
      <c r="N1062">
        <v>42110089</v>
      </c>
      <c r="O1062">
        <v>-601</v>
      </c>
      <c r="P1062" t="s">
        <v>45</v>
      </c>
      <c r="Q1062">
        <v>-601</v>
      </c>
      <c r="R1062" t="s">
        <v>45</v>
      </c>
      <c r="U1062" t="s">
        <v>226</v>
      </c>
      <c r="V1062" t="s">
        <v>530</v>
      </c>
      <c r="W1062" t="s">
        <v>228</v>
      </c>
      <c r="X1062" t="s">
        <v>229</v>
      </c>
      <c r="Y1062" t="s">
        <v>46</v>
      </c>
      <c r="AD1062" t="s">
        <v>45</v>
      </c>
      <c r="AE1062">
        <v>-601</v>
      </c>
      <c r="AF1062">
        <v>42110089</v>
      </c>
      <c r="AG1062" s="73">
        <v>45358.282650462963</v>
      </c>
      <c r="AH1062" t="s">
        <v>226</v>
      </c>
      <c r="AI1062" t="s">
        <v>530</v>
      </c>
      <c r="AJ1062" t="s">
        <v>228</v>
      </c>
      <c r="AK1062" t="s">
        <v>229</v>
      </c>
      <c r="AL1062" t="s">
        <v>46</v>
      </c>
      <c r="AP1062" t="s">
        <v>230</v>
      </c>
      <c r="AQ1062" t="s">
        <v>231</v>
      </c>
      <c r="AT1062" t="s">
        <v>232</v>
      </c>
      <c r="AU1062">
        <v>-99</v>
      </c>
      <c r="AV1062" t="s">
        <v>45</v>
      </c>
      <c r="AW1062">
        <v>-601</v>
      </c>
      <c r="AX1062">
        <v>42110089</v>
      </c>
      <c r="AY1062" s="73">
        <v>45358.282650462963</v>
      </c>
      <c r="AZ1062" t="s">
        <v>226</v>
      </c>
      <c r="BA1062" t="s">
        <v>530</v>
      </c>
      <c r="BB1062" t="s">
        <v>228</v>
      </c>
      <c r="BC1062" t="s">
        <v>229</v>
      </c>
      <c r="BD1062" t="s">
        <v>46</v>
      </c>
      <c r="BI1062" t="s">
        <v>233</v>
      </c>
      <c r="BJ1062" t="s">
        <v>0</v>
      </c>
      <c r="BK1062">
        <v>42110073</v>
      </c>
      <c r="BN1062" t="s">
        <v>45</v>
      </c>
      <c r="BR1062">
        <v>-601</v>
      </c>
      <c r="BS1062">
        <v>42110089</v>
      </c>
      <c r="BT1062" s="73">
        <v>45358.282650462963</v>
      </c>
      <c r="BU1062" t="s">
        <v>226</v>
      </c>
      <c r="BV1062" t="s">
        <v>530</v>
      </c>
      <c r="BW1062" t="s">
        <v>228</v>
      </c>
      <c r="CH1062" t="s">
        <v>229</v>
      </c>
      <c r="CI1062" t="s">
        <v>46</v>
      </c>
      <c r="CJ1062" t="s">
        <v>226</v>
      </c>
      <c r="CK1062" t="s">
        <v>530</v>
      </c>
      <c r="CL1062" t="s">
        <v>228</v>
      </c>
      <c r="CM1062" t="s">
        <v>234</v>
      </c>
      <c r="CN1062" t="s">
        <v>45</v>
      </c>
      <c r="CO1062">
        <v>-601</v>
      </c>
      <c r="CP1062">
        <v>42110089</v>
      </c>
      <c r="CQ1062" s="73">
        <v>45358.282650462963</v>
      </c>
      <c r="CR1062" t="s">
        <v>229</v>
      </c>
      <c r="CS1062" t="s">
        <v>46</v>
      </c>
      <c r="CU1062" t="s">
        <v>225</v>
      </c>
    </row>
    <row r="1063" spans="1:99">
      <c r="A1063" t="s">
        <v>93</v>
      </c>
      <c r="B1063" t="s">
        <v>98</v>
      </c>
      <c r="J1063" t="s">
        <v>225</v>
      </c>
      <c r="K1063" t="s">
        <v>225</v>
      </c>
      <c r="M1063" s="73">
        <v>45358.282650462963</v>
      </c>
      <c r="N1063">
        <v>42110088</v>
      </c>
      <c r="O1063">
        <v>-30</v>
      </c>
      <c r="P1063" t="s">
        <v>73</v>
      </c>
      <c r="Q1063">
        <v>-30</v>
      </c>
      <c r="R1063" t="s">
        <v>73</v>
      </c>
      <c r="U1063" t="s">
        <v>226</v>
      </c>
      <c r="V1063" t="s">
        <v>530</v>
      </c>
      <c r="W1063" t="s">
        <v>228</v>
      </c>
      <c r="X1063" t="s">
        <v>229</v>
      </c>
      <c r="Y1063" t="s">
        <v>93</v>
      </c>
      <c r="AD1063" t="s">
        <v>73</v>
      </c>
      <c r="AE1063">
        <v>-30</v>
      </c>
      <c r="AF1063">
        <v>42110088</v>
      </c>
      <c r="AG1063" s="73">
        <v>45358.282650462963</v>
      </c>
      <c r="AH1063" t="s">
        <v>226</v>
      </c>
      <c r="AI1063" t="s">
        <v>530</v>
      </c>
      <c r="AJ1063" t="s">
        <v>228</v>
      </c>
      <c r="AK1063" t="s">
        <v>229</v>
      </c>
      <c r="AL1063" t="s">
        <v>93</v>
      </c>
      <c r="AP1063" t="s">
        <v>230</v>
      </c>
      <c r="AQ1063" t="s">
        <v>231</v>
      </c>
      <c r="AT1063" t="s">
        <v>232</v>
      </c>
      <c r="AU1063">
        <v>-99</v>
      </c>
      <c r="AV1063" t="s">
        <v>73</v>
      </c>
      <c r="AW1063">
        <v>-30</v>
      </c>
      <c r="AX1063">
        <v>42110088</v>
      </c>
      <c r="AY1063" s="73">
        <v>45358.282650462963</v>
      </c>
      <c r="AZ1063" t="s">
        <v>226</v>
      </c>
      <c r="BA1063" t="s">
        <v>530</v>
      </c>
      <c r="BB1063" t="s">
        <v>228</v>
      </c>
      <c r="BC1063" t="s">
        <v>229</v>
      </c>
      <c r="BD1063" t="s">
        <v>93</v>
      </c>
      <c r="BI1063" t="s">
        <v>233</v>
      </c>
      <c r="BJ1063" t="s">
        <v>0</v>
      </c>
      <c r="BK1063">
        <v>42110073</v>
      </c>
      <c r="BN1063" t="s">
        <v>73</v>
      </c>
      <c r="BR1063">
        <v>-30</v>
      </c>
      <c r="BS1063">
        <v>42110088</v>
      </c>
      <c r="BT1063" s="73">
        <v>45358.282650462963</v>
      </c>
      <c r="BU1063" t="s">
        <v>226</v>
      </c>
      <c r="BV1063" t="s">
        <v>530</v>
      </c>
      <c r="BW1063" t="s">
        <v>228</v>
      </c>
      <c r="CH1063" t="s">
        <v>229</v>
      </c>
      <c r="CI1063" t="s">
        <v>93</v>
      </c>
      <c r="CJ1063" t="s">
        <v>226</v>
      </c>
      <c r="CK1063" t="s">
        <v>530</v>
      </c>
      <c r="CL1063" t="s">
        <v>228</v>
      </c>
      <c r="CM1063" t="s">
        <v>234</v>
      </c>
      <c r="CN1063" t="s">
        <v>73</v>
      </c>
      <c r="CO1063">
        <v>-30</v>
      </c>
      <c r="CP1063">
        <v>42110088</v>
      </c>
      <c r="CQ1063" s="73">
        <v>45358.282650462963</v>
      </c>
      <c r="CR1063" t="s">
        <v>229</v>
      </c>
      <c r="CS1063" t="s">
        <v>93</v>
      </c>
      <c r="CU1063" t="s">
        <v>225</v>
      </c>
    </row>
    <row r="1064" spans="1:99">
      <c r="A1064" t="s">
        <v>108</v>
      </c>
      <c r="B1064" t="s">
        <v>98</v>
      </c>
      <c r="J1064" t="s">
        <v>225</v>
      </c>
      <c r="K1064" t="s">
        <v>225</v>
      </c>
      <c r="M1064" s="73">
        <v>45358.282650462963</v>
      </c>
      <c r="N1064">
        <v>42110087</v>
      </c>
      <c r="O1064">
        <v>600</v>
      </c>
      <c r="P1064" t="s">
        <v>104</v>
      </c>
      <c r="Q1064">
        <v>600</v>
      </c>
      <c r="R1064" t="s">
        <v>104</v>
      </c>
      <c r="S1064">
        <v>30</v>
      </c>
      <c r="T1064" t="s">
        <v>73</v>
      </c>
      <c r="U1064" t="s">
        <v>226</v>
      </c>
      <c r="V1064" t="s">
        <v>530</v>
      </c>
      <c r="W1064" t="s">
        <v>235</v>
      </c>
      <c r="X1064" t="s">
        <v>229</v>
      </c>
      <c r="Y1064" t="s">
        <v>108</v>
      </c>
      <c r="AD1064" t="s">
        <v>104</v>
      </c>
      <c r="AE1064">
        <v>600</v>
      </c>
      <c r="AF1064">
        <v>42110087</v>
      </c>
      <c r="AG1064" s="73">
        <v>45358.282650462963</v>
      </c>
      <c r="AH1064" t="s">
        <v>226</v>
      </c>
      <c r="AI1064" t="s">
        <v>530</v>
      </c>
      <c r="AJ1064" t="s">
        <v>235</v>
      </c>
      <c r="AK1064" t="s">
        <v>229</v>
      </c>
      <c r="AL1064" t="s">
        <v>108</v>
      </c>
      <c r="AP1064" t="s">
        <v>230</v>
      </c>
      <c r="AQ1064" t="s">
        <v>231</v>
      </c>
      <c r="AT1064" t="s">
        <v>232</v>
      </c>
      <c r="AU1064">
        <v>-99</v>
      </c>
      <c r="AV1064" t="s">
        <v>104</v>
      </c>
      <c r="AW1064">
        <v>600</v>
      </c>
      <c r="AX1064">
        <v>42110087</v>
      </c>
      <c r="AY1064" s="73">
        <v>45358.282650462963</v>
      </c>
      <c r="AZ1064" t="s">
        <v>226</v>
      </c>
      <c r="BA1064" t="s">
        <v>530</v>
      </c>
      <c r="BB1064" t="s">
        <v>235</v>
      </c>
      <c r="BC1064" t="s">
        <v>229</v>
      </c>
      <c r="BD1064" t="s">
        <v>108</v>
      </c>
      <c r="BI1064" t="s">
        <v>233</v>
      </c>
      <c r="BJ1064" t="s">
        <v>0</v>
      </c>
      <c r="BK1064">
        <v>42110073</v>
      </c>
      <c r="BN1064" t="s">
        <v>104</v>
      </c>
      <c r="BO1064">
        <v>42110079</v>
      </c>
      <c r="BR1064">
        <v>600</v>
      </c>
      <c r="BS1064">
        <v>42110087</v>
      </c>
      <c r="BT1064" s="73">
        <v>45358.282650462963</v>
      </c>
      <c r="BU1064" t="s">
        <v>226</v>
      </c>
      <c r="BV1064" t="s">
        <v>530</v>
      </c>
      <c r="BW1064" t="s">
        <v>235</v>
      </c>
      <c r="CH1064" t="s">
        <v>229</v>
      </c>
      <c r="CI1064" t="s">
        <v>108</v>
      </c>
      <c r="CJ1064" t="s">
        <v>226</v>
      </c>
      <c r="CK1064" t="s">
        <v>530</v>
      </c>
      <c r="CL1064" t="s">
        <v>235</v>
      </c>
      <c r="CM1064" t="s">
        <v>236</v>
      </c>
      <c r="CN1064" t="s">
        <v>104</v>
      </c>
      <c r="CO1064">
        <v>600</v>
      </c>
      <c r="CP1064">
        <v>42110087</v>
      </c>
      <c r="CQ1064" s="73">
        <v>45358.282650462963</v>
      </c>
      <c r="CR1064" t="s">
        <v>229</v>
      </c>
      <c r="CS1064" t="s">
        <v>108</v>
      </c>
      <c r="CU1064" t="s">
        <v>225</v>
      </c>
    </row>
    <row r="1065" spans="1:99">
      <c r="A1065" t="s">
        <v>111</v>
      </c>
      <c r="B1065" t="s">
        <v>77</v>
      </c>
      <c r="J1065" t="s">
        <v>225</v>
      </c>
      <c r="K1065" t="s">
        <v>225</v>
      </c>
      <c r="M1065" s="73">
        <v>45358.282650462963</v>
      </c>
      <c r="N1065">
        <v>42110086</v>
      </c>
      <c r="O1065">
        <v>1</v>
      </c>
      <c r="P1065" t="s">
        <v>45</v>
      </c>
      <c r="Q1065">
        <v>1</v>
      </c>
      <c r="R1065" t="s">
        <v>45</v>
      </c>
      <c r="U1065" t="s">
        <v>226</v>
      </c>
      <c r="V1065" t="s">
        <v>530</v>
      </c>
      <c r="W1065" t="s">
        <v>237</v>
      </c>
      <c r="X1065" t="s">
        <v>229</v>
      </c>
      <c r="Y1065" t="s">
        <v>111</v>
      </c>
      <c r="AD1065" t="s">
        <v>45</v>
      </c>
      <c r="AE1065">
        <v>1</v>
      </c>
      <c r="AF1065">
        <v>42110086</v>
      </c>
      <c r="AG1065" s="73">
        <v>45358.282650462963</v>
      </c>
      <c r="AH1065" t="s">
        <v>226</v>
      </c>
      <c r="AI1065" t="s">
        <v>530</v>
      </c>
      <c r="AJ1065" t="s">
        <v>237</v>
      </c>
      <c r="AK1065" t="s">
        <v>229</v>
      </c>
      <c r="AL1065" t="s">
        <v>111</v>
      </c>
      <c r="AP1065" t="s">
        <v>230</v>
      </c>
      <c r="AQ1065" t="s">
        <v>231</v>
      </c>
      <c r="AT1065" t="s">
        <v>232</v>
      </c>
      <c r="AU1065">
        <v>-99</v>
      </c>
      <c r="AV1065" t="s">
        <v>45</v>
      </c>
      <c r="AW1065">
        <v>1</v>
      </c>
      <c r="AX1065">
        <v>42110086</v>
      </c>
      <c r="AY1065" s="73">
        <v>45358.282650462963</v>
      </c>
      <c r="AZ1065" t="s">
        <v>226</v>
      </c>
      <c r="BA1065" t="s">
        <v>530</v>
      </c>
      <c r="BB1065" t="s">
        <v>237</v>
      </c>
      <c r="BC1065" t="s">
        <v>229</v>
      </c>
      <c r="BD1065" t="s">
        <v>111</v>
      </c>
      <c r="BI1065" t="s">
        <v>233</v>
      </c>
      <c r="BJ1065" t="s">
        <v>0</v>
      </c>
      <c r="BK1065">
        <v>42110073</v>
      </c>
      <c r="BN1065" t="s">
        <v>45</v>
      </c>
      <c r="BO1065">
        <v>42110081</v>
      </c>
      <c r="BR1065">
        <v>1</v>
      </c>
      <c r="BS1065">
        <v>42110086</v>
      </c>
      <c r="BT1065" s="73">
        <v>45358.282650462963</v>
      </c>
      <c r="BU1065" t="s">
        <v>226</v>
      </c>
      <c r="BV1065" t="s">
        <v>530</v>
      </c>
      <c r="BW1065" t="s">
        <v>237</v>
      </c>
      <c r="CH1065" t="s">
        <v>229</v>
      </c>
      <c r="CI1065" t="s">
        <v>111</v>
      </c>
      <c r="CJ1065" t="s">
        <v>226</v>
      </c>
      <c r="CK1065" t="s">
        <v>530</v>
      </c>
      <c r="CL1065" t="s">
        <v>237</v>
      </c>
      <c r="CM1065" t="s">
        <v>236</v>
      </c>
      <c r="CN1065" t="s">
        <v>45</v>
      </c>
      <c r="CO1065">
        <v>1</v>
      </c>
      <c r="CP1065">
        <v>42110086</v>
      </c>
      <c r="CQ1065" s="73">
        <v>45358.282650462963</v>
      </c>
      <c r="CR1065" t="s">
        <v>229</v>
      </c>
      <c r="CS1065" t="s">
        <v>111</v>
      </c>
      <c r="CU1065" t="s">
        <v>225</v>
      </c>
    </row>
    <row r="1066" spans="1:99">
      <c r="A1066" t="s">
        <v>113</v>
      </c>
      <c r="B1066" t="s">
        <v>90</v>
      </c>
      <c r="J1066" t="s">
        <v>225</v>
      </c>
      <c r="K1066" t="s">
        <v>225</v>
      </c>
      <c r="M1066" s="73">
        <v>45358.256956018522</v>
      </c>
      <c r="N1066">
        <v>42120311</v>
      </c>
      <c r="O1066">
        <v>-300</v>
      </c>
      <c r="P1066" t="s">
        <v>115</v>
      </c>
      <c r="Q1066">
        <v>-300</v>
      </c>
      <c r="R1066" t="s">
        <v>115</v>
      </c>
      <c r="U1066" t="s">
        <v>226</v>
      </c>
      <c r="V1066" t="s">
        <v>524</v>
      </c>
      <c r="W1066" t="s">
        <v>228</v>
      </c>
      <c r="X1066" t="s">
        <v>229</v>
      </c>
      <c r="Y1066" t="s">
        <v>113</v>
      </c>
      <c r="AD1066" t="s">
        <v>115</v>
      </c>
      <c r="AE1066">
        <v>-300</v>
      </c>
      <c r="AF1066">
        <v>42120311</v>
      </c>
      <c r="AG1066" s="73">
        <v>45358.256956018522</v>
      </c>
      <c r="AH1066" t="s">
        <v>226</v>
      </c>
      <c r="AI1066" t="s">
        <v>524</v>
      </c>
      <c r="AJ1066" t="s">
        <v>228</v>
      </c>
      <c r="AK1066" t="s">
        <v>229</v>
      </c>
      <c r="AL1066" t="s">
        <v>113</v>
      </c>
      <c r="AP1066" t="s">
        <v>230</v>
      </c>
      <c r="AQ1066" t="s">
        <v>231</v>
      </c>
      <c r="AT1066" t="s">
        <v>232</v>
      </c>
      <c r="AU1066">
        <v>-99</v>
      </c>
      <c r="AV1066" t="s">
        <v>115</v>
      </c>
      <c r="AW1066">
        <v>-300</v>
      </c>
      <c r="AX1066">
        <v>42120311</v>
      </c>
      <c r="AY1066" s="73">
        <v>45358.256956018522</v>
      </c>
      <c r="AZ1066" t="s">
        <v>226</v>
      </c>
      <c r="BA1066" t="s">
        <v>524</v>
      </c>
      <c r="BB1066" t="s">
        <v>228</v>
      </c>
      <c r="BC1066" t="s">
        <v>229</v>
      </c>
      <c r="BD1066" t="s">
        <v>113</v>
      </c>
      <c r="BI1066" t="s">
        <v>233</v>
      </c>
      <c r="BJ1066" t="s">
        <v>0</v>
      </c>
      <c r="BK1066">
        <v>42120242</v>
      </c>
      <c r="BN1066" t="s">
        <v>115</v>
      </c>
      <c r="BR1066">
        <v>-300</v>
      </c>
      <c r="BS1066">
        <v>42120311</v>
      </c>
      <c r="BT1066" s="73">
        <v>45358.256956018522</v>
      </c>
      <c r="BU1066" t="s">
        <v>226</v>
      </c>
      <c r="BV1066" t="s">
        <v>524</v>
      </c>
      <c r="BW1066" t="s">
        <v>228</v>
      </c>
      <c r="CH1066" t="s">
        <v>229</v>
      </c>
      <c r="CI1066" t="s">
        <v>113</v>
      </c>
      <c r="CJ1066" t="s">
        <v>226</v>
      </c>
      <c r="CK1066" t="s">
        <v>524</v>
      </c>
      <c r="CL1066" t="s">
        <v>228</v>
      </c>
      <c r="CM1066" t="s">
        <v>234</v>
      </c>
      <c r="CN1066" t="s">
        <v>115</v>
      </c>
      <c r="CO1066">
        <v>-300</v>
      </c>
      <c r="CP1066">
        <v>42120311</v>
      </c>
      <c r="CQ1066" s="73">
        <v>45358.256956018522</v>
      </c>
      <c r="CR1066" t="s">
        <v>229</v>
      </c>
      <c r="CS1066" t="s">
        <v>113</v>
      </c>
      <c r="CU1066" t="s">
        <v>225</v>
      </c>
    </row>
    <row r="1067" spans="1:99">
      <c r="A1067" t="s">
        <v>129</v>
      </c>
      <c r="B1067" t="s">
        <v>90</v>
      </c>
      <c r="J1067" t="s">
        <v>225</v>
      </c>
      <c r="K1067" t="s">
        <v>225</v>
      </c>
      <c r="M1067" s="73">
        <v>45358.256956018522</v>
      </c>
      <c r="N1067">
        <v>42120310</v>
      </c>
      <c r="O1067">
        <v>-5.4</v>
      </c>
      <c r="P1067" t="s">
        <v>73</v>
      </c>
      <c r="Q1067">
        <v>-5.4</v>
      </c>
      <c r="R1067" t="s">
        <v>73</v>
      </c>
      <c r="U1067" t="s">
        <v>226</v>
      </c>
      <c r="V1067" t="s">
        <v>524</v>
      </c>
      <c r="W1067" t="s">
        <v>228</v>
      </c>
      <c r="X1067" t="s">
        <v>229</v>
      </c>
      <c r="Y1067" t="s">
        <v>129</v>
      </c>
      <c r="AD1067" t="s">
        <v>73</v>
      </c>
      <c r="AE1067">
        <v>-5.4</v>
      </c>
      <c r="AF1067">
        <v>42120310</v>
      </c>
      <c r="AG1067" s="73">
        <v>45358.256956018522</v>
      </c>
      <c r="AH1067" t="s">
        <v>226</v>
      </c>
      <c r="AI1067" t="s">
        <v>524</v>
      </c>
      <c r="AJ1067" t="s">
        <v>228</v>
      </c>
      <c r="AK1067" t="s">
        <v>229</v>
      </c>
      <c r="AL1067" t="s">
        <v>129</v>
      </c>
      <c r="AP1067" t="s">
        <v>230</v>
      </c>
      <c r="AQ1067" t="s">
        <v>231</v>
      </c>
      <c r="AT1067" t="s">
        <v>232</v>
      </c>
      <c r="AU1067">
        <v>-99</v>
      </c>
      <c r="AV1067" t="s">
        <v>73</v>
      </c>
      <c r="AW1067">
        <v>-5.4</v>
      </c>
      <c r="AX1067">
        <v>42120310</v>
      </c>
      <c r="AY1067" s="73">
        <v>45358.256956018522</v>
      </c>
      <c r="AZ1067" t="s">
        <v>226</v>
      </c>
      <c r="BA1067" t="s">
        <v>524</v>
      </c>
      <c r="BB1067" t="s">
        <v>228</v>
      </c>
      <c r="BC1067" t="s">
        <v>229</v>
      </c>
      <c r="BD1067" t="s">
        <v>129</v>
      </c>
      <c r="BI1067" t="s">
        <v>233</v>
      </c>
      <c r="BJ1067" t="s">
        <v>0</v>
      </c>
      <c r="BK1067">
        <v>42120242</v>
      </c>
      <c r="BN1067" t="s">
        <v>73</v>
      </c>
      <c r="BR1067">
        <v>-5.4</v>
      </c>
      <c r="BS1067">
        <v>42120310</v>
      </c>
      <c r="BT1067" s="73">
        <v>45358.256956018522</v>
      </c>
      <c r="BU1067" t="s">
        <v>226</v>
      </c>
      <c r="BV1067" t="s">
        <v>524</v>
      </c>
      <c r="BW1067" t="s">
        <v>228</v>
      </c>
      <c r="CH1067" t="s">
        <v>229</v>
      </c>
      <c r="CI1067" t="s">
        <v>129</v>
      </c>
      <c r="CJ1067" t="s">
        <v>226</v>
      </c>
      <c r="CK1067" t="s">
        <v>524</v>
      </c>
      <c r="CL1067" t="s">
        <v>228</v>
      </c>
      <c r="CM1067" t="s">
        <v>234</v>
      </c>
      <c r="CN1067" t="s">
        <v>73</v>
      </c>
      <c r="CO1067">
        <v>-5.4</v>
      </c>
      <c r="CP1067">
        <v>42120310</v>
      </c>
      <c r="CQ1067" s="73">
        <v>45358.256956018522</v>
      </c>
      <c r="CR1067" t="s">
        <v>229</v>
      </c>
      <c r="CS1067" t="s">
        <v>129</v>
      </c>
      <c r="CU1067" t="s">
        <v>225</v>
      </c>
    </row>
    <row r="1068" spans="1:99">
      <c r="A1068" t="s">
        <v>42</v>
      </c>
      <c r="B1068" t="s">
        <v>92</v>
      </c>
      <c r="J1068" t="s">
        <v>225</v>
      </c>
      <c r="K1068" t="s">
        <v>225</v>
      </c>
      <c r="M1068" s="73">
        <v>45357.916666666664</v>
      </c>
      <c r="N1068">
        <v>42109555</v>
      </c>
      <c r="O1068">
        <v>-5570</v>
      </c>
      <c r="P1068" t="s">
        <v>45</v>
      </c>
      <c r="Q1068">
        <v>-5570</v>
      </c>
      <c r="R1068" t="s">
        <v>45</v>
      </c>
      <c r="U1068" t="s">
        <v>226</v>
      </c>
      <c r="V1068" t="s">
        <v>531</v>
      </c>
      <c r="W1068" t="s">
        <v>228</v>
      </c>
      <c r="X1068" t="s">
        <v>229</v>
      </c>
      <c r="Y1068" t="s">
        <v>42</v>
      </c>
      <c r="AD1068" t="s">
        <v>45</v>
      </c>
      <c r="AE1068">
        <v>-5570</v>
      </c>
      <c r="AF1068">
        <v>42109555</v>
      </c>
      <c r="AG1068" s="73">
        <v>45357.916666666664</v>
      </c>
      <c r="AH1068" t="s">
        <v>226</v>
      </c>
      <c r="AI1068" t="s">
        <v>531</v>
      </c>
      <c r="AJ1068" t="s">
        <v>228</v>
      </c>
      <c r="AK1068" t="s">
        <v>229</v>
      </c>
      <c r="AL1068" t="s">
        <v>42</v>
      </c>
      <c r="AP1068" t="s">
        <v>230</v>
      </c>
      <c r="AQ1068" t="s">
        <v>231</v>
      </c>
      <c r="AT1068" t="s">
        <v>232</v>
      </c>
      <c r="AU1068">
        <v>-99</v>
      </c>
      <c r="AV1068" t="s">
        <v>45</v>
      </c>
      <c r="AW1068">
        <v>-5570</v>
      </c>
      <c r="AX1068">
        <v>42109555</v>
      </c>
      <c r="AY1068" s="73">
        <v>45357.916666666664</v>
      </c>
      <c r="AZ1068" t="s">
        <v>226</v>
      </c>
      <c r="BA1068" t="s">
        <v>531</v>
      </c>
      <c r="BB1068" t="s">
        <v>228</v>
      </c>
      <c r="BC1068" t="s">
        <v>229</v>
      </c>
      <c r="BD1068" t="s">
        <v>42</v>
      </c>
      <c r="BI1068" t="s">
        <v>233</v>
      </c>
      <c r="BJ1068" t="s">
        <v>0</v>
      </c>
      <c r="BK1068">
        <v>42109539</v>
      </c>
      <c r="BN1068" t="s">
        <v>45</v>
      </c>
      <c r="BR1068">
        <v>-5570</v>
      </c>
      <c r="BS1068">
        <v>42109555</v>
      </c>
      <c r="BT1068" s="73">
        <v>45357.916666666664</v>
      </c>
      <c r="BU1068" t="s">
        <v>226</v>
      </c>
      <c r="BV1068" t="s">
        <v>531</v>
      </c>
      <c r="BW1068" t="s">
        <v>228</v>
      </c>
      <c r="CH1068" t="s">
        <v>229</v>
      </c>
      <c r="CI1068" t="s">
        <v>42</v>
      </c>
      <c r="CJ1068" t="s">
        <v>226</v>
      </c>
      <c r="CK1068" t="s">
        <v>531</v>
      </c>
      <c r="CL1068" t="s">
        <v>228</v>
      </c>
      <c r="CM1068" t="s">
        <v>234</v>
      </c>
      <c r="CN1068" t="s">
        <v>45</v>
      </c>
      <c r="CO1068">
        <v>-5570</v>
      </c>
      <c r="CP1068">
        <v>42109555</v>
      </c>
      <c r="CQ1068" s="73">
        <v>45357.916666666664</v>
      </c>
      <c r="CR1068" t="s">
        <v>229</v>
      </c>
      <c r="CS1068" t="s">
        <v>42</v>
      </c>
      <c r="CU1068" t="s">
        <v>225</v>
      </c>
    </row>
    <row r="1069" spans="1:99">
      <c r="A1069" t="s">
        <v>99</v>
      </c>
      <c r="B1069" t="s">
        <v>98</v>
      </c>
      <c r="J1069" t="s">
        <v>225</v>
      </c>
      <c r="K1069" t="s">
        <v>225</v>
      </c>
      <c r="M1069" s="73">
        <v>45357.916666666664</v>
      </c>
      <c r="N1069">
        <v>42109554</v>
      </c>
      <c r="O1069">
        <v>-278</v>
      </c>
      <c r="P1069" t="s">
        <v>73</v>
      </c>
      <c r="Q1069">
        <v>-278</v>
      </c>
      <c r="R1069" t="s">
        <v>73</v>
      </c>
      <c r="U1069" t="s">
        <v>226</v>
      </c>
      <c r="V1069" t="s">
        <v>531</v>
      </c>
      <c r="W1069" t="s">
        <v>228</v>
      </c>
      <c r="X1069" t="s">
        <v>229</v>
      </c>
      <c r="Y1069" t="s">
        <v>99</v>
      </c>
      <c r="AD1069" t="s">
        <v>73</v>
      </c>
      <c r="AE1069">
        <v>-278</v>
      </c>
      <c r="AF1069">
        <v>42109554</v>
      </c>
      <c r="AG1069" s="73">
        <v>45357.916666666664</v>
      </c>
      <c r="AH1069" t="s">
        <v>226</v>
      </c>
      <c r="AI1069" t="s">
        <v>531</v>
      </c>
      <c r="AJ1069" t="s">
        <v>228</v>
      </c>
      <c r="AK1069" t="s">
        <v>229</v>
      </c>
      <c r="AL1069" t="s">
        <v>99</v>
      </c>
      <c r="AP1069" t="s">
        <v>230</v>
      </c>
      <c r="AQ1069" t="s">
        <v>231</v>
      </c>
      <c r="AT1069" t="s">
        <v>232</v>
      </c>
      <c r="AU1069">
        <v>-99</v>
      </c>
      <c r="AV1069" t="s">
        <v>73</v>
      </c>
      <c r="AW1069">
        <v>-278</v>
      </c>
      <c r="AX1069">
        <v>42109554</v>
      </c>
      <c r="AY1069" s="73">
        <v>45357.916666666664</v>
      </c>
      <c r="AZ1069" t="s">
        <v>226</v>
      </c>
      <c r="BA1069" t="s">
        <v>531</v>
      </c>
      <c r="BB1069" t="s">
        <v>228</v>
      </c>
      <c r="BC1069" t="s">
        <v>229</v>
      </c>
      <c r="BD1069" t="s">
        <v>99</v>
      </c>
      <c r="BI1069" t="s">
        <v>233</v>
      </c>
      <c r="BJ1069" t="s">
        <v>0</v>
      </c>
      <c r="BK1069">
        <v>42109539</v>
      </c>
      <c r="BN1069" t="s">
        <v>73</v>
      </c>
      <c r="BR1069">
        <v>-278</v>
      </c>
      <c r="BS1069">
        <v>42109554</v>
      </c>
      <c r="BT1069" s="73">
        <v>45357.916666666664</v>
      </c>
      <c r="BU1069" t="s">
        <v>226</v>
      </c>
      <c r="BV1069" t="s">
        <v>531</v>
      </c>
      <c r="BW1069" t="s">
        <v>228</v>
      </c>
      <c r="CH1069" t="s">
        <v>229</v>
      </c>
      <c r="CI1069" t="s">
        <v>99</v>
      </c>
      <c r="CJ1069" t="s">
        <v>226</v>
      </c>
      <c r="CK1069" t="s">
        <v>531</v>
      </c>
      <c r="CL1069" t="s">
        <v>228</v>
      </c>
      <c r="CM1069" t="s">
        <v>234</v>
      </c>
      <c r="CN1069" t="s">
        <v>73</v>
      </c>
      <c r="CO1069">
        <v>-278</v>
      </c>
      <c r="CP1069">
        <v>42109554</v>
      </c>
      <c r="CQ1069" s="73">
        <v>45357.916666666664</v>
      </c>
      <c r="CR1069" t="s">
        <v>229</v>
      </c>
      <c r="CS1069" t="s">
        <v>99</v>
      </c>
      <c r="CU1069" t="s">
        <v>225</v>
      </c>
    </row>
    <row r="1070" spans="1:99">
      <c r="A1070" t="s">
        <v>103</v>
      </c>
      <c r="B1070" t="s">
        <v>98</v>
      </c>
      <c r="J1070" t="s">
        <v>225</v>
      </c>
      <c r="K1070" t="s">
        <v>225</v>
      </c>
      <c r="M1070" s="73">
        <v>45357.916666666664</v>
      </c>
      <c r="N1070">
        <v>42109553</v>
      </c>
      <c r="O1070">
        <v>5560</v>
      </c>
      <c r="P1070" t="s">
        <v>104</v>
      </c>
      <c r="Q1070">
        <v>5560</v>
      </c>
      <c r="R1070" t="s">
        <v>104</v>
      </c>
      <c r="S1070">
        <v>278</v>
      </c>
      <c r="T1070" t="s">
        <v>73</v>
      </c>
      <c r="U1070" t="s">
        <v>226</v>
      </c>
      <c r="V1070" t="s">
        <v>531</v>
      </c>
      <c r="W1070" t="s">
        <v>235</v>
      </c>
      <c r="X1070" t="s">
        <v>229</v>
      </c>
      <c r="Y1070" t="s">
        <v>103</v>
      </c>
      <c r="AD1070" t="s">
        <v>104</v>
      </c>
      <c r="AE1070">
        <v>5560</v>
      </c>
      <c r="AF1070">
        <v>42109553</v>
      </c>
      <c r="AG1070" s="73">
        <v>45357.916666666664</v>
      </c>
      <c r="AH1070" t="s">
        <v>226</v>
      </c>
      <c r="AI1070" t="s">
        <v>531</v>
      </c>
      <c r="AJ1070" t="s">
        <v>235</v>
      </c>
      <c r="AK1070" t="s">
        <v>229</v>
      </c>
      <c r="AL1070" t="s">
        <v>103</v>
      </c>
      <c r="AP1070" t="s">
        <v>230</v>
      </c>
      <c r="AQ1070" t="s">
        <v>231</v>
      </c>
      <c r="AT1070" t="s">
        <v>232</v>
      </c>
      <c r="AU1070">
        <v>-99</v>
      </c>
      <c r="AV1070" t="s">
        <v>104</v>
      </c>
      <c r="AW1070">
        <v>5560</v>
      </c>
      <c r="AX1070">
        <v>42109553</v>
      </c>
      <c r="AY1070" s="73">
        <v>45357.916666666664</v>
      </c>
      <c r="AZ1070" t="s">
        <v>226</v>
      </c>
      <c r="BA1070" t="s">
        <v>531</v>
      </c>
      <c r="BB1070" t="s">
        <v>235</v>
      </c>
      <c r="BC1070" t="s">
        <v>229</v>
      </c>
      <c r="BD1070" t="s">
        <v>103</v>
      </c>
      <c r="BI1070" t="s">
        <v>233</v>
      </c>
      <c r="BJ1070" t="s">
        <v>0</v>
      </c>
      <c r="BK1070">
        <v>42109539</v>
      </c>
      <c r="BN1070" t="s">
        <v>104</v>
      </c>
      <c r="BO1070">
        <v>42109545</v>
      </c>
      <c r="BR1070">
        <v>5560</v>
      </c>
      <c r="BS1070">
        <v>42109553</v>
      </c>
      <c r="BT1070" s="73">
        <v>45357.916666666664</v>
      </c>
      <c r="BU1070" t="s">
        <v>226</v>
      </c>
      <c r="BV1070" t="s">
        <v>531</v>
      </c>
      <c r="BW1070" t="s">
        <v>235</v>
      </c>
      <c r="CH1070" t="s">
        <v>229</v>
      </c>
      <c r="CI1070" t="s">
        <v>103</v>
      </c>
      <c r="CJ1070" t="s">
        <v>226</v>
      </c>
      <c r="CK1070" t="s">
        <v>531</v>
      </c>
      <c r="CL1070" t="s">
        <v>235</v>
      </c>
      <c r="CM1070" t="s">
        <v>236</v>
      </c>
      <c r="CN1070" t="s">
        <v>104</v>
      </c>
      <c r="CO1070">
        <v>5560</v>
      </c>
      <c r="CP1070">
        <v>42109553</v>
      </c>
      <c r="CQ1070" s="73">
        <v>45357.916666666664</v>
      </c>
      <c r="CR1070" t="s">
        <v>229</v>
      </c>
      <c r="CS1070" t="s">
        <v>103</v>
      </c>
      <c r="CU1070" t="s">
        <v>225</v>
      </c>
    </row>
    <row r="1071" spans="1:99">
      <c r="A1071" t="s">
        <v>111</v>
      </c>
      <c r="B1071" t="s">
        <v>77</v>
      </c>
      <c r="J1071" t="s">
        <v>225</v>
      </c>
      <c r="K1071" t="s">
        <v>225</v>
      </c>
      <c r="M1071" s="73">
        <v>45357.916666666664</v>
      </c>
      <c r="N1071">
        <v>42109552</v>
      </c>
      <c r="O1071">
        <v>10</v>
      </c>
      <c r="P1071" t="s">
        <v>45</v>
      </c>
      <c r="Q1071">
        <v>10</v>
      </c>
      <c r="R1071" t="s">
        <v>45</v>
      </c>
      <c r="U1071" t="s">
        <v>226</v>
      </c>
      <c r="V1071" t="s">
        <v>531</v>
      </c>
      <c r="W1071" t="s">
        <v>237</v>
      </c>
      <c r="X1071" t="s">
        <v>229</v>
      </c>
      <c r="Y1071" t="s">
        <v>111</v>
      </c>
      <c r="AD1071" t="s">
        <v>45</v>
      </c>
      <c r="AE1071">
        <v>10</v>
      </c>
      <c r="AF1071">
        <v>42109552</v>
      </c>
      <c r="AG1071" s="73">
        <v>45357.916666666664</v>
      </c>
      <c r="AH1071" t="s">
        <v>226</v>
      </c>
      <c r="AI1071" t="s">
        <v>531</v>
      </c>
      <c r="AJ1071" t="s">
        <v>237</v>
      </c>
      <c r="AK1071" t="s">
        <v>229</v>
      </c>
      <c r="AL1071" t="s">
        <v>111</v>
      </c>
      <c r="AP1071" t="s">
        <v>230</v>
      </c>
      <c r="AQ1071" t="s">
        <v>231</v>
      </c>
      <c r="AT1071" t="s">
        <v>232</v>
      </c>
      <c r="AU1071">
        <v>-99</v>
      </c>
      <c r="AV1071" t="s">
        <v>45</v>
      </c>
      <c r="AW1071">
        <v>10</v>
      </c>
      <c r="AX1071">
        <v>42109552</v>
      </c>
      <c r="AY1071" s="73">
        <v>45357.916666666664</v>
      </c>
      <c r="AZ1071" t="s">
        <v>226</v>
      </c>
      <c r="BA1071" t="s">
        <v>531</v>
      </c>
      <c r="BB1071" t="s">
        <v>237</v>
      </c>
      <c r="BC1071" t="s">
        <v>229</v>
      </c>
      <c r="BD1071" t="s">
        <v>111</v>
      </c>
      <c r="BI1071" t="s">
        <v>233</v>
      </c>
      <c r="BJ1071" t="s">
        <v>0</v>
      </c>
      <c r="BK1071">
        <v>42109539</v>
      </c>
      <c r="BN1071" t="s">
        <v>45</v>
      </c>
      <c r="BO1071">
        <v>42109547</v>
      </c>
      <c r="BR1071">
        <v>10</v>
      </c>
      <c r="BS1071">
        <v>42109552</v>
      </c>
      <c r="BT1071" s="73">
        <v>45357.916666666664</v>
      </c>
      <c r="BU1071" t="s">
        <v>226</v>
      </c>
      <c r="BV1071" t="s">
        <v>531</v>
      </c>
      <c r="BW1071" t="s">
        <v>237</v>
      </c>
      <c r="CH1071" t="s">
        <v>229</v>
      </c>
      <c r="CI1071" t="s">
        <v>111</v>
      </c>
      <c r="CJ1071" t="s">
        <v>226</v>
      </c>
      <c r="CK1071" t="s">
        <v>531</v>
      </c>
      <c r="CL1071" t="s">
        <v>237</v>
      </c>
      <c r="CM1071" t="s">
        <v>236</v>
      </c>
      <c r="CN1071" t="s">
        <v>45</v>
      </c>
      <c r="CO1071">
        <v>10</v>
      </c>
      <c r="CP1071">
        <v>42109552</v>
      </c>
      <c r="CQ1071" s="73">
        <v>45357.916666666664</v>
      </c>
      <c r="CR1071" t="s">
        <v>229</v>
      </c>
      <c r="CS1071" t="s">
        <v>111</v>
      </c>
      <c r="CU1071" t="s">
        <v>225</v>
      </c>
    </row>
    <row r="1072" spans="1:99">
      <c r="A1072" t="s">
        <v>52</v>
      </c>
      <c r="B1072" t="s">
        <v>92</v>
      </c>
      <c r="J1072" t="s">
        <v>225</v>
      </c>
      <c r="K1072" t="s">
        <v>225</v>
      </c>
      <c r="M1072" s="73">
        <v>45357.916666666664</v>
      </c>
      <c r="N1072">
        <v>42109430</v>
      </c>
      <c r="O1072">
        <v>-4004</v>
      </c>
      <c r="P1072" t="s">
        <v>45</v>
      </c>
      <c r="Q1072">
        <v>-4004</v>
      </c>
      <c r="R1072" t="s">
        <v>45</v>
      </c>
      <c r="U1072" t="s">
        <v>226</v>
      </c>
      <c r="V1072" t="s">
        <v>532</v>
      </c>
      <c r="W1072" t="s">
        <v>228</v>
      </c>
      <c r="X1072" t="s">
        <v>229</v>
      </c>
      <c r="Y1072" t="s">
        <v>52</v>
      </c>
      <c r="AD1072" t="s">
        <v>45</v>
      </c>
      <c r="AE1072">
        <v>-4004</v>
      </c>
      <c r="AF1072">
        <v>42109430</v>
      </c>
      <c r="AG1072" s="73">
        <v>45357.916666666664</v>
      </c>
      <c r="AH1072" t="s">
        <v>226</v>
      </c>
      <c r="AI1072" t="s">
        <v>532</v>
      </c>
      <c r="AJ1072" t="s">
        <v>228</v>
      </c>
      <c r="AK1072" t="s">
        <v>229</v>
      </c>
      <c r="AL1072" t="s">
        <v>52</v>
      </c>
      <c r="AP1072" t="s">
        <v>230</v>
      </c>
      <c r="AQ1072" t="s">
        <v>231</v>
      </c>
      <c r="AT1072" t="s">
        <v>232</v>
      </c>
      <c r="AU1072">
        <v>-99</v>
      </c>
      <c r="AV1072" t="s">
        <v>45</v>
      </c>
      <c r="AW1072">
        <v>-4004</v>
      </c>
      <c r="AX1072">
        <v>42109430</v>
      </c>
      <c r="AY1072" s="73">
        <v>45357.916666666664</v>
      </c>
      <c r="AZ1072" t="s">
        <v>226</v>
      </c>
      <c r="BA1072" t="s">
        <v>532</v>
      </c>
      <c r="BB1072" t="s">
        <v>228</v>
      </c>
      <c r="BC1072" t="s">
        <v>229</v>
      </c>
      <c r="BD1072" t="s">
        <v>52</v>
      </c>
      <c r="BI1072" t="s">
        <v>233</v>
      </c>
      <c r="BJ1072" t="s">
        <v>0</v>
      </c>
      <c r="BK1072">
        <v>42109407</v>
      </c>
      <c r="BN1072" t="s">
        <v>45</v>
      </c>
      <c r="BR1072">
        <v>-4004</v>
      </c>
      <c r="BS1072">
        <v>42109430</v>
      </c>
      <c r="BT1072" s="73">
        <v>45357.916666666664</v>
      </c>
      <c r="BU1072" t="s">
        <v>226</v>
      </c>
      <c r="BV1072" t="s">
        <v>532</v>
      </c>
      <c r="BW1072" t="s">
        <v>228</v>
      </c>
      <c r="CH1072" t="s">
        <v>229</v>
      </c>
      <c r="CI1072" t="s">
        <v>52</v>
      </c>
      <c r="CJ1072" t="s">
        <v>226</v>
      </c>
      <c r="CK1072" t="s">
        <v>532</v>
      </c>
      <c r="CL1072" t="s">
        <v>228</v>
      </c>
      <c r="CM1072" t="s">
        <v>234</v>
      </c>
      <c r="CN1072" t="s">
        <v>45</v>
      </c>
      <c r="CO1072">
        <v>-4004</v>
      </c>
      <c r="CP1072">
        <v>42109430</v>
      </c>
      <c r="CQ1072" s="73">
        <v>45357.916666666664</v>
      </c>
      <c r="CR1072" t="s">
        <v>229</v>
      </c>
      <c r="CS1072" t="s">
        <v>52</v>
      </c>
      <c r="CU1072" t="s">
        <v>225</v>
      </c>
    </row>
    <row r="1073" spans="1:99">
      <c r="A1073" t="s">
        <v>101</v>
      </c>
      <c r="B1073" t="s">
        <v>98</v>
      </c>
      <c r="J1073" t="s">
        <v>225</v>
      </c>
      <c r="K1073" t="s">
        <v>225</v>
      </c>
      <c r="M1073" s="73">
        <v>45357.916666666664</v>
      </c>
      <c r="N1073">
        <v>42109429</v>
      </c>
      <c r="O1073">
        <v>-200</v>
      </c>
      <c r="P1073" t="s">
        <v>73</v>
      </c>
      <c r="Q1073">
        <v>-200</v>
      </c>
      <c r="R1073" t="s">
        <v>73</v>
      </c>
      <c r="U1073" t="s">
        <v>226</v>
      </c>
      <c r="V1073" t="s">
        <v>532</v>
      </c>
      <c r="W1073" t="s">
        <v>228</v>
      </c>
      <c r="X1073" t="s">
        <v>229</v>
      </c>
      <c r="Y1073" t="s">
        <v>101</v>
      </c>
      <c r="AD1073" t="s">
        <v>73</v>
      </c>
      <c r="AE1073">
        <v>-200</v>
      </c>
      <c r="AF1073">
        <v>42109429</v>
      </c>
      <c r="AG1073" s="73">
        <v>45357.916666666664</v>
      </c>
      <c r="AH1073" t="s">
        <v>226</v>
      </c>
      <c r="AI1073" t="s">
        <v>532</v>
      </c>
      <c r="AJ1073" t="s">
        <v>228</v>
      </c>
      <c r="AK1073" t="s">
        <v>229</v>
      </c>
      <c r="AL1073" t="s">
        <v>101</v>
      </c>
      <c r="AP1073" t="s">
        <v>230</v>
      </c>
      <c r="AQ1073" t="s">
        <v>231</v>
      </c>
      <c r="AT1073" t="s">
        <v>232</v>
      </c>
      <c r="AU1073">
        <v>-99</v>
      </c>
      <c r="AV1073" t="s">
        <v>73</v>
      </c>
      <c r="AW1073">
        <v>-200</v>
      </c>
      <c r="AX1073">
        <v>42109429</v>
      </c>
      <c r="AY1073" s="73">
        <v>45357.916666666664</v>
      </c>
      <c r="AZ1073" t="s">
        <v>226</v>
      </c>
      <c r="BA1073" t="s">
        <v>532</v>
      </c>
      <c r="BB1073" t="s">
        <v>228</v>
      </c>
      <c r="BC1073" t="s">
        <v>229</v>
      </c>
      <c r="BD1073" t="s">
        <v>101</v>
      </c>
      <c r="BI1073" t="s">
        <v>233</v>
      </c>
      <c r="BJ1073" t="s">
        <v>0</v>
      </c>
      <c r="BK1073">
        <v>42109407</v>
      </c>
      <c r="BN1073" t="s">
        <v>73</v>
      </c>
      <c r="BR1073">
        <v>-200</v>
      </c>
      <c r="BS1073">
        <v>42109429</v>
      </c>
      <c r="BT1073" s="73">
        <v>45357.916666666664</v>
      </c>
      <c r="BU1073" t="s">
        <v>226</v>
      </c>
      <c r="BV1073" t="s">
        <v>532</v>
      </c>
      <c r="BW1073" t="s">
        <v>228</v>
      </c>
      <c r="CH1073" t="s">
        <v>229</v>
      </c>
      <c r="CI1073" t="s">
        <v>101</v>
      </c>
      <c r="CJ1073" t="s">
        <v>226</v>
      </c>
      <c r="CK1073" t="s">
        <v>532</v>
      </c>
      <c r="CL1073" t="s">
        <v>228</v>
      </c>
      <c r="CM1073" t="s">
        <v>234</v>
      </c>
      <c r="CN1073" t="s">
        <v>73</v>
      </c>
      <c r="CO1073">
        <v>-200</v>
      </c>
      <c r="CP1073">
        <v>42109429</v>
      </c>
      <c r="CQ1073" s="73">
        <v>45357.916666666664</v>
      </c>
      <c r="CR1073" t="s">
        <v>229</v>
      </c>
      <c r="CS1073" t="s">
        <v>101</v>
      </c>
      <c r="CU1073" t="s">
        <v>225</v>
      </c>
    </row>
    <row r="1074" spans="1:99">
      <c r="A1074" t="s">
        <v>107</v>
      </c>
      <c r="B1074" t="s">
        <v>98</v>
      </c>
      <c r="J1074" t="s">
        <v>225</v>
      </c>
      <c r="K1074" t="s">
        <v>225</v>
      </c>
      <c r="M1074" s="73">
        <v>45357.916666666664</v>
      </c>
      <c r="N1074">
        <v>42109428</v>
      </c>
      <c r="O1074">
        <v>4000</v>
      </c>
      <c r="P1074" t="s">
        <v>104</v>
      </c>
      <c r="Q1074">
        <v>4000</v>
      </c>
      <c r="R1074" t="s">
        <v>104</v>
      </c>
      <c r="S1074">
        <v>200</v>
      </c>
      <c r="T1074" t="s">
        <v>73</v>
      </c>
      <c r="U1074" t="s">
        <v>226</v>
      </c>
      <c r="V1074" t="s">
        <v>532</v>
      </c>
      <c r="W1074" t="s">
        <v>235</v>
      </c>
      <c r="X1074" t="s">
        <v>229</v>
      </c>
      <c r="Y1074" t="s">
        <v>107</v>
      </c>
      <c r="AD1074" t="s">
        <v>104</v>
      </c>
      <c r="AE1074">
        <v>4000</v>
      </c>
      <c r="AF1074">
        <v>42109428</v>
      </c>
      <c r="AG1074" s="73">
        <v>45357.916666666664</v>
      </c>
      <c r="AH1074" t="s">
        <v>226</v>
      </c>
      <c r="AI1074" t="s">
        <v>532</v>
      </c>
      <c r="AJ1074" t="s">
        <v>235</v>
      </c>
      <c r="AK1074" t="s">
        <v>229</v>
      </c>
      <c r="AL1074" t="s">
        <v>107</v>
      </c>
      <c r="AP1074" t="s">
        <v>230</v>
      </c>
      <c r="AQ1074" t="s">
        <v>231</v>
      </c>
      <c r="AT1074" t="s">
        <v>232</v>
      </c>
      <c r="AU1074">
        <v>-99</v>
      </c>
      <c r="AV1074" t="s">
        <v>104</v>
      </c>
      <c r="AW1074">
        <v>4000</v>
      </c>
      <c r="AX1074">
        <v>42109428</v>
      </c>
      <c r="AY1074" s="73">
        <v>45357.916666666664</v>
      </c>
      <c r="AZ1074" t="s">
        <v>226</v>
      </c>
      <c r="BA1074" t="s">
        <v>532</v>
      </c>
      <c r="BB1074" t="s">
        <v>235</v>
      </c>
      <c r="BC1074" t="s">
        <v>229</v>
      </c>
      <c r="BD1074" t="s">
        <v>107</v>
      </c>
      <c r="BI1074" t="s">
        <v>233</v>
      </c>
      <c r="BJ1074" t="s">
        <v>0</v>
      </c>
      <c r="BK1074">
        <v>42109407</v>
      </c>
      <c r="BN1074" t="s">
        <v>104</v>
      </c>
      <c r="BO1074">
        <v>42109413</v>
      </c>
      <c r="BR1074">
        <v>4000</v>
      </c>
      <c r="BS1074">
        <v>42109428</v>
      </c>
      <c r="BT1074" s="73">
        <v>45357.916666666664</v>
      </c>
      <c r="BU1074" t="s">
        <v>226</v>
      </c>
      <c r="BV1074" t="s">
        <v>532</v>
      </c>
      <c r="BW1074" t="s">
        <v>235</v>
      </c>
      <c r="CH1074" t="s">
        <v>229</v>
      </c>
      <c r="CI1074" t="s">
        <v>107</v>
      </c>
      <c r="CJ1074" t="s">
        <v>226</v>
      </c>
      <c r="CK1074" t="s">
        <v>532</v>
      </c>
      <c r="CL1074" t="s">
        <v>235</v>
      </c>
      <c r="CM1074" t="s">
        <v>236</v>
      </c>
      <c r="CN1074" t="s">
        <v>104</v>
      </c>
      <c r="CO1074">
        <v>4000</v>
      </c>
      <c r="CP1074">
        <v>42109428</v>
      </c>
      <c r="CQ1074" s="73">
        <v>45357.916666666664</v>
      </c>
      <c r="CR1074" t="s">
        <v>229</v>
      </c>
      <c r="CS1074" t="s">
        <v>107</v>
      </c>
      <c r="CU1074" t="s">
        <v>225</v>
      </c>
    </row>
    <row r="1075" spans="1:99">
      <c r="A1075" t="s">
        <v>111</v>
      </c>
      <c r="B1075" t="s">
        <v>77</v>
      </c>
      <c r="J1075" t="s">
        <v>225</v>
      </c>
      <c r="K1075" t="s">
        <v>225</v>
      </c>
      <c r="M1075" s="73">
        <v>45357.916666666664</v>
      </c>
      <c r="N1075">
        <v>42109427</v>
      </c>
      <c r="O1075">
        <v>4</v>
      </c>
      <c r="P1075" t="s">
        <v>45</v>
      </c>
      <c r="Q1075">
        <v>4</v>
      </c>
      <c r="R1075" t="s">
        <v>45</v>
      </c>
      <c r="U1075" t="s">
        <v>226</v>
      </c>
      <c r="V1075" t="s">
        <v>532</v>
      </c>
      <c r="W1075" t="s">
        <v>237</v>
      </c>
      <c r="X1075" t="s">
        <v>229</v>
      </c>
      <c r="Y1075" t="s">
        <v>111</v>
      </c>
      <c r="AD1075" t="s">
        <v>45</v>
      </c>
      <c r="AE1075">
        <v>4</v>
      </c>
      <c r="AF1075">
        <v>42109427</v>
      </c>
      <c r="AG1075" s="73">
        <v>45357.916666666664</v>
      </c>
      <c r="AH1075" t="s">
        <v>226</v>
      </c>
      <c r="AI1075" t="s">
        <v>532</v>
      </c>
      <c r="AJ1075" t="s">
        <v>237</v>
      </c>
      <c r="AK1075" t="s">
        <v>229</v>
      </c>
      <c r="AL1075" t="s">
        <v>111</v>
      </c>
      <c r="AP1075" t="s">
        <v>230</v>
      </c>
      <c r="AQ1075" t="s">
        <v>231</v>
      </c>
      <c r="AT1075" t="s">
        <v>232</v>
      </c>
      <c r="AU1075">
        <v>-99</v>
      </c>
      <c r="AV1075" t="s">
        <v>45</v>
      </c>
      <c r="AW1075">
        <v>4</v>
      </c>
      <c r="AX1075">
        <v>42109427</v>
      </c>
      <c r="AY1075" s="73">
        <v>45357.916666666664</v>
      </c>
      <c r="AZ1075" t="s">
        <v>226</v>
      </c>
      <c r="BA1075" t="s">
        <v>532</v>
      </c>
      <c r="BB1075" t="s">
        <v>237</v>
      </c>
      <c r="BC1075" t="s">
        <v>229</v>
      </c>
      <c r="BD1075" t="s">
        <v>111</v>
      </c>
      <c r="BI1075" t="s">
        <v>233</v>
      </c>
      <c r="BJ1075" t="s">
        <v>0</v>
      </c>
      <c r="BK1075">
        <v>42109407</v>
      </c>
      <c r="BN1075" t="s">
        <v>45</v>
      </c>
      <c r="BO1075">
        <v>42109415</v>
      </c>
      <c r="BR1075">
        <v>4</v>
      </c>
      <c r="BS1075">
        <v>42109427</v>
      </c>
      <c r="BT1075" s="73">
        <v>45357.916666666664</v>
      </c>
      <c r="BU1075" t="s">
        <v>226</v>
      </c>
      <c r="BV1075" t="s">
        <v>532</v>
      </c>
      <c r="BW1075" t="s">
        <v>237</v>
      </c>
      <c r="CH1075" t="s">
        <v>229</v>
      </c>
      <c r="CI1075" t="s">
        <v>111</v>
      </c>
      <c r="CJ1075" t="s">
        <v>226</v>
      </c>
      <c r="CK1075" t="s">
        <v>532</v>
      </c>
      <c r="CL1075" t="s">
        <v>237</v>
      </c>
      <c r="CM1075" t="s">
        <v>236</v>
      </c>
      <c r="CN1075" t="s">
        <v>45</v>
      </c>
      <c r="CO1075">
        <v>4</v>
      </c>
      <c r="CP1075">
        <v>42109427</v>
      </c>
      <c r="CQ1075" s="73">
        <v>45357.916666666664</v>
      </c>
      <c r="CR1075" t="s">
        <v>229</v>
      </c>
      <c r="CS1075" t="s">
        <v>111</v>
      </c>
      <c r="CU1075" t="s">
        <v>225</v>
      </c>
    </row>
    <row r="1076" spans="1:99">
      <c r="A1076" t="s">
        <v>50</v>
      </c>
      <c r="B1076" t="s">
        <v>92</v>
      </c>
      <c r="J1076" t="s">
        <v>225</v>
      </c>
      <c r="K1076" t="s">
        <v>225</v>
      </c>
      <c r="M1076" s="73">
        <v>45357.916666666664</v>
      </c>
      <c r="N1076">
        <v>42109346</v>
      </c>
      <c r="O1076">
        <v>-200</v>
      </c>
      <c r="P1076" t="s">
        <v>45</v>
      </c>
      <c r="Q1076">
        <v>-200</v>
      </c>
      <c r="R1076" t="s">
        <v>45</v>
      </c>
      <c r="U1076" t="s">
        <v>226</v>
      </c>
      <c r="V1076" t="s">
        <v>533</v>
      </c>
      <c r="W1076" t="s">
        <v>228</v>
      </c>
      <c r="X1076" t="s">
        <v>229</v>
      </c>
      <c r="Y1076" t="s">
        <v>50</v>
      </c>
      <c r="AD1076" t="s">
        <v>45</v>
      </c>
      <c r="AE1076">
        <v>-200</v>
      </c>
      <c r="AF1076">
        <v>42109346</v>
      </c>
      <c r="AG1076" s="73">
        <v>45357.916666666664</v>
      </c>
      <c r="AH1076" t="s">
        <v>226</v>
      </c>
      <c r="AI1076" t="s">
        <v>533</v>
      </c>
      <c r="AJ1076" t="s">
        <v>228</v>
      </c>
      <c r="AK1076" t="s">
        <v>229</v>
      </c>
      <c r="AL1076" t="s">
        <v>50</v>
      </c>
      <c r="AP1076" t="s">
        <v>230</v>
      </c>
      <c r="AQ1076" t="s">
        <v>231</v>
      </c>
      <c r="AT1076" t="s">
        <v>232</v>
      </c>
      <c r="AU1076">
        <v>-99</v>
      </c>
      <c r="AV1076" t="s">
        <v>45</v>
      </c>
      <c r="AW1076">
        <v>-200</v>
      </c>
      <c r="AX1076">
        <v>42109346</v>
      </c>
      <c r="AY1076" s="73">
        <v>45357.916666666664</v>
      </c>
      <c r="AZ1076" t="s">
        <v>226</v>
      </c>
      <c r="BA1076" t="s">
        <v>533</v>
      </c>
      <c r="BB1076" t="s">
        <v>228</v>
      </c>
      <c r="BC1076" t="s">
        <v>229</v>
      </c>
      <c r="BD1076" t="s">
        <v>50</v>
      </c>
      <c r="BI1076" t="s">
        <v>233</v>
      </c>
      <c r="BJ1076" t="s">
        <v>0</v>
      </c>
      <c r="BK1076">
        <v>42109334</v>
      </c>
      <c r="BN1076" t="s">
        <v>45</v>
      </c>
      <c r="BR1076">
        <v>-200</v>
      </c>
      <c r="BS1076">
        <v>42109346</v>
      </c>
      <c r="BT1076" s="73">
        <v>45357.916666666664</v>
      </c>
      <c r="BU1076" t="s">
        <v>226</v>
      </c>
      <c r="BV1076" t="s">
        <v>533</v>
      </c>
      <c r="BW1076" t="s">
        <v>228</v>
      </c>
      <c r="CH1076" t="s">
        <v>229</v>
      </c>
      <c r="CI1076" t="s">
        <v>50</v>
      </c>
      <c r="CJ1076" t="s">
        <v>226</v>
      </c>
      <c r="CK1076" t="s">
        <v>533</v>
      </c>
      <c r="CL1076" t="s">
        <v>228</v>
      </c>
      <c r="CM1076" t="s">
        <v>234</v>
      </c>
      <c r="CN1076" t="s">
        <v>45</v>
      </c>
      <c r="CO1076">
        <v>-200</v>
      </c>
      <c r="CP1076">
        <v>42109346</v>
      </c>
      <c r="CQ1076" s="73">
        <v>45357.916666666664</v>
      </c>
      <c r="CR1076" t="s">
        <v>229</v>
      </c>
      <c r="CS1076" t="s">
        <v>50</v>
      </c>
      <c r="CU1076" t="s">
        <v>225</v>
      </c>
    </row>
    <row r="1077" spans="1:99">
      <c r="A1077" t="s">
        <v>101</v>
      </c>
      <c r="B1077" t="s">
        <v>98</v>
      </c>
      <c r="J1077" t="s">
        <v>225</v>
      </c>
      <c r="K1077" t="s">
        <v>225</v>
      </c>
      <c r="M1077" s="73">
        <v>45357.916666666664</v>
      </c>
      <c r="N1077">
        <v>42109345</v>
      </c>
      <c r="O1077">
        <v>-10</v>
      </c>
      <c r="P1077" t="s">
        <v>73</v>
      </c>
      <c r="Q1077">
        <v>-10</v>
      </c>
      <c r="R1077" t="s">
        <v>73</v>
      </c>
      <c r="U1077" t="s">
        <v>226</v>
      </c>
      <c r="V1077" t="s">
        <v>533</v>
      </c>
      <c r="W1077" t="s">
        <v>228</v>
      </c>
      <c r="X1077" t="s">
        <v>229</v>
      </c>
      <c r="Y1077" t="s">
        <v>101</v>
      </c>
      <c r="AD1077" t="s">
        <v>73</v>
      </c>
      <c r="AE1077">
        <v>-10</v>
      </c>
      <c r="AF1077">
        <v>42109345</v>
      </c>
      <c r="AG1077" s="73">
        <v>45357.916666666664</v>
      </c>
      <c r="AH1077" t="s">
        <v>226</v>
      </c>
      <c r="AI1077" t="s">
        <v>533</v>
      </c>
      <c r="AJ1077" t="s">
        <v>228</v>
      </c>
      <c r="AK1077" t="s">
        <v>229</v>
      </c>
      <c r="AL1077" t="s">
        <v>101</v>
      </c>
      <c r="AP1077" t="s">
        <v>230</v>
      </c>
      <c r="AQ1077" t="s">
        <v>231</v>
      </c>
      <c r="AT1077" t="s">
        <v>232</v>
      </c>
      <c r="AU1077">
        <v>-99</v>
      </c>
      <c r="AV1077" t="s">
        <v>73</v>
      </c>
      <c r="AW1077">
        <v>-10</v>
      </c>
      <c r="AX1077">
        <v>42109345</v>
      </c>
      <c r="AY1077" s="73">
        <v>45357.916666666664</v>
      </c>
      <c r="AZ1077" t="s">
        <v>226</v>
      </c>
      <c r="BA1077" t="s">
        <v>533</v>
      </c>
      <c r="BB1077" t="s">
        <v>228</v>
      </c>
      <c r="BC1077" t="s">
        <v>229</v>
      </c>
      <c r="BD1077" t="s">
        <v>101</v>
      </c>
      <c r="BI1077" t="s">
        <v>233</v>
      </c>
      <c r="BJ1077" t="s">
        <v>0</v>
      </c>
      <c r="BK1077">
        <v>42109334</v>
      </c>
      <c r="BN1077" t="s">
        <v>73</v>
      </c>
      <c r="BR1077">
        <v>-10</v>
      </c>
      <c r="BS1077">
        <v>42109345</v>
      </c>
      <c r="BT1077" s="73">
        <v>45357.916666666664</v>
      </c>
      <c r="BU1077" t="s">
        <v>226</v>
      </c>
      <c r="BV1077" t="s">
        <v>533</v>
      </c>
      <c r="BW1077" t="s">
        <v>228</v>
      </c>
      <c r="CH1077" t="s">
        <v>229</v>
      </c>
      <c r="CI1077" t="s">
        <v>101</v>
      </c>
      <c r="CJ1077" t="s">
        <v>226</v>
      </c>
      <c r="CK1077" t="s">
        <v>533</v>
      </c>
      <c r="CL1077" t="s">
        <v>228</v>
      </c>
      <c r="CM1077" t="s">
        <v>234</v>
      </c>
      <c r="CN1077" t="s">
        <v>73</v>
      </c>
      <c r="CO1077">
        <v>-10</v>
      </c>
      <c r="CP1077">
        <v>42109345</v>
      </c>
      <c r="CQ1077" s="73">
        <v>45357.916666666664</v>
      </c>
      <c r="CR1077" t="s">
        <v>229</v>
      </c>
      <c r="CS1077" t="s">
        <v>101</v>
      </c>
      <c r="CU1077" t="s">
        <v>225</v>
      </c>
    </row>
    <row r="1078" spans="1:99">
      <c r="A1078" t="s">
        <v>110</v>
      </c>
      <c r="B1078" t="s">
        <v>98</v>
      </c>
      <c r="J1078" t="s">
        <v>225</v>
      </c>
      <c r="K1078" t="s">
        <v>225</v>
      </c>
      <c r="M1078" s="73">
        <v>45357.916666666664</v>
      </c>
      <c r="N1078">
        <v>42109344</v>
      </c>
      <c r="O1078">
        <v>200</v>
      </c>
      <c r="P1078" t="s">
        <v>104</v>
      </c>
      <c r="Q1078">
        <v>200</v>
      </c>
      <c r="R1078" t="s">
        <v>104</v>
      </c>
      <c r="S1078">
        <v>10</v>
      </c>
      <c r="T1078" t="s">
        <v>73</v>
      </c>
      <c r="U1078" t="s">
        <v>226</v>
      </c>
      <c r="V1078" t="s">
        <v>533</v>
      </c>
      <c r="W1078" t="s">
        <v>235</v>
      </c>
      <c r="X1078" t="s">
        <v>229</v>
      </c>
      <c r="Y1078" t="s">
        <v>110</v>
      </c>
      <c r="AD1078" t="s">
        <v>104</v>
      </c>
      <c r="AE1078">
        <v>200</v>
      </c>
      <c r="AF1078">
        <v>42109344</v>
      </c>
      <c r="AG1078" s="73">
        <v>45357.916666666664</v>
      </c>
      <c r="AH1078" t="s">
        <v>226</v>
      </c>
      <c r="AI1078" t="s">
        <v>533</v>
      </c>
      <c r="AJ1078" t="s">
        <v>235</v>
      </c>
      <c r="AK1078" t="s">
        <v>229</v>
      </c>
      <c r="AL1078" t="s">
        <v>110</v>
      </c>
      <c r="AP1078" t="s">
        <v>230</v>
      </c>
      <c r="AQ1078" t="s">
        <v>231</v>
      </c>
      <c r="AT1078" t="s">
        <v>232</v>
      </c>
      <c r="AU1078">
        <v>-99</v>
      </c>
      <c r="AV1078" t="s">
        <v>104</v>
      </c>
      <c r="AW1078">
        <v>200</v>
      </c>
      <c r="AX1078">
        <v>42109344</v>
      </c>
      <c r="AY1078" s="73">
        <v>45357.916666666664</v>
      </c>
      <c r="AZ1078" t="s">
        <v>226</v>
      </c>
      <c r="BA1078" t="s">
        <v>533</v>
      </c>
      <c r="BB1078" t="s">
        <v>235</v>
      </c>
      <c r="BC1078" t="s">
        <v>229</v>
      </c>
      <c r="BD1078" t="s">
        <v>110</v>
      </c>
      <c r="BI1078" t="s">
        <v>233</v>
      </c>
      <c r="BJ1078" t="s">
        <v>0</v>
      </c>
      <c r="BK1078">
        <v>42109334</v>
      </c>
      <c r="BN1078" t="s">
        <v>104</v>
      </c>
      <c r="BO1078">
        <v>42109340</v>
      </c>
      <c r="BR1078">
        <v>200</v>
      </c>
      <c r="BS1078">
        <v>42109344</v>
      </c>
      <c r="BT1078" s="73">
        <v>45357.916666666664</v>
      </c>
      <c r="BU1078" t="s">
        <v>226</v>
      </c>
      <c r="BV1078" t="s">
        <v>533</v>
      </c>
      <c r="BW1078" t="s">
        <v>235</v>
      </c>
      <c r="CH1078" t="s">
        <v>229</v>
      </c>
      <c r="CI1078" t="s">
        <v>110</v>
      </c>
      <c r="CJ1078" t="s">
        <v>226</v>
      </c>
      <c r="CK1078" t="s">
        <v>533</v>
      </c>
      <c r="CL1078" t="s">
        <v>235</v>
      </c>
      <c r="CM1078" t="s">
        <v>236</v>
      </c>
      <c r="CN1078" t="s">
        <v>104</v>
      </c>
      <c r="CO1078">
        <v>200</v>
      </c>
      <c r="CP1078">
        <v>42109344</v>
      </c>
      <c r="CQ1078" s="73">
        <v>45357.916666666664</v>
      </c>
      <c r="CR1078" t="s">
        <v>229</v>
      </c>
      <c r="CS1078" t="s">
        <v>110</v>
      </c>
      <c r="CU1078" t="s">
        <v>225</v>
      </c>
    </row>
    <row r="1079" spans="1:99">
      <c r="A1079" t="s">
        <v>42</v>
      </c>
      <c r="B1079" t="s">
        <v>92</v>
      </c>
      <c r="J1079" t="s">
        <v>225</v>
      </c>
      <c r="K1079" t="s">
        <v>225</v>
      </c>
      <c r="M1079" s="73">
        <v>45357.583333333336</v>
      </c>
      <c r="N1079">
        <v>42105834</v>
      </c>
      <c r="O1079">
        <v>-4620</v>
      </c>
      <c r="P1079" t="s">
        <v>45</v>
      </c>
      <c r="Q1079">
        <v>-4620</v>
      </c>
      <c r="R1079" t="s">
        <v>45</v>
      </c>
      <c r="U1079" t="s">
        <v>226</v>
      </c>
      <c r="V1079" t="s">
        <v>534</v>
      </c>
      <c r="W1079" t="s">
        <v>228</v>
      </c>
      <c r="X1079" t="s">
        <v>229</v>
      </c>
      <c r="Y1079" t="s">
        <v>42</v>
      </c>
      <c r="AD1079" t="s">
        <v>45</v>
      </c>
      <c r="AE1079">
        <v>-4620</v>
      </c>
      <c r="AF1079">
        <v>42105834</v>
      </c>
      <c r="AG1079" s="73">
        <v>45357.583333333336</v>
      </c>
      <c r="AH1079" t="s">
        <v>226</v>
      </c>
      <c r="AI1079" t="s">
        <v>534</v>
      </c>
      <c r="AJ1079" t="s">
        <v>228</v>
      </c>
      <c r="AK1079" t="s">
        <v>229</v>
      </c>
      <c r="AL1079" t="s">
        <v>42</v>
      </c>
      <c r="AP1079" t="s">
        <v>230</v>
      </c>
      <c r="AQ1079" t="s">
        <v>231</v>
      </c>
      <c r="AT1079" t="s">
        <v>232</v>
      </c>
      <c r="AU1079">
        <v>-99</v>
      </c>
      <c r="AV1079" t="s">
        <v>45</v>
      </c>
      <c r="AW1079">
        <v>-4620</v>
      </c>
      <c r="AX1079">
        <v>42105834</v>
      </c>
      <c r="AY1079" s="73">
        <v>45357.583333333336</v>
      </c>
      <c r="AZ1079" t="s">
        <v>226</v>
      </c>
      <c r="BA1079" t="s">
        <v>534</v>
      </c>
      <c r="BB1079" t="s">
        <v>228</v>
      </c>
      <c r="BC1079" t="s">
        <v>229</v>
      </c>
      <c r="BD1079" t="s">
        <v>42</v>
      </c>
      <c r="BI1079" t="s">
        <v>233</v>
      </c>
      <c r="BJ1079" t="s">
        <v>0</v>
      </c>
      <c r="BK1079">
        <v>42105822</v>
      </c>
      <c r="BN1079" t="s">
        <v>45</v>
      </c>
      <c r="BR1079">
        <v>-4620</v>
      </c>
      <c r="BS1079">
        <v>42105834</v>
      </c>
      <c r="BT1079" s="73">
        <v>45357.583333333336</v>
      </c>
      <c r="BU1079" t="s">
        <v>226</v>
      </c>
      <c r="BV1079" t="s">
        <v>534</v>
      </c>
      <c r="BW1079" t="s">
        <v>228</v>
      </c>
      <c r="CH1079" t="s">
        <v>229</v>
      </c>
      <c r="CI1079" t="s">
        <v>42</v>
      </c>
      <c r="CJ1079" t="s">
        <v>226</v>
      </c>
      <c r="CK1079" t="s">
        <v>534</v>
      </c>
      <c r="CL1079" t="s">
        <v>228</v>
      </c>
      <c r="CM1079" t="s">
        <v>234</v>
      </c>
      <c r="CN1079" t="s">
        <v>45</v>
      </c>
      <c r="CO1079">
        <v>-4620</v>
      </c>
      <c r="CP1079">
        <v>42105834</v>
      </c>
      <c r="CQ1079" s="73">
        <v>45357.583333333336</v>
      </c>
      <c r="CR1079" t="s">
        <v>229</v>
      </c>
      <c r="CS1079" t="s">
        <v>42</v>
      </c>
      <c r="CU1079" t="s">
        <v>225</v>
      </c>
    </row>
    <row r="1080" spans="1:99">
      <c r="A1080" t="s">
        <v>99</v>
      </c>
      <c r="B1080" t="s">
        <v>98</v>
      </c>
      <c r="J1080" t="s">
        <v>225</v>
      </c>
      <c r="K1080" t="s">
        <v>225</v>
      </c>
      <c r="M1080" s="73">
        <v>45357.583333333336</v>
      </c>
      <c r="N1080">
        <v>42105833</v>
      </c>
      <c r="O1080">
        <v>-231</v>
      </c>
      <c r="P1080" t="s">
        <v>73</v>
      </c>
      <c r="Q1080">
        <v>-231</v>
      </c>
      <c r="R1080" t="s">
        <v>73</v>
      </c>
      <c r="U1080" t="s">
        <v>226</v>
      </c>
      <c r="V1080" t="s">
        <v>534</v>
      </c>
      <c r="W1080" t="s">
        <v>228</v>
      </c>
      <c r="X1080" t="s">
        <v>229</v>
      </c>
      <c r="Y1080" t="s">
        <v>99</v>
      </c>
      <c r="AD1080" t="s">
        <v>73</v>
      </c>
      <c r="AE1080">
        <v>-231</v>
      </c>
      <c r="AF1080">
        <v>42105833</v>
      </c>
      <c r="AG1080" s="73">
        <v>45357.583333333336</v>
      </c>
      <c r="AH1080" t="s">
        <v>226</v>
      </c>
      <c r="AI1080" t="s">
        <v>534</v>
      </c>
      <c r="AJ1080" t="s">
        <v>228</v>
      </c>
      <c r="AK1080" t="s">
        <v>229</v>
      </c>
      <c r="AL1080" t="s">
        <v>99</v>
      </c>
      <c r="AP1080" t="s">
        <v>230</v>
      </c>
      <c r="AQ1080" t="s">
        <v>231</v>
      </c>
      <c r="AT1080" t="s">
        <v>232</v>
      </c>
      <c r="AU1080">
        <v>-99</v>
      </c>
      <c r="AV1080" t="s">
        <v>73</v>
      </c>
      <c r="AW1080">
        <v>-231</v>
      </c>
      <c r="AX1080">
        <v>42105833</v>
      </c>
      <c r="AY1080" s="73">
        <v>45357.583333333336</v>
      </c>
      <c r="AZ1080" t="s">
        <v>226</v>
      </c>
      <c r="BA1080" t="s">
        <v>534</v>
      </c>
      <c r="BB1080" t="s">
        <v>228</v>
      </c>
      <c r="BC1080" t="s">
        <v>229</v>
      </c>
      <c r="BD1080" t="s">
        <v>99</v>
      </c>
      <c r="BI1080" t="s">
        <v>233</v>
      </c>
      <c r="BJ1080" t="s">
        <v>0</v>
      </c>
      <c r="BK1080">
        <v>42105822</v>
      </c>
      <c r="BN1080" t="s">
        <v>73</v>
      </c>
      <c r="BR1080">
        <v>-231</v>
      </c>
      <c r="BS1080">
        <v>42105833</v>
      </c>
      <c r="BT1080" s="73">
        <v>45357.583333333336</v>
      </c>
      <c r="BU1080" t="s">
        <v>226</v>
      </c>
      <c r="BV1080" t="s">
        <v>534</v>
      </c>
      <c r="BW1080" t="s">
        <v>228</v>
      </c>
      <c r="CH1080" t="s">
        <v>229</v>
      </c>
      <c r="CI1080" t="s">
        <v>99</v>
      </c>
      <c r="CJ1080" t="s">
        <v>226</v>
      </c>
      <c r="CK1080" t="s">
        <v>534</v>
      </c>
      <c r="CL1080" t="s">
        <v>228</v>
      </c>
      <c r="CM1080" t="s">
        <v>234</v>
      </c>
      <c r="CN1080" t="s">
        <v>73</v>
      </c>
      <c r="CO1080">
        <v>-231</v>
      </c>
      <c r="CP1080">
        <v>42105833</v>
      </c>
      <c r="CQ1080" s="73">
        <v>45357.583333333336</v>
      </c>
      <c r="CR1080" t="s">
        <v>229</v>
      </c>
      <c r="CS1080" t="s">
        <v>99</v>
      </c>
      <c r="CU1080" t="s">
        <v>225</v>
      </c>
    </row>
    <row r="1081" spans="1:99">
      <c r="A1081" t="s">
        <v>103</v>
      </c>
      <c r="B1081" t="s">
        <v>98</v>
      </c>
      <c r="J1081" t="s">
        <v>225</v>
      </c>
      <c r="K1081" t="s">
        <v>225</v>
      </c>
      <c r="M1081" s="73">
        <v>45357.583333333336</v>
      </c>
      <c r="N1081">
        <v>42105832</v>
      </c>
      <c r="O1081">
        <v>4620</v>
      </c>
      <c r="P1081" t="s">
        <v>104</v>
      </c>
      <c r="Q1081">
        <v>4620</v>
      </c>
      <c r="R1081" t="s">
        <v>104</v>
      </c>
      <c r="S1081">
        <v>231</v>
      </c>
      <c r="T1081" t="s">
        <v>73</v>
      </c>
      <c r="U1081" t="s">
        <v>226</v>
      </c>
      <c r="V1081" t="s">
        <v>534</v>
      </c>
      <c r="W1081" t="s">
        <v>235</v>
      </c>
      <c r="X1081" t="s">
        <v>229</v>
      </c>
      <c r="Y1081" t="s">
        <v>103</v>
      </c>
      <c r="AD1081" t="s">
        <v>104</v>
      </c>
      <c r="AE1081">
        <v>4620</v>
      </c>
      <c r="AF1081">
        <v>42105832</v>
      </c>
      <c r="AG1081" s="73">
        <v>45357.583333333336</v>
      </c>
      <c r="AH1081" t="s">
        <v>226</v>
      </c>
      <c r="AI1081" t="s">
        <v>534</v>
      </c>
      <c r="AJ1081" t="s">
        <v>235</v>
      </c>
      <c r="AK1081" t="s">
        <v>229</v>
      </c>
      <c r="AL1081" t="s">
        <v>103</v>
      </c>
      <c r="AP1081" t="s">
        <v>230</v>
      </c>
      <c r="AQ1081" t="s">
        <v>231</v>
      </c>
      <c r="AT1081" t="s">
        <v>232</v>
      </c>
      <c r="AU1081">
        <v>-99</v>
      </c>
      <c r="AV1081" t="s">
        <v>104</v>
      </c>
      <c r="AW1081">
        <v>4620</v>
      </c>
      <c r="AX1081">
        <v>42105832</v>
      </c>
      <c r="AY1081" s="73">
        <v>45357.583333333336</v>
      </c>
      <c r="AZ1081" t="s">
        <v>226</v>
      </c>
      <c r="BA1081" t="s">
        <v>534</v>
      </c>
      <c r="BB1081" t="s">
        <v>235</v>
      </c>
      <c r="BC1081" t="s">
        <v>229</v>
      </c>
      <c r="BD1081" t="s">
        <v>103</v>
      </c>
      <c r="BI1081" t="s">
        <v>233</v>
      </c>
      <c r="BJ1081" t="s">
        <v>0</v>
      </c>
      <c r="BK1081">
        <v>42105822</v>
      </c>
      <c r="BN1081" t="s">
        <v>104</v>
      </c>
      <c r="BO1081">
        <v>42105828</v>
      </c>
      <c r="BR1081">
        <v>4620</v>
      </c>
      <c r="BS1081">
        <v>42105832</v>
      </c>
      <c r="BT1081" s="73">
        <v>45357.583333333336</v>
      </c>
      <c r="BU1081" t="s">
        <v>226</v>
      </c>
      <c r="BV1081" t="s">
        <v>534</v>
      </c>
      <c r="BW1081" t="s">
        <v>235</v>
      </c>
      <c r="CH1081" t="s">
        <v>229</v>
      </c>
      <c r="CI1081" t="s">
        <v>103</v>
      </c>
      <c r="CJ1081" t="s">
        <v>226</v>
      </c>
      <c r="CK1081" t="s">
        <v>534</v>
      </c>
      <c r="CL1081" t="s">
        <v>235</v>
      </c>
      <c r="CM1081" t="s">
        <v>236</v>
      </c>
      <c r="CN1081" t="s">
        <v>104</v>
      </c>
      <c r="CO1081">
        <v>4620</v>
      </c>
      <c r="CP1081">
        <v>42105832</v>
      </c>
      <c r="CQ1081" s="73">
        <v>45357.583333333336</v>
      </c>
      <c r="CR1081" t="s">
        <v>229</v>
      </c>
      <c r="CS1081" t="s">
        <v>103</v>
      </c>
      <c r="CU1081" t="s">
        <v>225</v>
      </c>
    </row>
    <row r="1082" spans="1:99">
      <c r="A1082" t="s">
        <v>42</v>
      </c>
      <c r="B1082" t="s">
        <v>92</v>
      </c>
      <c r="J1082" t="s">
        <v>225</v>
      </c>
      <c r="K1082" t="s">
        <v>225</v>
      </c>
      <c r="M1082" s="73">
        <v>45357.583333333336</v>
      </c>
      <c r="N1082">
        <v>42105783</v>
      </c>
      <c r="O1082">
        <v>-5309</v>
      </c>
      <c r="P1082" t="s">
        <v>45</v>
      </c>
      <c r="Q1082">
        <v>-5309</v>
      </c>
      <c r="R1082" t="s">
        <v>45</v>
      </c>
      <c r="U1082" t="s">
        <v>226</v>
      </c>
      <c r="V1082" t="s">
        <v>535</v>
      </c>
      <c r="W1082" t="s">
        <v>228</v>
      </c>
      <c r="X1082" t="s">
        <v>229</v>
      </c>
      <c r="Y1082" t="s">
        <v>42</v>
      </c>
      <c r="AD1082" t="s">
        <v>45</v>
      </c>
      <c r="AE1082">
        <v>-5309</v>
      </c>
      <c r="AF1082">
        <v>42105783</v>
      </c>
      <c r="AG1082" s="73">
        <v>45357.583333333336</v>
      </c>
      <c r="AH1082" t="s">
        <v>226</v>
      </c>
      <c r="AI1082" t="s">
        <v>535</v>
      </c>
      <c r="AJ1082" t="s">
        <v>228</v>
      </c>
      <c r="AK1082" t="s">
        <v>229</v>
      </c>
      <c r="AL1082" t="s">
        <v>42</v>
      </c>
      <c r="AP1082" t="s">
        <v>230</v>
      </c>
      <c r="AQ1082" t="s">
        <v>231</v>
      </c>
      <c r="AT1082" t="s">
        <v>232</v>
      </c>
      <c r="AU1082">
        <v>-99</v>
      </c>
      <c r="AV1082" t="s">
        <v>45</v>
      </c>
      <c r="AW1082">
        <v>-5309</v>
      </c>
      <c r="AX1082">
        <v>42105783</v>
      </c>
      <c r="AY1082" s="73">
        <v>45357.583333333336</v>
      </c>
      <c r="AZ1082" t="s">
        <v>226</v>
      </c>
      <c r="BA1082" t="s">
        <v>535</v>
      </c>
      <c r="BB1082" t="s">
        <v>228</v>
      </c>
      <c r="BC1082" t="s">
        <v>229</v>
      </c>
      <c r="BD1082" t="s">
        <v>42</v>
      </c>
      <c r="BI1082" t="s">
        <v>233</v>
      </c>
      <c r="BJ1082" t="s">
        <v>0</v>
      </c>
      <c r="BK1082">
        <v>42105760</v>
      </c>
      <c r="BN1082" t="s">
        <v>45</v>
      </c>
      <c r="BR1082">
        <v>-5309</v>
      </c>
      <c r="BS1082">
        <v>42105783</v>
      </c>
      <c r="BT1082" s="73">
        <v>45357.583333333336</v>
      </c>
      <c r="BU1082" t="s">
        <v>226</v>
      </c>
      <c r="BV1082" t="s">
        <v>535</v>
      </c>
      <c r="BW1082" t="s">
        <v>228</v>
      </c>
      <c r="CH1082" t="s">
        <v>229</v>
      </c>
      <c r="CI1082" t="s">
        <v>42</v>
      </c>
      <c r="CJ1082" t="s">
        <v>226</v>
      </c>
      <c r="CK1082" t="s">
        <v>535</v>
      </c>
      <c r="CL1082" t="s">
        <v>228</v>
      </c>
      <c r="CM1082" t="s">
        <v>234</v>
      </c>
      <c r="CN1082" t="s">
        <v>45</v>
      </c>
      <c r="CO1082">
        <v>-5309</v>
      </c>
      <c r="CP1082">
        <v>42105783</v>
      </c>
      <c r="CQ1082" s="73">
        <v>45357.583333333336</v>
      </c>
      <c r="CR1082" t="s">
        <v>229</v>
      </c>
      <c r="CS1082" t="s">
        <v>42</v>
      </c>
      <c r="CU1082" t="s">
        <v>225</v>
      </c>
    </row>
    <row r="1083" spans="1:99">
      <c r="A1083" t="s">
        <v>99</v>
      </c>
      <c r="B1083" t="s">
        <v>98</v>
      </c>
      <c r="J1083" t="s">
        <v>225</v>
      </c>
      <c r="K1083" t="s">
        <v>225</v>
      </c>
      <c r="M1083" s="73">
        <v>45357.583333333336</v>
      </c>
      <c r="N1083">
        <v>42105782</v>
      </c>
      <c r="O1083">
        <v>-265</v>
      </c>
      <c r="P1083" t="s">
        <v>73</v>
      </c>
      <c r="Q1083">
        <v>-265</v>
      </c>
      <c r="R1083" t="s">
        <v>73</v>
      </c>
      <c r="U1083" t="s">
        <v>226</v>
      </c>
      <c r="V1083" t="s">
        <v>535</v>
      </c>
      <c r="W1083" t="s">
        <v>228</v>
      </c>
      <c r="X1083" t="s">
        <v>229</v>
      </c>
      <c r="Y1083" t="s">
        <v>99</v>
      </c>
      <c r="AD1083" t="s">
        <v>73</v>
      </c>
      <c r="AE1083">
        <v>-265</v>
      </c>
      <c r="AF1083">
        <v>42105782</v>
      </c>
      <c r="AG1083" s="73">
        <v>45357.583333333336</v>
      </c>
      <c r="AH1083" t="s">
        <v>226</v>
      </c>
      <c r="AI1083" t="s">
        <v>535</v>
      </c>
      <c r="AJ1083" t="s">
        <v>228</v>
      </c>
      <c r="AK1083" t="s">
        <v>229</v>
      </c>
      <c r="AL1083" t="s">
        <v>99</v>
      </c>
      <c r="AP1083" t="s">
        <v>230</v>
      </c>
      <c r="AQ1083" t="s">
        <v>231</v>
      </c>
      <c r="AT1083" t="s">
        <v>232</v>
      </c>
      <c r="AU1083">
        <v>-99</v>
      </c>
      <c r="AV1083" t="s">
        <v>73</v>
      </c>
      <c r="AW1083">
        <v>-265</v>
      </c>
      <c r="AX1083">
        <v>42105782</v>
      </c>
      <c r="AY1083" s="73">
        <v>45357.583333333336</v>
      </c>
      <c r="AZ1083" t="s">
        <v>226</v>
      </c>
      <c r="BA1083" t="s">
        <v>535</v>
      </c>
      <c r="BB1083" t="s">
        <v>228</v>
      </c>
      <c r="BC1083" t="s">
        <v>229</v>
      </c>
      <c r="BD1083" t="s">
        <v>99</v>
      </c>
      <c r="BI1083" t="s">
        <v>233</v>
      </c>
      <c r="BJ1083" t="s">
        <v>0</v>
      </c>
      <c r="BK1083">
        <v>42105760</v>
      </c>
      <c r="BN1083" t="s">
        <v>73</v>
      </c>
      <c r="BR1083">
        <v>-265</v>
      </c>
      <c r="BS1083">
        <v>42105782</v>
      </c>
      <c r="BT1083" s="73">
        <v>45357.583333333336</v>
      </c>
      <c r="BU1083" t="s">
        <v>226</v>
      </c>
      <c r="BV1083" t="s">
        <v>535</v>
      </c>
      <c r="BW1083" t="s">
        <v>228</v>
      </c>
      <c r="CH1083" t="s">
        <v>229</v>
      </c>
      <c r="CI1083" t="s">
        <v>99</v>
      </c>
      <c r="CJ1083" t="s">
        <v>226</v>
      </c>
      <c r="CK1083" t="s">
        <v>535</v>
      </c>
      <c r="CL1083" t="s">
        <v>228</v>
      </c>
      <c r="CM1083" t="s">
        <v>234</v>
      </c>
      <c r="CN1083" t="s">
        <v>73</v>
      </c>
      <c r="CO1083">
        <v>-265</v>
      </c>
      <c r="CP1083">
        <v>42105782</v>
      </c>
      <c r="CQ1083" s="73">
        <v>45357.583333333336</v>
      </c>
      <c r="CR1083" t="s">
        <v>229</v>
      </c>
      <c r="CS1083" t="s">
        <v>99</v>
      </c>
      <c r="CU1083" t="s">
        <v>225</v>
      </c>
    </row>
    <row r="1084" spans="1:99">
      <c r="A1084" t="s">
        <v>103</v>
      </c>
      <c r="B1084" t="s">
        <v>98</v>
      </c>
      <c r="J1084" t="s">
        <v>225</v>
      </c>
      <c r="K1084" t="s">
        <v>225</v>
      </c>
      <c r="M1084" s="73">
        <v>45357.583333333336</v>
      </c>
      <c r="N1084">
        <v>42105781</v>
      </c>
      <c r="O1084">
        <v>5300</v>
      </c>
      <c r="P1084" t="s">
        <v>104</v>
      </c>
      <c r="Q1084">
        <v>5300</v>
      </c>
      <c r="R1084" t="s">
        <v>104</v>
      </c>
      <c r="S1084">
        <v>265</v>
      </c>
      <c r="T1084" t="s">
        <v>73</v>
      </c>
      <c r="U1084" t="s">
        <v>226</v>
      </c>
      <c r="V1084" t="s">
        <v>535</v>
      </c>
      <c r="W1084" t="s">
        <v>235</v>
      </c>
      <c r="X1084" t="s">
        <v>229</v>
      </c>
      <c r="Y1084" t="s">
        <v>103</v>
      </c>
      <c r="AD1084" t="s">
        <v>104</v>
      </c>
      <c r="AE1084">
        <v>5300</v>
      </c>
      <c r="AF1084">
        <v>42105781</v>
      </c>
      <c r="AG1084" s="73">
        <v>45357.583333333336</v>
      </c>
      <c r="AH1084" t="s">
        <v>226</v>
      </c>
      <c r="AI1084" t="s">
        <v>535</v>
      </c>
      <c r="AJ1084" t="s">
        <v>235</v>
      </c>
      <c r="AK1084" t="s">
        <v>229</v>
      </c>
      <c r="AL1084" t="s">
        <v>103</v>
      </c>
      <c r="AP1084" t="s">
        <v>230</v>
      </c>
      <c r="AQ1084" t="s">
        <v>231</v>
      </c>
      <c r="AT1084" t="s">
        <v>232</v>
      </c>
      <c r="AU1084">
        <v>-99</v>
      </c>
      <c r="AV1084" t="s">
        <v>104</v>
      </c>
      <c r="AW1084">
        <v>5300</v>
      </c>
      <c r="AX1084">
        <v>42105781</v>
      </c>
      <c r="AY1084" s="73">
        <v>45357.583333333336</v>
      </c>
      <c r="AZ1084" t="s">
        <v>226</v>
      </c>
      <c r="BA1084" t="s">
        <v>535</v>
      </c>
      <c r="BB1084" t="s">
        <v>235</v>
      </c>
      <c r="BC1084" t="s">
        <v>229</v>
      </c>
      <c r="BD1084" t="s">
        <v>103</v>
      </c>
      <c r="BI1084" t="s">
        <v>233</v>
      </c>
      <c r="BJ1084" t="s">
        <v>0</v>
      </c>
      <c r="BK1084">
        <v>42105760</v>
      </c>
      <c r="BN1084" t="s">
        <v>104</v>
      </c>
      <c r="BO1084">
        <v>42105766</v>
      </c>
      <c r="BR1084">
        <v>5300</v>
      </c>
      <c r="BS1084">
        <v>42105781</v>
      </c>
      <c r="BT1084" s="73">
        <v>45357.583333333336</v>
      </c>
      <c r="BU1084" t="s">
        <v>226</v>
      </c>
      <c r="BV1084" t="s">
        <v>535</v>
      </c>
      <c r="BW1084" t="s">
        <v>235</v>
      </c>
      <c r="CH1084" t="s">
        <v>229</v>
      </c>
      <c r="CI1084" t="s">
        <v>103</v>
      </c>
      <c r="CJ1084" t="s">
        <v>226</v>
      </c>
      <c r="CK1084" t="s">
        <v>535</v>
      </c>
      <c r="CL1084" t="s">
        <v>235</v>
      </c>
      <c r="CM1084" t="s">
        <v>236</v>
      </c>
      <c r="CN1084" t="s">
        <v>104</v>
      </c>
      <c r="CO1084">
        <v>5300</v>
      </c>
      <c r="CP1084">
        <v>42105781</v>
      </c>
      <c r="CQ1084" s="73">
        <v>45357.583333333336</v>
      </c>
      <c r="CR1084" t="s">
        <v>229</v>
      </c>
      <c r="CS1084" t="s">
        <v>103</v>
      </c>
      <c r="CU1084" t="s">
        <v>225</v>
      </c>
    </row>
    <row r="1085" spans="1:99">
      <c r="A1085" t="s">
        <v>111</v>
      </c>
      <c r="B1085" t="s">
        <v>77</v>
      </c>
      <c r="J1085" t="s">
        <v>225</v>
      </c>
      <c r="K1085" t="s">
        <v>225</v>
      </c>
      <c r="M1085" s="73">
        <v>45357.583333333336</v>
      </c>
      <c r="N1085">
        <v>42105780</v>
      </c>
      <c r="O1085">
        <v>9</v>
      </c>
      <c r="P1085" t="s">
        <v>45</v>
      </c>
      <c r="Q1085">
        <v>9</v>
      </c>
      <c r="R1085" t="s">
        <v>45</v>
      </c>
      <c r="U1085" t="s">
        <v>226</v>
      </c>
      <c r="V1085" t="s">
        <v>535</v>
      </c>
      <c r="W1085" t="s">
        <v>237</v>
      </c>
      <c r="X1085" t="s">
        <v>229</v>
      </c>
      <c r="Y1085" t="s">
        <v>111</v>
      </c>
      <c r="AD1085" t="s">
        <v>45</v>
      </c>
      <c r="AE1085">
        <v>9</v>
      </c>
      <c r="AF1085">
        <v>42105780</v>
      </c>
      <c r="AG1085" s="73">
        <v>45357.583333333336</v>
      </c>
      <c r="AH1085" t="s">
        <v>226</v>
      </c>
      <c r="AI1085" t="s">
        <v>535</v>
      </c>
      <c r="AJ1085" t="s">
        <v>237</v>
      </c>
      <c r="AK1085" t="s">
        <v>229</v>
      </c>
      <c r="AL1085" t="s">
        <v>111</v>
      </c>
      <c r="AP1085" t="s">
        <v>230</v>
      </c>
      <c r="AQ1085" t="s">
        <v>231</v>
      </c>
      <c r="AT1085" t="s">
        <v>232</v>
      </c>
      <c r="AU1085">
        <v>-99</v>
      </c>
      <c r="AV1085" t="s">
        <v>45</v>
      </c>
      <c r="AW1085">
        <v>9</v>
      </c>
      <c r="AX1085">
        <v>42105780</v>
      </c>
      <c r="AY1085" s="73">
        <v>45357.583333333336</v>
      </c>
      <c r="AZ1085" t="s">
        <v>226</v>
      </c>
      <c r="BA1085" t="s">
        <v>535</v>
      </c>
      <c r="BB1085" t="s">
        <v>237</v>
      </c>
      <c r="BC1085" t="s">
        <v>229</v>
      </c>
      <c r="BD1085" t="s">
        <v>111</v>
      </c>
      <c r="BI1085" t="s">
        <v>233</v>
      </c>
      <c r="BJ1085" t="s">
        <v>0</v>
      </c>
      <c r="BK1085">
        <v>42105760</v>
      </c>
      <c r="BN1085" t="s">
        <v>45</v>
      </c>
      <c r="BO1085">
        <v>42105768</v>
      </c>
      <c r="BR1085">
        <v>9</v>
      </c>
      <c r="BS1085">
        <v>42105780</v>
      </c>
      <c r="BT1085" s="73">
        <v>45357.583333333336</v>
      </c>
      <c r="BU1085" t="s">
        <v>226</v>
      </c>
      <c r="BV1085" t="s">
        <v>535</v>
      </c>
      <c r="BW1085" t="s">
        <v>237</v>
      </c>
      <c r="CH1085" t="s">
        <v>229</v>
      </c>
      <c r="CI1085" t="s">
        <v>111</v>
      </c>
      <c r="CJ1085" t="s">
        <v>226</v>
      </c>
      <c r="CK1085" t="s">
        <v>535</v>
      </c>
      <c r="CL1085" t="s">
        <v>237</v>
      </c>
      <c r="CM1085" t="s">
        <v>236</v>
      </c>
      <c r="CN1085" t="s">
        <v>45</v>
      </c>
      <c r="CO1085">
        <v>9</v>
      </c>
      <c r="CP1085">
        <v>42105780</v>
      </c>
      <c r="CQ1085" s="73">
        <v>45357.583333333336</v>
      </c>
      <c r="CR1085" t="s">
        <v>229</v>
      </c>
      <c r="CS1085" t="s">
        <v>111</v>
      </c>
      <c r="CU1085" t="s">
        <v>225</v>
      </c>
    </row>
    <row r="1086" spans="1:99">
      <c r="A1086" t="s">
        <v>46</v>
      </c>
      <c r="B1086" t="s">
        <v>92</v>
      </c>
      <c r="J1086" t="s">
        <v>225</v>
      </c>
      <c r="K1086" t="s">
        <v>225</v>
      </c>
      <c r="M1086" s="73">
        <v>45357.583333333336</v>
      </c>
      <c r="N1086">
        <v>42105669</v>
      </c>
      <c r="O1086">
        <v>-800</v>
      </c>
      <c r="P1086" t="s">
        <v>45</v>
      </c>
      <c r="Q1086">
        <v>-800</v>
      </c>
      <c r="R1086" t="s">
        <v>45</v>
      </c>
      <c r="U1086" t="s">
        <v>226</v>
      </c>
      <c r="V1086" t="s">
        <v>536</v>
      </c>
      <c r="W1086" t="s">
        <v>228</v>
      </c>
      <c r="X1086" t="s">
        <v>229</v>
      </c>
      <c r="Y1086" t="s">
        <v>46</v>
      </c>
      <c r="AD1086" t="s">
        <v>45</v>
      </c>
      <c r="AE1086">
        <v>-800</v>
      </c>
      <c r="AF1086">
        <v>42105669</v>
      </c>
      <c r="AG1086" s="73">
        <v>45357.583333333336</v>
      </c>
      <c r="AH1086" t="s">
        <v>226</v>
      </c>
      <c r="AI1086" t="s">
        <v>536</v>
      </c>
      <c r="AJ1086" t="s">
        <v>228</v>
      </c>
      <c r="AK1086" t="s">
        <v>229</v>
      </c>
      <c r="AL1086" t="s">
        <v>46</v>
      </c>
      <c r="AP1086" t="s">
        <v>230</v>
      </c>
      <c r="AQ1086" t="s">
        <v>231</v>
      </c>
      <c r="AT1086" t="s">
        <v>232</v>
      </c>
      <c r="AU1086">
        <v>-99</v>
      </c>
      <c r="AV1086" t="s">
        <v>45</v>
      </c>
      <c r="AW1086">
        <v>-800</v>
      </c>
      <c r="AX1086">
        <v>42105669</v>
      </c>
      <c r="AY1086" s="73">
        <v>45357.583333333336</v>
      </c>
      <c r="AZ1086" t="s">
        <v>226</v>
      </c>
      <c r="BA1086" t="s">
        <v>536</v>
      </c>
      <c r="BB1086" t="s">
        <v>228</v>
      </c>
      <c r="BC1086" t="s">
        <v>229</v>
      </c>
      <c r="BD1086" t="s">
        <v>46</v>
      </c>
      <c r="BI1086" t="s">
        <v>233</v>
      </c>
      <c r="BJ1086" t="s">
        <v>0</v>
      </c>
      <c r="BK1086">
        <v>42105657</v>
      </c>
      <c r="BN1086" t="s">
        <v>45</v>
      </c>
      <c r="BR1086">
        <v>-800</v>
      </c>
      <c r="BS1086">
        <v>42105669</v>
      </c>
      <c r="BT1086" s="73">
        <v>45357.583333333336</v>
      </c>
      <c r="BU1086" t="s">
        <v>226</v>
      </c>
      <c r="BV1086" t="s">
        <v>536</v>
      </c>
      <c r="BW1086" t="s">
        <v>228</v>
      </c>
      <c r="CH1086" t="s">
        <v>229</v>
      </c>
      <c r="CI1086" t="s">
        <v>46</v>
      </c>
      <c r="CJ1086" t="s">
        <v>226</v>
      </c>
      <c r="CK1086" t="s">
        <v>536</v>
      </c>
      <c r="CL1086" t="s">
        <v>228</v>
      </c>
      <c r="CM1086" t="s">
        <v>234</v>
      </c>
      <c r="CN1086" t="s">
        <v>45</v>
      </c>
      <c r="CO1086">
        <v>-800</v>
      </c>
      <c r="CP1086">
        <v>42105669</v>
      </c>
      <c r="CQ1086" s="73">
        <v>45357.583333333336</v>
      </c>
      <c r="CR1086" t="s">
        <v>229</v>
      </c>
      <c r="CS1086" t="s">
        <v>46</v>
      </c>
      <c r="CU1086" t="s">
        <v>225</v>
      </c>
    </row>
    <row r="1087" spans="1:99">
      <c r="A1087" t="s">
        <v>93</v>
      </c>
      <c r="B1087" t="s">
        <v>98</v>
      </c>
      <c r="J1087" t="s">
        <v>225</v>
      </c>
      <c r="K1087" t="s">
        <v>225</v>
      </c>
      <c r="M1087" s="73">
        <v>45357.583333333336</v>
      </c>
      <c r="N1087">
        <v>42105668</v>
      </c>
      <c r="O1087">
        <v>-40</v>
      </c>
      <c r="P1087" t="s">
        <v>73</v>
      </c>
      <c r="Q1087">
        <v>-40</v>
      </c>
      <c r="R1087" t="s">
        <v>73</v>
      </c>
      <c r="U1087" t="s">
        <v>226</v>
      </c>
      <c r="V1087" t="s">
        <v>536</v>
      </c>
      <c r="W1087" t="s">
        <v>228</v>
      </c>
      <c r="X1087" t="s">
        <v>229</v>
      </c>
      <c r="Y1087" t="s">
        <v>93</v>
      </c>
      <c r="AD1087" t="s">
        <v>73</v>
      </c>
      <c r="AE1087">
        <v>-40</v>
      </c>
      <c r="AF1087">
        <v>42105668</v>
      </c>
      <c r="AG1087" s="73">
        <v>45357.583333333336</v>
      </c>
      <c r="AH1087" t="s">
        <v>226</v>
      </c>
      <c r="AI1087" t="s">
        <v>536</v>
      </c>
      <c r="AJ1087" t="s">
        <v>228</v>
      </c>
      <c r="AK1087" t="s">
        <v>229</v>
      </c>
      <c r="AL1087" t="s">
        <v>93</v>
      </c>
      <c r="AP1087" t="s">
        <v>230</v>
      </c>
      <c r="AQ1087" t="s">
        <v>231</v>
      </c>
      <c r="AT1087" t="s">
        <v>232</v>
      </c>
      <c r="AU1087">
        <v>-99</v>
      </c>
      <c r="AV1087" t="s">
        <v>73</v>
      </c>
      <c r="AW1087">
        <v>-40</v>
      </c>
      <c r="AX1087">
        <v>42105668</v>
      </c>
      <c r="AY1087" s="73">
        <v>45357.583333333336</v>
      </c>
      <c r="AZ1087" t="s">
        <v>226</v>
      </c>
      <c r="BA1087" t="s">
        <v>536</v>
      </c>
      <c r="BB1087" t="s">
        <v>228</v>
      </c>
      <c r="BC1087" t="s">
        <v>229</v>
      </c>
      <c r="BD1087" t="s">
        <v>93</v>
      </c>
      <c r="BI1087" t="s">
        <v>233</v>
      </c>
      <c r="BJ1087" t="s">
        <v>0</v>
      </c>
      <c r="BK1087">
        <v>42105657</v>
      </c>
      <c r="BN1087" t="s">
        <v>73</v>
      </c>
      <c r="BR1087">
        <v>-40</v>
      </c>
      <c r="BS1087">
        <v>42105668</v>
      </c>
      <c r="BT1087" s="73">
        <v>45357.583333333336</v>
      </c>
      <c r="BU1087" t="s">
        <v>226</v>
      </c>
      <c r="BV1087" t="s">
        <v>536</v>
      </c>
      <c r="BW1087" t="s">
        <v>228</v>
      </c>
      <c r="CH1087" t="s">
        <v>229</v>
      </c>
      <c r="CI1087" t="s">
        <v>93</v>
      </c>
      <c r="CJ1087" t="s">
        <v>226</v>
      </c>
      <c r="CK1087" t="s">
        <v>536</v>
      </c>
      <c r="CL1087" t="s">
        <v>228</v>
      </c>
      <c r="CM1087" t="s">
        <v>234</v>
      </c>
      <c r="CN1087" t="s">
        <v>73</v>
      </c>
      <c r="CO1087">
        <v>-40</v>
      </c>
      <c r="CP1087">
        <v>42105668</v>
      </c>
      <c r="CQ1087" s="73">
        <v>45357.583333333336</v>
      </c>
      <c r="CR1087" t="s">
        <v>229</v>
      </c>
      <c r="CS1087" t="s">
        <v>93</v>
      </c>
      <c r="CU1087" t="s">
        <v>225</v>
      </c>
    </row>
    <row r="1088" spans="1:99">
      <c r="A1088" t="s">
        <v>108</v>
      </c>
      <c r="B1088" t="s">
        <v>98</v>
      </c>
      <c r="J1088" t="s">
        <v>225</v>
      </c>
      <c r="K1088" t="s">
        <v>225</v>
      </c>
      <c r="M1088" s="73">
        <v>45357.583333333336</v>
      </c>
      <c r="N1088">
        <v>42105667</v>
      </c>
      <c r="O1088">
        <v>800</v>
      </c>
      <c r="P1088" t="s">
        <v>104</v>
      </c>
      <c r="Q1088">
        <v>800</v>
      </c>
      <c r="R1088" t="s">
        <v>104</v>
      </c>
      <c r="S1088">
        <v>40</v>
      </c>
      <c r="T1088" t="s">
        <v>73</v>
      </c>
      <c r="U1088" t="s">
        <v>226</v>
      </c>
      <c r="V1088" t="s">
        <v>536</v>
      </c>
      <c r="W1088" t="s">
        <v>235</v>
      </c>
      <c r="X1088" t="s">
        <v>229</v>
      </c>
      <c r="Y1088" t="s">
        <v>108</v>
      </c>
      <c r="AD1088" t="s">
        <v>104</v>
      </c>
      <c r="AE1088">
        <v>800</v>
      </c>
      <c r="AF1088">
        <v>42105667</v>
      </c>
      <c r="AG1088" s="73">
        <v>45357.583333333336</v>
      </c>
      <c r="AH1088" t="s">
        <v>226</v>
      </c>
      <c r="AI1088" t="s">
        <v>536</v>
      </c>
      <c r="AJ1088" t="s">
        <v>235</v>
      </c>
      <c r="AK1088" t="s">
        <v>229</v>
      </c>
      <c r="AL1088" t="s">
        <v>108</v>
      </c>
      <c r="AP1088" t="s">
        <v>230</v>
      </c>
      <c r="AQ1088" t="s">
        <v>231</v>
      </c>
      <c r="AT1088" t="s">
        <v>232</v>
      </c>
      <c r="AU1088">
        <v>-99</v>
      </c>
      <c r="AV1088" t="s">
        <v>104</v>
      </c>
      <c r="AW1088">
        <v>800</v>
      </c>
      <c r="AX1088">
        <v>42105667</v>
      </c>
      <c r="AY1088" s="73">
        <v>45357.583333333336</v>
      </c>
      <c r="AZ1088" t="s">
        <v>226</v>
      </c>
      <c r="BA1088" t="s">
        <v>536</v>
      </c>
      <c r="BB1088" t="s">
        <v>235</v>
      </c>
      <c r="BC1088" t="s">
        <v>229</v>
      </c>
      <c r="BD1088" t="s">
        <v>108</v>
      </c>
      <c r="BI1088" t="s">
        <v>233</v>
      </c>
      <c r="BJ1088" t="s">
        <v>0</v>
      </c>
      <c r="BK1088">
        <v>42105657</v>
      </c>
      <c r="BN1088" t="s">
        <v>104</v>
      </c>
      <c r="BO1088">
        <v>42105663</v>
      </c>
      <c r="BR1088">
        <v>800</v>
      </c>
      <c r="BS1088">
        <v>42105667</v>
      </c>
      <c r="BT1088" s="73">
        <v>45357.583333333336</v>
      </c>
      <c r="BU1088" t="s">
        <v>226</v>
      </c>
      <c r="BV1088" t="s">
        <v>536</v>
      </c>
      <c r="BW1088" t="s">
        <v>235</v>
      </c>
      <c r="CH1088" t="s">
        <v>229</v>
      </c>
      <c r="CI1088" t="s">
        <v>108</v>
      </c>
      <c r="CJ1088" t="s">
        <v>226</v>
      </c>
      <c r="CK1088" t="s">
        <v>536</v>
      </c>
      <c r="CL1088" t="s">
        <v>235</v>
      </c>
      <c r="CM1088" t="s">
        <v>236</v>
      </c>
      <c r="CN1088" t="s">
        <v>104</v>
      </c>
      <c r="CO1088">
        <v>800</v>
      </c>
      <c r="CP1088">
        <v>42105667</v>
      </c>
      <c r="CQ1088" s="73">
        <v>45357.583333333336</v>
      </c>
      <c r="CR1088" t="s">
        <v>229</v>
      </c>
      <c r="CS1088" t="s">
        <v>108</v>
      </c>
      <c r="CU1088" t="s">
        <v>225</v>
      </c>
    </row>
    <row r="1089" spans="1:99">
      <c r="A1089" t="s">
        <v>52</v>
      </c>
      <c r="B1089" t="s">
        <v>92</v>
      </c>
      <c r="J1089" t="s">
        <v>225</v>
      </c>
      <c r="K1089" t="s">
        <v>225</v>
      </c>
      <c r="M1089" s="73">
        <v>45357.583333333336</v>
      </c>
      <c r="N1089">
        <v>42105629</v>
      </c>
      <c r="O1089">
        <v>-1100</v>
      </c>
      <c r="P1089" t="s">
        <v>45</v>
      </c>
      <c r="Q1089">
        <v>-1100</v>
      </c>
      <c r="R1089" t="s">
        <v>45</v>
      </c>
      <c r="U1089" t="s">
        <v>226</v>
      </c>
      <c r="V1089" t="s">
        <v>537</v>
      </c>
      <c r="W1089" t="s">
        <v>228</v>
      </c>
      <c r="X1089" t="s">
        <v>229</v>
      </c>
      <c r="Y1089" t="s">
        <v>52</v>
      </c>
      <c r="AD1089" t="s">
        <v>45</v>
      </c>
      <c r="AE1089">
        <v>-1100</v>
      </c>
      <c r="AF1089">
        <v>42105629</v>
      </c>
      <c r="AG1089" s="73">
        <v>45357.583333333336</v>
      </c>
      <c r="AH1089" t="s">
        <v>226</v>
      </c>
      <c r="AI1089" t="s">
        <v>537</v>
      </c>
      <c r="AJ1089" t="s">
        <v>228</v>
      </c>
      <c r="AK1089" t="s">
        <v>229</v>
      </c>
      <c r="AL1089" t="s">
        <v>52</v>
      </c>
      <c r="AP1089" t="s">
        <v>230</v>
      </c>
      <c r="AQ1089" t="s">
        <v>231</v>
      </c>
      <c r="AT1089" t="s">
        <v>232</v>
      </c>
      <c r="AU1089">
        <v>-99</v>
      </c>
      <c r="AV1089" t="s">
        <v>45</v>
      </c>
      <c r="AW1089">
        <v>-1100</v>
      </c>
      <c r="AX1089">
        <v>42105629</v>
      </c>
      <c r="AY1089" s="73">
        <v>45357.583333333336</v>
      </c>
      <c r="AZ1089" t="s">
        <v>226</v>
      </c>
      <c r="BA1089" t="s">
        <v>537</v>
      </c>
      <c r="BB1089" t="s">
        <v>228</v>
      </c>
      <c r="BC1089" t="s">
        <v>229</v>
      </c>
      <c r="BD1089" t="s">
        <v>52</v>
      </c>
      <c r="BI1089" t="s">
        <v>233</v>
      </c>
      <c r="BJ1089" t="s">
        <v>0</v>
      </c>
      <c r="BK1089">
        <v>42105617</v>
      </c>
      <c r="BN1089" t="s">
        <v>45</v>
      </c>
      <c r="BR1089">
        <v>-1100</v>
      </c>
      <c r="BS1089">
        <v>42105629</v>
      </c>
      <c r="BT1089" s="73">
        <v>45357.583333333336</v>
      </c>
      <c r="BU1089" t="s">
        <v>226</v>
      </c>
      <c r="BV1089" t="s">
        <v>537</v>
      </c>
      <c r="BW1089" t="s">
        <v>228</v>
      </c>
      <c r="CH1089" t="s">
        <v>229</v>
      </c>
      <c r="CI1089" t="s">
        <v>52</v>
      </c>
      <c r="CJ1089" t="s">
        <v>226</v>
      </c>
      <c r="CK1089" t="s">
        <v>537</v>
      </c>
      <c r="CL1089" t="s">
        <v>228</v>
      </c>
      <c r="CM1089" t="s">
        <v>234</v>
      </c>
      <c r="CN1089" t="s">
        <v>45</v>
      </c>
      <c r="CO1089">
        <v>-1100</v>
      </c>
      <c r="CP1089">
        <v>42105629</v>
      </c>
      <c r="CQ1089" s="73">
        <v>45357.583333333336</v>
      </c>
      <c r="CR1089" t="s">
        <v>229</v>
      </c>
      <c r="CS1089" t="s">
        <v>52</v>
      </c>
      <c r="CU1089" t="s">
        <v>225</v>
      </c>
    </row>
    <row r="1090" spans="1:99">
      <c r="A1090" t="s">
        <v>101</v>
      </c>
      <c r="B1090" t="s">
        <v>98</v>
      </c>
      <c r="J1090" t="s">
        <v>225</v>
      </c>
      <c r="K1090" t="s">
        <v>225</v>
      </c>
      <c r="M1090" s="73">
        <v>45357.583333333336</v>
      </c>
      <c r="N1090">
        <v>42105628</v>
      </c>
      <c r="O1090">
        <v>-55</v>
      </c>
      <c r="P1090" t="s">
        <v>73</v>
      </c>
      <c r="Q1090">
        <v>-55</v>
      </c>
      <c r="R1090" t="s">
        <v>73</v>
      </c>
      <c r="U1090" t="s">
        <v>226</v>
      </c>
      <c r="V1090" t="s">
        <v>537</v>
      </c>
      <c r="W1090" t="s">
        <v>228</v>
      </c>
      <c r="X1090" t="s">
        <v>229</v>
      </c>
      <c r="Y1090" t="s">
        <v>101</v>
      </c>
      <c r="AD1090" t="s">
        <v>73</v>
      </c>
      <c r="AE1090">
        <v>-55</v>
      </c>
      <c r="AF1090">
        <v>42105628</v>
      </c>
      <c r="AG1090" s="73">
        <v>45357.583333333336</v>
      </c>
      <c r="AH1090" t="s">
        <v>226</v>
      </c>
      <c r="AI1090" t="s">
        <v>537</v>
      </c>
      <c r="AJ1090" t="s">
        <v>228</v>
      </c>
      <c r="AK1090" t="s">
        <v>229</v>
      </c>
      <c r="AL1090" t="s">
        <v>101</v>
      </c>
      <c r="AP1090" t="s">
        <v>230</v>
      </c>
      <c r="AQ1090" t="s">
        <v>231</v>
      </c>
      <c r="AT1090" t="s">
        <v>232</v>
      </c>
      <c r="AU1090">
        <v>-99</v>
      </c>
      <c r="AV1090" t="s">
        <v>73</v>
      </c>
      <c r="AW1090">
        <v>-55</v>
      </c>
      <c r="AX1090">
        <v>42105628</v>
      </c>
      <c r="AY1090" s="73">
        <v>45357.583333333336</v>
      </c>
      <c r="AZ1090" t="s">
        <v>226</v>
      </c>
      <c r="BA1090" t="s">
        <v>537</v>
      </c>
      <c r="BB1090" t="s">
        <v>228</v>
      </c>
      <c r="BC1090" t="s">
        <v>229</v>
      </c>
      <c r="BD1090" t="s">
        <v>101</v>
      </c>
      <c r="BI1090" t="s">
        <v>233</v>
      </c>
      <c r="BJ1090" t="s">
        <v>0</v>
      </c>
      <c r="BK1090">
        <v>42105617</v>
      </c>
      <c r="BN1090" t="s">
        <v>73</v>
      </c>
      <c r="BR1090">
        <v>-55</v>
      </c>
      <c r="BS1090">
        <v>42105628</v>
      </c>
      <c r="BT1090" s="73">
        <v>45357.583333333336</v>
      </c>
      <c r="BU1090" t="s">
        <v>226</v>
      </c>
      <c r="BV1090" t="s">
        <v>537</v>
      </c>
      <c r="BW1090" t="s">
        <v>228</v>
      </c>
      <c r="CH1090" t="s">
        <v>229</v>
      </c>
      <c r="CI1090" t="s">
        <v>101</v>
      </c>
      <c r="CJ1090" t="s">
        <v>226</v>
      </c>
      <c r="CK1090" t="s">
        <v>537</v>
      </c>
      <c r="CL1090" t="s">
        <v>228</v>
      </c>
      <c r="CM1090" t="s">
        <v>234</v>
      </c>
      <c r="CN1090" t="s">
        <v>73</v>
      </c>
      <c r="CO1090">
        <v>-55</v>
      </c>
      <c r="CP1090">
        <v>42105628</v>
      </c>
      <c r="CQ1090" s="73">
        <v>45357.583333333336</v>
      </c>
      <c r="CR1090" t="s">
        <v>229</v>
      </c>
      <c r="CS1090" t="s">
        <v>101</v>
      </c>
      <c r="CU1090" t="s">
        <v>225</v>
      </c>
    </row>
    <row r="1091" spans="1:99">
      <c r="A1091" t="s">
        <v>107</v>
      </c>
      <c r="B1091" t="s">
        <v>98</v>
      </c>
      <c r="J1091" t="s">
        <v>225</v>
      </c>
      <c r="K1091" t="s">
        <v>225</v>
      </c>
      <c r="M1091" s="73">
        <v>45357.583333333336</v>
      </c>
      <c r="N1091">
        <v>42105627</v>
      </c>
      <c r="O1091">
        <v>1100</v>
      </c>
      <c r="P1091" t="s">
        <v>104</v>
      </c>
      <c r="Q1091">
        <v>1100</v>
      </c>
      <c r="R1091" t="s">
        <v>104</v>
      </c>
      <c r="S1091">
        <v>55</v>
      </c>
      <c r="T1091" t="s">
        <v>73</v>
      </c>
      <c r="U1091" t="s">
        <v>226</v>
      </c>
      <c r="V1091" t="s">
        <v>537</v>
      </c>
      <c r="W1091" t="s">
        <v>235</v>
      </c>
      <c r="X1091" t="s">
        <v>229</v>
      </c>
      <c r="Y1091" t="s">
        <v>107</v>
      </c>
      <c r="AD1091" t="s">
        <v>104</v>
      </c>
      <c r="AE1091">
        <v>1100</v>
      </c>
      <c r="AF1091">
        <v>42105627</v>
      </c>
      <c r="AG1091" s="73">
        <v>45357.583333333336</v>
      </c>
      <c r="AH1091" t="s">
        <v>226</v>
      </c>
      <c r="AI1091" t="s">
        <v>537</v>
      </c>
      <c r="AJ1091" t="s">
        <v>235</v>
      </c>
      <c r="AK1091" t="s">
        <v>229</v>
      </c>
      <c r="AL1091" t="s">
        <v>107</v>
      </c>
      <c r="AP1091" t="s">
        <v>230</v>
      </c>
      <c r="AQ1091" t="s">
        <v>231</v>
      </c>
      <c r="AT1091" t="s">
        <v>232</v>
      </c>
      <c r="AU1091">
        <v>-99</v>
      </c>
      <c r="AV1091" t="s">
        <v>104</v>
      </c>
      <c r="AW1091">
        <v>1100</v>
      </c>
      <c r="AX1091">
        <v>42105627</v>
      </c>
      <c r="AY1091" s="73">
        <v>45357.583333333336</v>
      </c>
      <c r="AZ1091" t="s">
        <v>226</v>
      </c>
      <c r="BA1091" t="s">
        <v>537</v>
      </c>
      <c r="BB1091" t="s">
        <v>235</v>
      </c>
      <c r="BC1091" t="s">
        <v>229</v>
      </c>
      <c r="BD1091" t="s">
        <v>107</v>
      </c>
      <c r="BI1091" t="s">
        <v>233</v>
      </c>
      <c r="BJ1091" t="s">
        <v>0</v>
      </c>
      <c r="BK1091">
        <v>42105617</v>
      </c>
      <c r="BN1091" t="s">
        <v>104</v>
      </c>
      <c r="BO1091">
        <v>42105623</v>
      </c>
      <c r="BR1091">
        <v>1100</v>
      </c>
      <c r="BS1091">
        <v>42105627</v>
      </c>
      <c r="BT1091" s="73">
        <v>45357.583333333336</v>
      </c>
      <c r="BU1091" t="s">
        <v>226</v>
      </c>
      <c r="BV1091" t="s">
        <v>537</v>
      </c>
      <c r="BW1091" t="s">
        <v>235</v>
      </c>
      <c r="CH1091" t="s">
        <v>229</v>
      </c>
      <c r="CI1091" t="s">
        <v>107</v>
      </c>
      <c r="CJ1091" t="s">
        <v>226</v>
      </c>
      <c r="CK1091" t="s">
        <v>537</v>
      </c>
      <c r="CL1091" t="s">
        <v>235</v>
      </c>
      <c r="CM1091" t="s">
        <v>236</v>
      </c>
      <c r="CN1091" t="s">
        <v>104</v>
      </c>
      <c r="CO1091">
        <v>1100</v>
      </c>
      <c r="CP1091">
        <v>42105627</v>
      </c>
      <c r="CQ1091" s="73">
        <v>45357.583333333336</v>
      </c>
      <c r="CR1091" t="s">
        <v>229</v>
      </c>
      <c r="CS1091" t="s">
        <v>107</v>
      </c>
      <c r="CU1091" t="s">
        <v>225</v>
      </c>
    </row>
    <row r="1092" spans="1:99">
      <c r="A1092" t="s">
        <v>52</v>
      </c>
      <c r="B1092" t="s">
        <v>92</v>
      </c>
      <c r="J1092" t="s">
        <v>225</v>
      </c>
      <c r="K1092" t="s">
        <v>225</v>
      </c>
      <c r="M1092" s="73">
        <v>45357.26458333333</v>
      </c>
      <c r="N1092">
        <v>42091553</v>
      </c>
      <c r="O1092">
        <v>-251</v>
      </c>
      <c r="P1092" t="s">
        <v>45</v>
      </c>
      <c r="Q1092">
        <v>-251</v>
      </c>
      <c r="R1092" t="s">
        <v>45</v>
      </c>
      <c r="U1092" t="s">
        <v>226</v>
      </c>
      <c r="V1092" t="s">
        <v>538</v>
      </c>
      <c r="W1092" t="s">
        <v>228</v>
      </c>
      <c r="X1092" t="s">
        <v>229</v>
      </c>
      <c r="Y1092" t="s">
        <v>52</v>
      </c>
      <c r="AD1092" t="s">
        <v>45</v>
      </c>
      <c r="AE1092">
        <v>-251</v>
      </c>
      <c r="AF1092">
        <v>42091553</v>
      </c>
      <c r="AG1092" s="73">
        <v>45357.26458333333</v>
      </c>
      <c r="AH1092" t="s">
        <v>226</v>
      </c>
      <c r="AI1092" t="s">
        <v>538</v>
      </c>
      <c r="AJ1092" t="s">
        <v>228</v>
      </c>
      <c r="AK1092" t="s">
        <v>229</v>
      </c>
      <c r="AL1092" t="s">
        <v>52</v>
      </c>
      <c r="AP1092" t="s">
        <v>230</v>
      </c>
      <c r="AQ1092" t="s">
        <v>231</v>
      </c>
      <c r="AT1092" t="s">
        <v>232</v>
      </c>
      <c r="AU1092">
        <v>-99</v>
      </c>
      <c r="AV1092" t="s">
        <v>45</v>
      </c>
      <c r="AW1092">
        <v>-251</v>
      </c>
      <c r="AX1092">
        <v>42091553</v>
      </c>
      <c r="AY1092" s="73">
        <v>45357.26458333333</v>
      </c>
      <c r="AZ1092" t="s">
        <v>226</v>
      </c>
      <c r="BA1092" t="s">
        <v>538</v>
      </c>
      <c r="BB1092" t="s">
        <v>228</v>
      </c>
      <c r="BC1092" t="s">
        <v>229</v>
      </c>
      <c r="BD1092" t="s">
        <v>52</v>
      </c>
      <c r="BI1092" t="s">
        <v>233</v>
      </c>
      <c r="BJ1092" t="s">
        <v>0</v>
      </c>
      <c r="BK1092">
        <v>42091537</v>
      </c>
      <c r="BN1092" t="s">
        <v>45</v>
      </c>
      <c r="BR1092">
        <v>-251</v>
      </c>
      <c r="BS1092">
        <v>42091553</v>
      </c>
      <c r="BT1092" s="73">
        <v>45357.26458333333</v>
      </c>
      <c r="BU1092" t="s">
        <v>226</v>
      </c>
      <c r="BV1092" t="s">
        <v>538</v>
      </c>
      <c r="BW1092" t="s">
        <v>228</v>
      </c>
      <c r="CH1092" t="s">
        <v>229</v>
      </c>
      <c r="CI1092" t="s">
        <v>52</v>
      </c>
      <c r="CJ1092" t="s">
        <v>226</v>
      </c>
      <c r="CK1092" t="s">
        <v>538</v>
      </c>
      <c r="CL1092" t="s">
        <v>228</v>
      </c>
      <c r="CM1092" t="s">
        <v>234</v>
      </c>
      <c r="CN1092" t="s">
        <v>45</v>
      </c>
      <c r="CO1092">
        <v>-251</v>
      </c>
      <c r="CP1092">
        <v>42091553</v>
      </c>
      <c r="CQ1092" s="73">
        <v>45357.26458333333</v>
      </c>
      <c r="CR1092" t="s">
        <v>229</v>
      </c>
      <c r="CS1092" t="s">
        <v>52</v>
      </c>
      <c r="CU1092" t="s">
        <v>225</v>
      </c>
    </row>
    <row r="1093" spans="1:99">
      <c r="A1093" t="s">
        <v>101</v>
      </c>
      <c r="B1093" t="s">
        <v>98</v>
      </c>
      <c r="J1093" t="s">
        <v>225</v>
      </c>
      <c r="K1093" t="s">
        <v>225</v>
      </c>
      <c r="M1093" s="73">
        <v>45357.26458333333</v>
      </c>
      <c r="N1093">
        <v>42091552</v>
      </c>
      <c r="O1093">
        <v>-12.5</v>
      </c>
      <c r="P1093" t="s">
        <v>73</v>
      </c>
      <c r="Q1093">
        <v>-12.5</v>
      </c>
      <c r="R1093" t="s">
        <v>73</v>
      </c>
      <c r="U1093" t="s">
        <v>226</v>
      </c>
      <c r="V1093" t="s">
        <v>538</v>
      </c>
      <c r="W1093" t="s">
        <v>228</v>
      </c>
      <c r="X1093" t="s">
        <v>229</v>
      </c>
      <c r="Y1093" t="s">
        <v>101</v>
      </c>
      <c r="AD1093" t="s">
        <v>73</v>
      </c>
      <c r="AE1093">
        <v>-12.5</v>
      </c>
      <c r="AF1093">
        <v>42091552</v>
      </c>
      <c r="AG1093" s="73">
        <v>45357.26458333333</v>
      </c>
      <c r="AH1093" t="s">
        <v>226</v>
      </c>
      <c r="AI1093" t="s">
        <v>538</v>
      </c>
      <c r="AJ1093" t="s">
        <v>228</v>
      </c>
      <c r="AK1093" t="s">
        <v>229</v>
      </c>
      <c r="AL1093" t="s">
        <v>101</v>
      </c>
      <c r="AP1093" t="s">
        <v>230</v>
      </c>
      <c r="AQ1093" t="s">
        <v>231</v>
      </c>
      <c r="AT1093" t="s">
        <v>232</v>
      </c>
      <c r="AU1093">
        <v>-99</v>
      </c>
      <c r="AV1093" t="s">
        <v>73</v>
      </c>
      <c r="AW1093">
        <v>-12.5</v>
      </c>
      <c r="AX1093">
        <v>42091552</v>
      </c>
      <c r="AY1093" s="73">
        <v>45357.26458333333</v>
      </c>
      <c r="AZ1093" t="s">
        <v>226</v>
      </c>
      <c r="BA1093" t="s">
        <v>538</v>
      </c>
      <c r="BB1093" t="s">
        <v>228</v>
      </c>
      <c r="BC1093" t="s">
        <v>229</v>
      </c>
      <c r="BD1093" t="s">
        <v>101</v>
      </c>
      <c r="BI1093" t="s">
        <v>233</v>
      </c>
      <c r="BJ1093" t="s">
        <v>0</v>
      </c>
      <c r="BK1093">
        <v>42091537</v>
      </c>
      <c r="BN1093" t="s">
        <v>73</v>
      </c>
      <c r="BR1093">
        <v>-12.5</v>
      </c>
      <c r="BS1093">
        <v>42091552</v>
      </c>
      <c r="BT1093" s="73">
        <v>45357.26458333333</v>
      </c>
      <c r="BU1093" t="s">
        <v>226</v>
      </c>
      <c r="BV1093" t="s">
        <v>538</v>
      </c>
      <c r="BW1093" t="s">
        <v>228</v>
      </c>
      <c r="CH1093" t="s">
        <v>229</v>
      </c>
      <c r="CI1093" t="s">
        <v>101</v>
      </c>
      <c r="CJ1093" t="s">
        <v>226</v>
      </c>
      <c r="CK1093" t="s">
        <v>538</v>
      </c>
      <c r="CL1093" t="s">
        <v>228</v>
      </c>
      <c r="CM1093" t="s">
        <v>234</v>
      </c>
      <c r="CN1093" t="s">
        <v>73</v>
      </c>
      <c r="CO1093">
        <v>-12.5</v>
      </c>
      <c r="CP1093">
        <v>42091552</v>
      </c>
      <c r="CQ1093" s="73">
        <v>45357.26458333333</v>
      </c>
      <c r="CR1093" t="s">
        <v>229</v>
      </c>
      <c r="CS1093" t="s">
        <v>101</v>
      </c>
      <c r="CU1093" t="s">
        <v>225</v>
      </c>
    </row>
    <row r="1094" spans="1:99">
      <c r="A1094" t="s">
        <v>107</v>
      </c>
      <c r="B1094" t="s">
        <v>98</v>
      </c>
      <c r="J1094" t="s">
        <v>225</v>
      </c>
      <c r="K1094" t="s">
        <v>225</v>
      </c>
      <c r="M1094" s="73">
        <v>45357.26458333333</v>
      </c>
      <c r="N1094">
        <v>42091551</v>
      </c>
      <c r="O1094">
        <v>250</v>
      </c>
      <c r="P1094" t="s">
        <v>104</v>
      </c>
      <c r="Q1094">
        <v>250</v>
      </c>
      <c r="R1094" t="s">
        <v>104</v>
      </c>
      <c r="S1094">
        <v>12.5</v>
      </c>
      <c r="T1094" t="s">
        <v>73</v>
      </c>
      <c r="U1094" t="s">
        <v>226</v>
      </c>
      <c r="V1094" t="s">
        <v>538</v>
      </c>
      <c r="W1094" t="s">
        <v>235</v>
      </c>
      <c r="X1094" t="s">
        <v>229</v>
      </c>
      <c r="Y1094" t="s">
        <v>107</v>
      </c>
      <c r="AD1094" t="s">
        <v>104</v>
      </c>
      <c r="AE1094">
        <v>250</v>
      </c>
      <c r="AF1094">
        <v>42091551</v>
      </c>
      <c r="AG1094" s="73">
        <v>45357.26458333333</v>
      </c>
      <c r="AH1094" t="s">
        <v>226</v>
      </c>
      <c r="AI1094" t="s">
        <v>538</v>
      </c>
      <c r="AJ1094" t="s">
        <v>235</v>
      </c>
      <c r="AK1094" t="s">
        <v>229</v>
      </c>
      <c r="AL1094" t="s">
        <v>107</v>
      </c>
      <c r="AP1094" t="s">
        <v>230</v>
      </c>
      <c r="AQ1094" t="s">
        <v>231</v>
      </c>
      <c r="AT1094" t="s">
        <v>232</v>
      </c>
      <c r="AU1094">
        <v>-99</v>
      </c>
      <c r="AV1094" t="s">
        <v>104</v>
      </c>
      <c r="AW1094">
        <v>250</v>
      </c>
      <c r="AX1094">
        <v>42091551</v>
      </c>
      <c r="AY1094" s="73">
        <v>45357.26458333333</v>
      </c>
      <c r="AZ1094" t="s">
        <v>226</v>
      </c>
      <c r="BA1094" t="s">
        <v>538</v>
      </c>
      <c r="BB1094" t="s">
        <v>235</v>
      </c>
      <c r="BC1094" t="s">
        <v>229</v>
      </c>
      <c r="BD1094" t="s">
        <v>107</v>
      </c>
      <c r="BI1094" t="s">
        <v>233</v>
      </c>
      <c r="BJ1094" t="s">
        <v>0</v>
      </c>
      <c r="BK1094">
        <v>42091537</v>
      </c>
      <c r="BN1094" t="s">
        <v>104</v>
      </c>
      <c r="BO1094">
        <v>42091543</v>
      </c>
      <c r="BR1094">
        <v>250</v>
      </c>
      <c r="BS1094">
        <v>42091551</v>
      </c>
      <c r="BT1094" s="73">
        <v>45357.26458333333</v>
      </c>
      <c r="BU1094" t="s">
        <v>226</v>
      </c>
      <c r="BV1094" t="s">
        <v>538</v>
      </c>
      <c r="BW1094" t="s">
        <v>235</v>
      </c>
      <c r="CH1094" t="s">
        <v>229</v>
      </c>
      <c r="CI1094" t="s">
        <v>107</v>
      </c>
      <c r="CJ1094" t="s">
        <v>226</v>
      </c>
      <c r="CK1094" t="s">
        <v>538</v>
      </c>
      <c r="CL1094" t="s">
        <v>235</v>
      </c>
      <c r="CM1094" t="s">
        <v>236</v>
      </c>
      <c r="CN1094" t="s">
        <v>104</v>
      </c>
      <c r="CO1094">
        <v>250</v>
      </c>
      <c r="CP1094">
        <v>42091551</v>
      </c>
      <c r="CQ1094" s="73">
        <v>45357.26458333333</v>
      </c>
      <c r="CR1094" t="s">
        <v>229</v>
      </c>
      <c r="CS1094" t="s">
        <v>107</v>
      </c>
      <c r="CU1094" t="s">
        <v>225</v>
      </c>
    </row>
    <row r="1095" spans="1:99">
      <c r="A1095" t="s">
        <v>111</v>
      </c>
      <c r="B1095" t="s">
        <v>77</v>
      </c>
      <c r="J1095" t="s">
        <v>225</v>
      </c>
      <c r="K1095" t="s">
        <v>225</v>
      </c>
      <c r="M1095" s="73">
        <v>45357.26458333333</v>
      </c>
      <c r="N1095">
        <v>42091550</v>
      </c>
      <c r="O1095">
        <v>1</v>
      </c>
      <c r="P1095" t="s">
        <v>45</v>
      </c>
      <c r="Q1095">
        <v>1</v>
      </c>
      <c r="R1095" t="s">
        <v>45</v>
      </c>
      <c r="U1095" t="s">
        <v>226</v>
      </c>
      <c r="V1095" t="s">
        <v>538</v>
      </c>
      <c r="W1095" t="s">
        <v>237</v>
      </c>
      <c r="X1095" t="s">
        <v>229</v>
      </c>
      <c r="Y1095" t="s">
        <v>111</v>
      </c>
      <c r="AD1095" t="s">
        <v>45</v>
      </c>
      <c r="AE1095">
        <v>1</v>
      </c>
      <c r="AF1095">
        <v>42091550</v>
      </c>
      <c r="AG1095" s="73">
        <v>45357.26458333333</v>
      </c>
      <c r="AH1095" t="s">
        <v>226</v>
      </c>
      <c r="AI1095" t="s">
        <v>538</v>
      </c>
      <c r="AJ1095" t="s">
        <v>237</v>
      </c>
      <c r="AK1095" t="s">
        <v>229</v>
      </c>
      <c r="AL1095" t="s">
        <v>111</v>
      </c>
      <c r="AP1095" t="s">
        <v>230</v>
      </c>
      <c r="AQ1095" t="s">
        <v>231</v>
      </c>
      <c r="AT1095" t="s">
        <v>232</v>
      </c>
      <c r="AU1095">
        <v>-99</v>
      </c>
      <c r="AV1095" t="s">
        <v>45</v>
      </c>
      <c r="AW1095">
        <v>1</v>
      </c>
      <c r="AX1095">
        <v>42091550</v>
      </c>
      <c r="AY1095" s="73">
        <v>45357.26458333333</v>
      </c>
      <c r="AZ1095" t="s">
        <v>226</v>
      </c>
      <c r="BA1095" t="s">
        <v>538</v>
      </c>
      <c r="BB1095" t="s">
        <v>237</v>
      </c>
      <c r="BC1095" t="s">
        <v>229</v>
      </c>
      <c r="BD1095" t="s">
        <v>111</v>
      </c>
      <c r="BI1095" t="s">
        <v>233</v>
      </c>
      <c r="BJ1095" t="s">
        <v>0</v>
      </c>
      <c r="BK1095">
        <v>42091537</v>
      </c>
      <c r="BN1095" t="s">
        <v>45</v>
      </c>
      <c r="BO1095">
        <v>42091545</v>
      </c>
      <c r="BR1095">
        <v>1</v>
      </c>
      <c r="BS1095">
        <v>42091550</v>
      </c>
      <c r="BT1095" s="73">
        <v>45357.26458333333</v>
      </c>
      <c r="BU1095" t="s">
        <v>226</v>
      </c>
      <c r="BV1095" t="s">
        <v>538</v>
      </c>
      <c r="BW1095" t="s">
        <v>237</v>
      </c>
      <c r="CH1095" t="s">
        <v>229</v>
      </c>
      <c r="CI1095" t="s">
        <v>111</v>
      </c>
      <c r="CJ1095" t="s">
        <v>226</v>
      </c>
      <c r="CK1095" t="s">
        <v>538</v>
      </c>
      <c r="CL1095" t="s">
        <v>237</v>
      </c>
      <c r="CM1095" t="s">
        <v>236</v>
      </c>
      <c r="CN1095" t="s">
        <v>45</v>
      </c>
      <c r="CO1095">
        <v>1</v>
      </c>
      <c r="CP1095">
        <v>42091550</v>
      </c>
      <c r="CQ1095" s="73">
        <v>45357.26458333333</v>
      </c>
      <c r="CR1095" t="s">
        <v>229</v>
      </c>
      <c r="CS1095" t="s">
        <v>111</v>
      </c>
      <c r="CU1095" t="s">
        <v>225</v>
      </c>
    </row>
    <row r="1096" spans="1:99">
      <c r="A1096" t="s">
        <v>42</v>
      </c>
      <c r="B1096" t="s">
        <v>92</v>
      </c>
      <c r="J1096" t="s">
        <v>225</v>
      </c>
      <c r="K1096" t="s">
        <v>225</v>
      </c>
      <c r="M1096" s="73">
        <v>45357.25</v>
      </c>
      <c r="N1096">
        <v>42091804</v>
      </c>
      <c r="O1096">
        <v>-3252</v>
      </c>
      <c r="P1096" t="s">
        <v>45</v>
      </c>
      <c r="Q1096">
        <v>-3252</v>
      </c>
      <c r="R1096" t="s">
        <v>45</v>
      </c>
      <c r="U1096" t="s">
        <v>226</v>
      </c>
      <c r="V1096" t="s">
        <v>539</v>
      </c>
      <c r="W1096" t="s">
        <v>228</v>
      </c>
      <c r="X1096" t="s">
        <v>229</v>
      </c>
      <c r="Y1096" t="s">
        <v>42</v>
      </c>
      <c r="AD1096" t="s">
        <v>45</v>
      </c>
      <c r="AE1096">
        <v>-3252</v>
      </c>
      <c r="AF1096">
        <v>42091804</v>
      </c>
      <c r="AG1096" s="73">
        <v>45357.25</v>
      </c>
      <c r="AH1096" t="s">
        <v>226</v>
      </c>
      <c r="AI1096" t="s">
        <v>539</v>
      </c>
      <c r="AJ1096" t="s">
        <v>228</v>
      </c>
      <c r="AK1096" t="s">
        <v>229</v>
      </c>
      <c r="AL1096" t="s">
        <v>42</v>
      </c>
      <c r="AP1096" t="s">
        <v>230</v>
      </c>
      <c r="AQ1096" t="s">
        <v>231</v>
      </c>
      <c r="AT1096" t="s">
        <v>232</v>
      </c>
      <c r="AU1096">
        <v>-99</v>
      </c>
      <c r="AV1096" t="s">
        <v>45</v>
      </c>
      <c r="AW1096">
        <v>-3252</v>
      </c>
      <c r="AX1096">
        <v>42091804</v>
      </c>
      <c r="AY1096" s="73">
        <v>45357.25</v>
      </c>
      <c r="AZ1096" t="s">
        <v>226</v>
      </c>
      <c r="BA1096" t="s">
        <v>539</v>
      </c>
      <c r="BB1096" t="s">
        <v>228</v>
      </c>
      <c r="BC1096" t="s">
        <v>229</v>
      </c>
      <c r="BD1096" t="s">
        <v>42</v>
      </c>
      <c r="BI1096" t="s">
        <v>233</v>
      </c>
      <c r="BJ1096" t="s">
        <v>0</v>
      </c>
      <c r="BK1096">
        <v>42091788</v>
      </c>
      <c r="BN1096" t="s">
        <v>45</v>
      </c>
      <c r="BR1096">
        <v>-3252</v>
      </c>
      <c r="BS1096">
        <v>42091804</v>
      </c>
      <c r="BT1096" s="73">
        <v>45357.25</v>
      </c>
      <c r="BU1096" t="s">
        <v>226</v>
      </c>
      <c r="BV1096" t="s">
        <v>539</v>
      </c>
      <c r="BW1096" t="s">
        <v>228</v>
      </c>
      <c r="CH1096" t="s">
        <v>229</v>
      </c>
      <c r="CI1096" t="s">
        <v>42</v>
      </c>
      <c r="CJ1096" t="s">
        <v>226</v>
      </c>
      <c r="CK1096" t="s">
        <v>539</v>
      </c>
      <c r="CL1096" t="s">
        <v>228</v>
      </c>
      <c r="CM1096" t="s">
        <v>234</v>
      </c>
      <c r="CN1096" t="s">
        <v>45</v>
      </c>
      <c r="CO1096">
        <v>-3252</v>
      </c>
      <c r="CP1096">
        <v>42091804</v>
      </c>
      <c r="CQ1096" s="73">
        <v>45357.25</v>
      </c>
      <c r="CR1096" t="s">
        <v>229</v>
      </c>
      <c r="CS1096" t="s">
        <v>42</v>
      </c>
      <c r="CU1096" t="s">
        <v>225</v>
      </c>
    </row>
    <row r="1097" spans="1:99">
      <c r="A1097" t="s">
        <v>99</v>
      </c>
      <c r="B1097" t="s">
        <v>98</v>
      </c>
      <c r="J1097" t="s">
        <v>225</v>
      </c>
      <c r="K1097" t="s">
        <v>225</v>
      </c>
      <c r="M1097" s="73">
        <v>45357.25</v>
      </c>
      <c r="N1097">
        <v>42091803</v>
      </c>
      <c r="O1097">
        <v>-162.5</v>
      </c>
      <c r="P1097" t="s">
        <v>73</v>
      </c>
      <c r="Q1097">
        <v>-162.5</v>
      </c>
      <c r="R1097" t="s">
        <v>73</v>
      </c>
      <c r="U1097" t="s">
        <v>226</v>
      </c>
      <c r="V1097" t="s">
        <v>539</v>
      </c>
      <c r="W1097" t="s">
        <v>228</v>
      </c>
      <c r="X1097" t="s">
        <v>229</v>
      </c>
      <c r="Y1097" t="s">
        <v>99</v>
      </c>
      <c r="AD1097" t="s">
        <v>73</v>
      </c>
      <c r="AE1097">
        <v>-162.5</v>
      </c>
      <c r="AF1097">
        <v>42091803</v>
      </c>
      <c r="AG1097" s="73">
        <v>45357.25</v>
      </c>
      <c r="AH1097" t="s">
        <v>226</v>
      </c>
      <c r="AI1097" t="s">
        <v>539</v>
      </c>
      <c r="AJ1097" t="s">
        <v>228</v>
      </c>
      <c r="AK1097" t="s">
        <v>229</v>
      </c>
      <c r="AL1097" t="s">
        <v>99</v>
      </c>
      <c r="AP1097" t="s">
        <v>230</v>
      </c>
      <c r="AQ1097" t="s">
        <v>231</v>
      </c>
      <c r="AT1097" t="s">
        <v>232</v>
      </c>
      <c r="AU1097">
        <v>-99</v>
      </c>
      <c r="AV1097" t="s">
        <v>73</v>
      </c>
      <c r="AW1097">
        <v>-162.5</v>
      </c>
      <c r="AX1097">
        <v>42091803</v>
      </c>
      <c r="AY1097" s="73">
        <v>45357.25</v>
      </c>
      <c r="AZ1097" t="s">
        <v>226</v>
      </c>
      <c r="BA1097" t="s">
        <v>539</v>
      </c>
      <c r="BB1097" t="s">
        <v>228</v>
      </c>
      <c r="BC1097" t="s">
        <v>229</v>
      </c>
      <c r="BD1097" t="s">
        <v>99</v>
      </c>
      <c r="BI1097" t="s">
        <v>233</v>
      </c>
      <c r="BJ1097" t="s">
        <v>0</v>
      </c>
      <c r="BK1097">
        <v>42091788</v>
      </c>
      <c r="BN1097" t="s">
        <v>73</v>
      </c>
      <c r="BR1097">
        <v>-162.5</v>
      </c>
      <c r="BS1097">
        <v>42091803</v>
      </c>
      <c r="BT1097" s="73">
        <v>45357.25</v>
      </c>
      <c r="BU1097" t="s">
        <v>226</v>
      </c>
      <c r="BV1097" t="s">
        <v>539</v>
      </c>
      <c r="BW1097" t="s">
        <v>228</v>
      </c>
      <c r="CH1097" t="s">
        <v>229</v>
      </c>
      <c r="CI1097" t="s">
        <v>99</v>
      </c>
      <c r="CJ1097" t="s">
        <v>226</v>
      </c>
      <c r="CK1097" t="s">
        <v>539</v>
      </c>
      <c r="CL1097" t="s">
        <v>228</v>
      </c>
      <c r="CM1097" t="s">
        <v>234</v>
      </c>
      <c r="CN1097" t="s">
        <v>73</v>
      </c>
      <c r="CO1097">
        <v>-162.5</v>
      </c>
      <c r="CP1097">
        <v>42091803</v>
      </c>
      <c r="CQ1097" s="73">
        <v>45357.25</v>
      </c>
      <c r="CR1097" t="s">
        <v>229</v>
      </c>
      <c r="CS1097" t="s">
        <v>99</v>
      </c>
      <c r="CU1097" t="s">
        <v>225</v>
      </c>
    </row>
    <row r="1098" spans="1:99">
      <c r="A1098" t="s">
        <v>103</v>
      </c>
      <c r="B1098" t="s">
        <v>98</v>
      </c>
      <c r="J1098" t="s">
        <v>225</v>
      </c>
      <c r="K1098" t="s">
        <v>225</v>
      </c>
      <c r="M1098" s="73">
        <v>45357.25</v>
      </c>
      <c r="N1098">
        <v>42091802</v>
      </c>
      <c r="O1098">
        <v>3250</v>
      </c>
      <c r="P1098" t="s">
        <v>104</v>
      </c>
      <c r="Q1098">
        <v>3250</v>
      </c>
      <c r="R1098" t="s">
        <v>104</v>
      </c>
      <c r="S1098">
        <v>162.5</v>
      </c>
      <c r="T1098" t="s">
        <v>73</v>
      </c>
      <c r="U1098" t="s">
        <v>226</v>
      </c>
      <c r="V1098" t="s">
        <v>539</v>
      </c>
      <c r="W1098" t="s">
        <v>235</v>
      </c>
      <c r="X1098" t="s">
        <v>229</v>
      </c>
      <c r="Y1098" t="s">
        <v>103</v>
      </c>
      <c r="AD1098" t="s">
        <v>104</v>
      </c>
      <c r="AE1098">
        <v>3250</v>
      </c>
      <c r="AF1098">
        <v>42091802</v>
      </c>
      <c r="AG1098" s="73">
        <v>45357.25</v>
      </c>
      <c r="AH1098" t="s">
        <v>226</v>
      </c>
      <c r="AI1098" t="s">
        <v>539</v>
      </c>
      <c r="AJ1098" t="s">
        <v>235</v>
      </c>
      <c r="AK1098" t="s">
        <v>229</v>
      </c>
      <c r="AL1098" t="s">
        <v>103</v>
      </c>
      <c r="AP1098" t="s">
        <v>230</v>
      </c>
      <c r="AQ1098" t="s">
        <v>231</v>
      </c>
      <c r="AT1098" t="s">
        <v>232</v>
      </c>
      <c r="AU1098">
        <v>-99</v>
      </c>
      <c r="AV1098" t="s">
        <v>104</v>
      </c>
      <c r="AW1098">
        <v>3250</v>
      </c>
      <c r="AX1098">
        <v>42091802</v>
      </c>
      <c r="AY1098" s="73">
        <v>45357.25</v>
      </c>
      <c r="AZ1098" t="s">
        <v>226</v>
      </c>
      <c r="BA1098" t="s">
        <v>539</v>
      </c>
      <c r="BB1098" t="s">
        <v>235</v>
      </c>
      <c r="BC1098" t="s">
        <v>229</v>
      </c>
      <c r="BD1098" t="s">
        <v>103</v>
      </c>
      <c r="BI1098" t="s">
        <v>233</v>
      </c>
      <c r="BJ1098" t="s">
        <v>0</v>
      </c>
      <c r="BK1098">
        <v>42091788</v>
      </c>
      <c r="BN1098" t="s">
        <v>104</v>
      </c>
      <c r="BO1098">
        <v>42091794</v>
      </c>
      <c r="BR1098">
        <v>3250</v>
      </c>
      <c r="BS1098">
        <v>42091802</v>
      </c>
      <c r="BT1098" s="73">
        <v>45357.25</v>
      </c>
      <c r="BU1098" t="s">
        <v>226</v>
      </c>
      <c r="BV1098" t="s">
        <v>539</v>
      </c>
      <c r="BW1098" t="s">
        <v>235</v>
      </c>
      <c r="CH1098" t="s">
        <v>229</v>
      </c>
      <c r="CI1098" t="s">
        <v>103</v>
      </c>
      <c r="CJ1098" t="s">
        <v>226</v>
      </c>
      <c r="CK1098" t="s">
        <v>539</v>
      </c>
      <c r="CL1098" t="s">
        <v>235</v>
      </c>
      <c r="CM1098" t="s">
        <v>236</v>
      </c>
      <c r="CN1098" t="s">
        <v>104</v>
      </c>
      <c r="CO1098">
        <v>3250</v>
      </c>
      <c r="CP1098">
        <v>42091802</v>
      </c>
      <c r="CQ1098" s="73">
        <v>45357.25</v>
      </c>
      <c r="CR1098" t="s">
        <v>229</v>
      </c>
      <c r="CS1098" t="s">
        <v>103</v>
      </c>
      <c r="CU1098" t="s">
        <v>225</v>
      </c>
    </row>
    <row r="1099" spans="1:99">
      <c r="A1099" t="s">
        <v>111</v>
      </c>
      <c r="B1099" t="s">
        <v>77</v>
      </c>
      <c r="J1099" t="s">
        <v>225</v>
      </c>
      <c r="K1099" t="s">
        <v>225</v>
      </c>
      <c r="M1099" s="73">
        <v>45357.25</v>
      </c>
      <c r="N1099">
        <v>42091801</v>
      </c>
      <c r="O1099">
        <v>2</v>
      </c>
      <c r="P1099" t="s">
        <v>45</v>
      </c>
      <c r="Q1099">
        <v>2</v>
      </c>
      <c r="R1099" t="s">
        <v>45</v>
      </c>
      <c r="U1099" t="s">
        <v>226</v>
      </c>
      <c r="V1099" t="s">
        <v>539</v>
      </c>
      <c r="W1099" t="s">
        <v>237</v>
      </c>
      <c r="X1099" t="s">
        <v>229</v>
      </c>
      <c r="Y1099" t="s">
        <v>111</v>
      </c>
      <c r="AD1099" t="s">
        <v>45</v>
      </c>
      <c r="AE1099">
        <v>2</v>
      </c>
      <c r="AF1099">
        <v>42091801</v>
      </c>
      <c r="AG1099" s="73">
        <v>45357.25</v>
      </c>
      <c r="AH1099" t="s">
        <v>226</v>
      </c>
      <c r="AI1099" t="s">
        <v>539</v>
      </c>
      <c r="AJ1099" t="s">
        <v>237</v>
      </c>
      <c r="AK1099" t="s">
        <v>229</v>
      </c>
      <c r="AL1099" t="s">
        <v>111</v>
      </c>
      <c r="AP1099" t="s">
        <v>230</v>
      </c>
      <c r="AQ1099" t="s">
        <v>231</v>
      </c>
      <c r="AT1099" t="s">
        <v>232</v>
      </c>
      <c r="AU1099">
        <v>-99</v>
      </c>
      <c r="AV1099" t="s">
        <v>45</v>
      </c>
      <c r="AW1099">
        <v>2</v>
      </c>
      <c r="AX1099">
        <v>42091801</v>
      </c>
      <c r="AY1099" s="73">
        <v>45357.25</v>
      </c>
      <c r="AZ1099" t="s">
        <v>226</v>
      </c>
      <c r="BA1099" t="s">
        <v>539</v>
      </c>
      <c r="BB1099" t="s">
        <v>237</v>
      </c>
      <c r="BC1099" t="s">
        <v>229</v>
      </c>
      <c r="BD1099" t="s">
        <v>111</v>
      </c>
      <c r="BI1099" t="s">
        <v>233</v>
      </c>
      <c r="BJ1099" t="s">
        <v>0</v>
      </c>
      <c r="BK1099">
        <v>42091788</v>
      </c>
      <c r="BN1099" t="s">
        <v>45</v>
      </c>
      <c r="BO1099">
        <v>42091796</v>
      </c>
      <c r="BR1099">
        <v>2</v>
      </c>
      <c r="BS1099">
        <v>42091801</v>
      </c>
      <c r="BT1099" s="73">
        <v>45357.25</v>
      </c>
      <c r="BU1099" t="s">
        <v>226</v>
      </c>
      <c r="BV1099" t="s">
        <v>539</v>
      </c>
      <c r="BW1099" t="s">
        <v>237</v>
      </c>
      <c r="CH1099" t="s">
        <v>229</v>
      </c>
      <c r="CI1099" t="s">
        <v>111</v>
      </c>
      <c r="CJ1099" t="s">
        <v>226</v>
      </c>
      <c r="CK1099" t="s">
        <v>539</v>
      </c>
      <c r="CL1099" t="s">
        <v>237</v>
      </c>
      <c r="CM1099" t="s">
        <v>236</v>
      </c>
      <c r="CN1099" t="s">
        <v>45</v>
      </c>
      <c r="CO1099">
        <v>2</v>
      </c>
      <c r="CP1099">
        <v>42091801</v>
      </c>
      <c r="CQ1099" s="73">
        <v>45357.25</v>
      </c>
      <c r="CR1099" t="s">
        <v>229</v>
      </c>
      <c r="CS1099" t="s">
        <v>111</v>
      </c>
      <c r="CU1099" t="s">
        <v>225</v>
      </c>
    </row>
    <row r="1100" spans="1:99">
      <c r="A1100" t="s">
        <v>42</v>
      </c>
      <c r="B1100" t="s">
        <v>92</v>
      </c>
      <c r="J1100" t="s">
        <v>225</v>
      </c>
      <c r="K1100" t="s">
        <v>225</v>
      </c>
      <c r="M1100" s="73">
        <v>45357.248229166667</v>
      </c>
      <c r="N1100">
        <v>42086010</v>
      </c>
      <c r="O1100">
        <v>-11111</v>
      </c>
      <c r="P1100" t="s">
        <v>45</v>
      </c>
      <c r="Q1100">
        <v>-11111</v>
      </c>
      <c r="R1100" t="s">
        <v>45</v>
      </c>
      <c r="U1100" t="s">
        <v>226</v>
      </c>
      <c r="V1100" t="s">
        <v>540</v>
      </c>
      <c r="W1100" t="s">
        <v>228</v>
      </c>
      <c r="X1100" t="s">
        <v>229</v>
      </c>
      <c r="Y1100" t="s">
        <v>42</v>
      </c>
      <c r="AD1100" t="s">
        <v>45</v>
      </c>
      <c r="AE1100">
        <v>-11111</v>
      </c>
      <c r="AF1100">
        <v>42086010</v>
      </c>
      <c r="AG1100" s="73">
        <v>45357.248229166667</v>
      </c>
      <c r="AH1100" t="s">
        <v>226</v>
      </c>
      <c r="AI1100" t="s">
        <v>540</v>
      </c>
      <c r="AJ1100" t="s">
        <v>228</v>
      </c>
      <c r="AK1100" t="s">
        <v>229</v>
      </c>
      <c r="AL1100" t="s">
        <v>42</v>
      </c>
      <c r="AP1100" t="s">
        <v>230</v>
      </c>
      <c r="AQ1100" t="s">
        <v>231</v>
      </c>
      <c r="AT1100" t="s">
        <v>232</v>
      </c>
      <c r="AU1100">
        <v>-99</v>
      </c>
      <c r="AV1100" t="s">
        <v>45</v>
      </c>
      <c r="AW1100">
        <v>-11111</v>
      </c>
      <c r="AX1100">
        <v>42086010</v>
      </c>
      <c r="AY1100" s="73">
        <v>45357.248229166667</v>
      </c>
      <c r="AZ1100" t="s">
        <v>226</v>
      </c>
      <c r="BA1100" t="s">
        <v>540</v>
      </c>
      <c r="BB1100" t="s">
        <v>228</v>
      </c>
      <c r="BC1100" t="s">
        <v>229</v>
      </c>
      <c r="BD1100" t="s">
        <v>42</v>
      </c>
      <c r="BI1100" t="s">
        <v>233</v>
      </c>
      <c r="BJ1100" t="s">
        <v>0</v>
      </c>
      <c r="BK1100">
        <v>42085994</v>
      </c>
      <c r="BN1100" t="s">
        <v>45</v>
      </c>
      <c r="BR1100">
        <v>-11111</v>
      </c>
      <c r="BS1100">
        <v>42086010</v>
      </c>
      <c r="BT1100" s="73">
        <v>45357.248229166667</v>
      </c>
      <c r="BU1100" t="s">
        <v>226</v>
      </c>
      <c r="BV1100" t="s">
        <v>540</v>
      </c>
      <c r="BW1100" t="s">
        <v>228</v>
      </c>
      <c r="CH1100" t="s">
        <v>229</v>
      </c>
      <c r="CI1100" t="s">
        <v>42</v>
      </c>
      <c r="CJ1100" t="s">
        <v>226</v>
      </c>
      <c r="CK1100" t="s">
        <v>540</v>
      </c>
      <c r="CL1100" t="s">
        <v>228</v>
      </c>
      <c r="CM1100" t="s">
        <v>234</v>
      </c>
      <c r="CN1100" t="s">
        <v>45</v>
      </c>
      <c r="CO1100">
        <v>-11111</v>
      </c>
      <c r="CP1100">
        <v>42086010</v>
      </c>
      <c r="CQ1100" s="73">
        <v>45357.248229166667</v>
      </c>
      <c r="CR1100" t="s">
        <v>229</v>
      </c>
      <c r="CS1100" t="s">
        <v>42</v>
      </c>
      <c r="CU1100" t="s">
        <v>225</v>
      </c>
    </row>
    <row r="1101" spans="1:99">
      <c r="A1101" t="s">
        <v>99</v>
      </c>
      <c r="B1101" t="s">
        <v>98</v>
      </c>
      <c r="J1101" t="s">
        <v>225</v>
      </c>
      <c r="K1101" t="s">
        <v>225</v>
      </c>
      <c r="M1101" s="73">
        <v>45357.248229166667</v>
      </c>
      <c r="N1101">
        <v>42086009</v>
      </c>
      <c r="O1101">
        <v>-555</v>
      </c>
      <c r="P1101" t="s">
        <v>73</v>
      </c>
      <c r="Q1101">
        <v>-555</v>
      </c>
      <c r="R1101" t="s">
        <v>73</v>
      </c>
      <c r="U1101" t="s">
        <v>226</v>
      </c>
      <c r="V1101" t="s">
        <v>540</v>
      </c>
      <c r="W1101" t="s">
        <v>228</v>
      </c>
      <c r="X1101" t="s">
        <v>229</v>
      </c>
      <c r="Y1101" t="s">
        <v>99</v>
      </c>
      <c r="AD1101" t="s">
        <v>73</v>
      </c>
      <c r="AE1101">
        <v>-555</v>
      </c>
      <c r="AF1101">
        <v>42086009</v>
      </c>
      <c r="AG1101" s="73">
        <v>45357.248229166667</v>
      </c>
      <c r="AH1101" t="s">
        <v>226</v>
      </c>
      <c r="AI1101" t="s">
        <v>540</v>
      </c>
      <c r="AJ1101" t="s">
        <v>228</v>
      </c>
      <c r="AK1101" t="s">
        <v>229</v>
      </c>
      <c r="AL1101" t="s">
        <v>99</v>
      </c>
      <c r="AP1101" t="s">
        <v>230</v>
      </c>
      <c r="AQ1101" t="s">
        <v>231</v>
      </c>
      <c r="AT1101" t="s">
        <v>232</v>
      </c>
      <c r="AU1101">
        <v>-99</v>
      </c>
      <c r="AV1101" t="s">
        <v>73</v>
      </c>
      <c r="AW1101">
        <v>-555</v>
      </c>
      <c r="AX1101">
        <v>42086009</v>
      </c>
      <c r="AY1101" s="73">
        <v>45357.248229166667</v>
      </c>
      <c r="AZ1101" t="s">
        <v>226</v>
      </c>
      <c r="BA1101" t="s">
        <v>540</v>
      </c>
      <c r="BB1101" t="s">
        <v>228</v>
      </c>
      <c r="BC1101" t="s">
        <v>229</v>
      </c>
      <c r="BD1101" t="s">
        <v>99</v>
      </c>
      <c r="BI1101" t="s">
        <v>233</v>
      </c>
      <c r="BJ1101" t="s">
        <v>0</v>
      </c>
      <c r="BK1101">
        <v>42085994</v>
      </c>
      <c r="BN1101" t="s">
        <v>73</v>
      </c>
      <c r="BR1101">
        <v>-555</v>
      </c>
      <c r="BS1101">
        <v>42086009</v>
      </c>
      <c r="BT1101" s="73">
        <v>45357.248229166667</v>
      </c>
      <c r="BU1101" t="s">
        <v>226</v>
      </c>
      <c r="BV1101" t="s">
        <v>540</v>
      </c>
      <c r="BW1101" t="s">
        <v>228</v>
      </c>
      <c r="CH1101" t="s">
        <v>229</v>
      </c>
      <c r="CI1101" t="s">
        <v>99</v>
      </c>
      <c r="CJ1101" t="s">
        <v>226</v>
      </c>
      <c r="CK1101" t="s">
        <v>540</v>
      </c>
      <c r="CL1101" t="s">
        <v>228</v>
      </c>
      <c r="CM1101" t="s">
        <v>234</v>
      </c>
      <c r="CN1101" t="s">
        <v>73</v>
      </c>
      <c r="CO1101">
        <v>-555</v>
      </c>
      <c r="CP1101">
        <v>42086009</v>
      </c>
      <c r="CQ1101" s="73">
        <v>45357.248229166667</v>
      </c>
      <c r="CR1101" t="s">
        <v>229</v>
      </c>
      <c r="CS1101" t="s">
        <v>99</v>
      </c>
      <c r="CU1101" t="s">
        <v>225</v>
      </c>
    </row>
    <row r="1102" spans="1:99">
      <c r="A1102" t="s">
        <v>103</v>
      </c>
      <c r="B1102" t="s">
        <v>98</v>
      </c>
      <c r="J1102" t="s">
        <v>225</v>
      </c>
      <c r="K1102" t="s">
        <v>225</v>
      </c>
      <c r="M1102" s="73">
        <v>45357.248229166667</v>
      </c>
      <c r="N1102">
        <v>42086008</v>
      </c>
      <c r="O1102">
        <v>11100</v>
      </c>
      <c r="P1102" t="s">
        <v>104</v>
      </c>
      <c r="Q1102">
        <v>11100</v>
      </c>
      <c r="R1102" t="s">
        <v>104</v>
      </c>
      <c r="S1102">
        <v>555</v>
      </c>
      <c r="T1102" t="s">
        <v>73</v>
      </c>
      <c r="U1102" t="s">
        <v>226</v>
      </c>
      <c r="V1102" t="s">
        <v>540</v>
      </c>
      <c r="W1102" t="s">
        <v>235</v>
      </c>
      <c r="X1102" t="s">
        <v>229</v>
      </c>
      <c r="Y1102" t="s">
        <v>103</v>
      </c>
      <c r="AD1102" t="s">
        <v>104</v>
      </c>
      <c r="AE1102">
        <v>11100</v>
      </c>
      <c r="AF1102">
        <v>42086008</v>
      </c>
      <c r="AG1102" s="73">
        <v>45357.248229166667</v>
      </c>
      <c r="AH1102" t="s">
        <v>226</v>
      </c>
      <c r="AI1102" t="s">
        <v>540</v>
      </c>
      <c r="AJ1102" t="s">
        <v>235</v>
      </c>
      <c r="AK1102" t="s">
        <v>229</v>
      </c>
      <c r="AL1102" t="s">
        <v>103</v>
      </c>
      <c r="AP1102" t="s">
        <v>230</v>
      </c>
      <c r="AQ1102" t="s">
        <v>231</v>
      </c>
      <c r="AT1102" t="s">
        <v>232</v>
      </c>
      <c r="AU1102">
        <v>-99</v>
      </c>
      <c r="AV1102" t="s">
        <v>104</v>
      </c>
      <c r="AW1102">
        <v>11100</v>
      </c>
      <c r="AX1102">
        <v>42086008</v>
      </c>
      <c r="AY1102" s="73">
        <v>45357.248229166667</v>
      </c>
      <c r="AZ1102" t="s">
        <v>226</v>
      </c>
      <c r="BA1102" t="s">
        <v>540</v>
      </c>
      <c r="BB1102" t="s">
        <v>235</v>
      </c>
      <c r="BC1102" t="s">
        <v>229</v>
      </c>
      <c r="BD1102" t="s">
        <v>103</v>
      </c>
      <c r="BI1102" t="s">
        <v>233</v>
      </c>
      <c r="BJ1102" t="s">
        <v>0</v>
      </c>
      <c r="BK1102">
        <v>42085994</v>
      </c>
      <c r="BN1102" t="s">
        <v>104</v>
      </c>
      <c r="BO1102">
        <v>42086000</v>
      </c>
      <c r="BR1102">
        <v>11100</v>
      </c>
      <c r="BS1102">
        <v>42086008</v>
      </c>
      <c r="BT1102" s="73">
        <v>45357.248229166667</v>
      </c>
      <c r="BU1102" t="s">
        <v>226</v>
      </c>
      <c r="BV1102" t="s">
        <v>540</v>
      </c>
      <c r="BW1102" t="s">
        <v>235</v>
      </c>
      <c r="CH1102" t="s">
        <v>229</v>
      </c>
      <c r="CI1102" t="s">
        <v>103</v>
      </c>
      <c r="CJ1102" t="s">
        <v>226</v>
      </c>
      <c r="CK1102" t="s">
        <v>540</v>
      </c>
      <c r="CL1102" t="s">
        <v>235</v>
      </c>
      <c r="CM1102" t="s">
        <v>236</v>
      </c>
      <c r="CN1102" t="s">
        <v>104</v>
      </c>
      <c r="CO1102">
        <v>11100</v>
      </c>
      <c r="CP1102">
        <v>42086008</v>
      </c>
      <c r="CQ1102" s="73">
        <v>45357.248229166667</v>
      </c>
      <c r="CR1102" t="s">
        <v>229</v>
      </c>
      <c r="CS1102" t="s">
        <v>103</v>
      </c>
      <c r="CU1102" t="s">
        <v>225</v>
      </c>
    </row>
    <row r="1103" spans="1:99">
      <c r="A1103" t="s">
        <v>111</v>
      </c>
      <c r="B1103" t="s">
        <v>77</v>
      </c>
      <c r="J1103" t="s">
        <v>225</v>
      </c>
      <c r="K1103" t="s">
        <v>225</v>
      </c>
      <c r="M1103" s="73">
        <v>45357.248229166667</v>
      </c>
      <c r="N1103">
        <v>42086007</v>
      </c>
      <c r="O1103">
        <v>11</v>
      </c>
      <c r="P1103" t="s">
        <v>45</v>
      </c>
      <c r="Q1103">
        <v>11</v>
      </c>
      <c r="R1103" t="s">
        <v>45</v>
      </c>
      <c r="U1103" t="s">
        <v>226</v>
      </c>
      <c r="V1103" t="s">
        <v>540</v>
      </c>
      <c r="W1103" t="s">
        <v>237</v>
      </c>
      <c r="X1103" t="s">
        <v>229</v>
      </c>
      <c r="Y1103" t="s">
        <v>111</v>
      </c>
      <c r="AD1103" t="s">
        <v>45</v>
      </c>
      <c r="AE1103">
        <v>11</v>
      </c>
      <c r="AF1103">
        <v>42086007</v>
      </c>
      <c r="AG1103" s="73">
        <v>45357.248229166667</v>
      </c>
      <c r="AH1103" t="s">
        <v>226</v>
      </c>
      <c r="AI1103" t="s">
        <v>540</v>
      </c>
      <c r="AJ1103" t="s">
        <v>237</v>
      </c>
      <c r="AK1103" t="s">
        <v>229</v>
      </c>
      <c r="AL1103" t="s">
        <v>111</v>
      </c>
      <c r="AP1103" t="s">
        <v>230</v>
      </c>
      <c r="AQ1103" t="s">
        <v>231</v>
      </c>
      <c r="AT1103" t="s">
        <v>232</v>
      </c>
      <c r="AU1103">
        <v>-99</v>
      </c>
      <c r="AV1103" t="s">
        <v>45</v>
      </c>
      <c r="AW1103">
        <v>11</v>
      </c>
      <c r="AX1103">
        <v>42086007</v>
      </c>
      <c r="AY1103" s="73">
        <v>45357.248229166667</v>
      </c>
      <c r="AZ1103" t="s">
        <v>226</v>
      </c>
      <c r="BA1103" t="s">
        <v>540</v>
      </c>
      <c r="BB1103" t="s">
        <v>237</v>
      </c>
      <c r="BC1103" t="s">
        <v>229</v>
      </c>
      <c r="BD1103" t="s">
        <v>111</v>
      </c>
      <c r="BI1103" t="s">
        <v>233</v>
      </c>
      <c r="BJ1103" t="s">
        <v>0</v>
      </c>
      <c r="BK1103">
        <v>42085994</v>
      </c>
      <c r="BN1103" t="s">
        <v>45</v>
      </c>
      <c r="BO1103">
        <v>42086002</v>
      </c>
      <c r="BR1103">
        <v>11</v>
      </c>
      <c r="BS1103">
        <v>42086007</v>
      </c>
      <c r="BT1103" s="73">
        <v>45357.248229166667</v>
      </c>
      <c r="BU1103" t="s">
        <v>226</v>
      </c>
      <c r="BV1103" t="s">
        <v>540</v>
      </c>
      <c r="BW1103" t="s">
        <v>237</v>
      </c>
      <c r="CH1103" t="s">
        <v>229</v>
      </c>
      <c r="CI1103" t="s">
        <v>111</v>
      </c>
      <c r="CJ1103" t="s">
        <v>226</v>
      </c>
      <c r="CK1103" t="s">
        <v>540</v>
      </c>
      <c r="CL1103" t="s">
        <v>237</v>
      </c>
      <c r="CM1103" t="s">
        <v>236</v>
      </c>
      <c r="CN1103" t="s">
        <v>45</v>
      </c>
      <c r="CO1103">
        <v>11</v>
      </c>
      <c r="CP1103">
        <v>42086007</v>
      </c>
      <c r="CQ1103" s="73">
        <v>45357.248229166667</v>
      </c>
      <c r="CR1103" t="s">
        <v>229</v>
      </c>
      <c r="CS1103" t="s">
        <v>111</v>
      </c>
      <c r="CU1103" t="s">
        <v>225</v>
      </c>
    </row>
    <row r="1104" spans="1:99">
      <c r="A1104" t="s">
        <v>42</v>
      </c>
      <c r="B1104" t="s">
        <v>92</v>
      </c>
      <c r="J1104" t="s">
        <v>225</v>
      </c>
      <c r="K1104" t="s">
        <v>225</v>
      </c>
      <c r="M1104" s="73">
        <v>45357.24695601852</v>
      </c>
      <c r="N1104">
        <v>42085992</v>
      </c>
      <c r="O1104">
        <v>-4870</v>
      </c>
      <c r="P1104" t="s">
        <v>45</v>
      </c>
      <c r="Q1104">
        <v>-4870</v>
      </c>
      <c r="R1104" t="s">
        <v>45</v>
      </c>
      <c r="U1104" t="s">
        <v>226</v>
      </c>
      <c r="V1104" t="s">
        <v>541</v>
      </c>
      <c r="W1104" t="s">
        <v>228</v>
      </c>
      <c r="X1104" t="s">
        <v>229</v>
      </c>
      <c r="Y1104" t="s">
        <v>42</v>
      </c>
      <c r="AD1104" t="s">
        <v>45</v>
      </c>
      <c r="AE1104">
        <v>-4870</v>
      </c>
      <c r="AF1104">
        <v>42085992</v>
      </c>
      <c r="AG1104" s="73">
        <v>45357.24695601852</v>
      </c>
      <c r="AH1104" t="s">
        <v>226</v>
      </c>
      <c r="AI1104" t="s">
        <v>541</v>
      </c>
      <c r="AJ1104" t="s">
        <v>228</v>
      </c>
      <c r="AK1104" t="s">
        <v>229</v>
      </c>
      <c r="AL1104" t="s">
        <v>42</v>
      </c>
      <c r="AP1104" t="s">
        <v>230</v>
      </c>
      <c r="AQ1104" t="s">
        <v>231</v>
      </c>
      <c r="AT1104" t="s">
        <v>232</v>
      </c>
      <c r="AU1104">
        <v>-99</v>
      </c>
      <c r="AV1104" t="s">
        <v>45</v>
      </c>
      <c r="AW1104">
        <v>-4870</v>
      </c>
      <c r="AX1104">
        <v>42085992</v>
      </c>
      <c r="AY1104" s="73">
        <v>45357.24695601852</v>
      </c>
      <c r="AZ1104" t="s">
        <v>226</v>
      </c>
      <c r="BA1104" t="s">
        <v>541</v>
      </c>
      <c r="BB1104" t="s">
        <v>228</v>
      </c>
      <c r="BC1104" t="s">
        <v>229</v>
      </c>
      <c r="BD1104" t="s">
        <v>42</v>
      </c>
      <c r="BI1104" t="s">
        <v>233</v>
      </c>
      <c r="BJ1104" t="s">
        <v>0</v>
      </c>
      <c r="BK1104">
        <v>42085980</v>
      </c>
      <c r="BN1104" t="s">
        <v>45</v>
      </c>
      <c r="BR1104">
        <v>-4870</v>
      </c>
      <c r="BS1104">
        <v>42085992</v>
      </c>
      <c r="BT1104" s="73">
        <v>45357.24695601852</v>
      </c>
      <c r="BU1104" t="s">
        <v>226</v>
      </c>
      <c r="BV1104" t="s">
        <v>541</v>
      </c>
      <c r="BW1104" t="s">
        <v>228</v>
      </c>
      <c r="CH1104" t="s">
        <v>229</v>
      </c>
      <c r="CI1104" t="s">
        <v>42</v>
      </c>
      <c r="CJ1104" t="s">
        <v>226</v>
      </c>
      <c r="CK1104" t="s">
        <v>541</v>
      </c>
      <c r="CL1104" t="s">
        <v>228</v>
      </c>
      <c r="CM1104" t="s">
        <v>234</v>
      </c>
      <c r="CN1104" t="s">
        <v>45</v>
      </c>
      <c r="CO1104">
        <v>-4870</v>
      </c>
      <c r="CP1104">
        <v>42085992</v>
      </c>
      <c r="CQ1104" s="73">
        <v>45357.24695601852</v>
      </c>
      <c r="CR1104" t="s">
        <v>229</v>
      </c>
      <c r="CS1104" t="s">
        <v>42</v>
      </c>
      <c r="CU1104" t="s">
        <v>225</v>
      </c>
    </row>
    <row r="1105" spans="1:99">
      <c r="A1105" t="s">
        <v>99</v>
      </c>
      <c r="B1105" t="s">
        <v>98</v>
      </c>
      <c r="J1105" t="s">
        <v>225</v>
      </c>
      <c r="K1105" t="s">
        <v>225</v>
      </c>
      <c r="M1105" s="73">
        <v>45357.24695601852</v>
      </c>
      <c r="N1105">
        <v>42085991</v>
      </c>
      <c r="O1105">
        <v>-243.5</v>
      </c>
      <c r="P1105" t="s">
        <v>73</v>
      </c>
      <c r="Q1105">
        <v>-243.5</v>
      </c>
      <c r="R1105" t="s">
        <v>73</v>
      </c>
      <c r="U1105" t="s">
        <v>226</v>
      </c>
      <c r="V1105" t="s">
        <v>541</v>
      </c>
      <c r="W1105" t="s">
        <v>228</v>
      </c>
      <c r="X1105" t="s">
        <v>229</v>
      </c>
      <c r="Y1105" t="s">
        <v>99</v>
      </c>
      <c r="AD1105" t="s">
        <v>73</v>
      </c>
      <c r="AE1105">
        <v>-243.5</v>
      </c>
      <c r="AF1105">
        <v>42085991</v>
      </c>
      <c r="AG1105" s="73">
        <v>45357.24695601852</v>
      </c>
      <c r="AH1105" t="s">
        <v>226</v>
      </c>
      <c r="AI1105" t="s">
        <v>541</v>
      </c>
      <c r="AJ1105" t="s">
        <v>228</v>
      </c>
      <c r="AK1105" t="s">
        <v>229</v>
      </c>
      <c r="AL1105" t="s">
        <v>99</v>
      </c>
      <c r="AP1105" t="s">
        <v>230</v>
      </c>
      <c r="AQ1105" t="s">
        <v>231</v>
      </c>
      <c r="AT1105" t="s">
        <v>232</v>
      </c>
      <c r="AU1105">
        <v>-99</v>
      </c>
      <c r="AV1105" t="s">
        <v>73</v>
      </c>
      <c r="AW1105">
        <v>-243.5</v>
      </c>
      <c r="AX1105">
        <v>42085991</v>
      </c>
      <c r="AY1105" s="73">
        <v>45357.24695601852</v>
      </c>
      <c r="AZ1105" t="s">
        <v>226</v>
      </c>
      <c r="BA1105" t="s">
        <v>541</v>
      </c>
      <c r="BB1105" t="s">
        <v>228</v>
      </c>
      <c r="BC1105" t="s">
        <v>229</v>
      </c>
      <c r="BD1105" t="s">
        <v>99</v>
      </c>
      <c r="BI1105" t="s">
        <v>233</v>
      </c>
      <c r="BJ1105" t="s">
        <v>0</v>
      </c>
      <c r="BK1105">
        <v>42085980</v>
      </c>
      <c r="BN1105" t="s">
        <v>73</v>
      </c>
      <c r="BR1105">
        <v>-243.5</v>
      </c>
      <c r="BS1105">
        <v>42085991</v>
      </c>
      <c r="BT1105" s="73">
        <v>45357.24695601852</v>
      </c>
      <c r="BU1105" t="s">
        <v>226</v>
      </c>
      <c r="BV1105" t="s">
        <v>541</v>
      </c>
      <c r="BW1105" t="s">
        <v>228</v>
      </c>
      <c r="CH1105" t="s">
        <v>229</v>
      </c>
      <c r="CI1105" t="s">
        <v>99</v>
      </c>
      <c r="CJ1105" t="s">
        <v>226</v>
      </c>
      <c r="CK1105" t="s">
        <v>541</v>
      </c>
      <c r="CL1105" t="s">
        <v>228</v>
      </c>
      <c r="CM1105" t="s">
        <v>234</v>
      </c>
      <c r="CN1105" t="s">
        <v>73</v>
      </c>
      <c r="CO1105">
        <v>-243.5</v>
      </c>
      <c r="CP1105">
        <v>42085991</v>
      </c>
      <c r="CQ1105" s="73">
        <v>45357.24695601852</v>
      </c>
      <c r="CR1105" t="s">
        <v>229</v>
      </c>
      <c r="CS1105" t="s">
        <v>99</v>
      </c>
      <c r="CU1105" t="s">
        <v>225</v>
      </c>
    </row>
    <row r="1106" spans="1:99">
      <c r="A1106" t="s">
        <v>103</v>
      </c>
      <c r="B1106" t="s">
        <v>98</v>
      </c>
      <c r="J1106" t="s">
        <v>225</v>
      </c>
      <c r="K1106" t="s">
        <v>225</v>
      </c>
      <c r="M1106" s="73">
        <v>45357.24695601852</v>
      </c>
      <c r="N1106">
        <v>42085990</v>
      </c>
      <c r="O1106">
        <v>4870</v>
      </c>
      <c r="P1106" t="s">
        <v>104</v>
      </c>
      <c r="Q1106">
        <v>4870</v>
      </c>
      <c r="R1106" t="s">
        <v>104</v>
      </c>
      <c r="S1106">
        <v>243.5</v>
      </c>
      <c r="T1106" t="s">
        <v>73</v>
      </c>
      <c r="U1106" t="s">
        <v>226</v>
      </c>
      <c r="V1106" t="s">
        <v>541</v>
      </c>
      <c r="W1106" t="s">
        <v>235</v>
      </c>
      <c r="X1106" t="s">
        <v>229</v>
      </c>
      <c r="Y1106" t="s">
        <v>103</v>
      </c>
      <c r="AD1106" t="s">
        <v>104</v>
      </c>
      <c r="AE1106">
        <v>4870</v>
      </c>
      <c r="AF1106">
        <v>42085990</v>
      </c>
      <c r="AG1106" s="73">
        <v>45357.24695601852</v>
      </c>
      <c r="AH1106" t="s">
        <v>226</v>
      </c>
      <c r="AI1106" t="s">
        <v>541</v>
      </c>
      <c r="AJ1106" t="s">
        <v>235</v>
      </c>
      <c r="AK1106" t="s">
        <v>229</v>
      </c>
      <c r="AL1106" t="s">
        <v>103</v>
      </c>
      <c r="AP1106" t="s">
        <v>230</v>
      </c>
      <c r="AQ1106" t="s">
        <v>231</v>
      </c>
      <c r="AT1106" t="s">
        <v>232</v>
      </c>
      <c r="AU1106">
        <v>-99</v>
      </c>
      <c r="AV1106" t="s">
        <v>104</v>
      </c>
      <c r="AW1106">
        <v>4870</v>
      </c>
      <c r="AX1106">
        <v>42085990</v>
      </c>
      <c r="AY1106" s="73">
        <v>45357.24695601852</v>
      </c>
      <c r="AZ1106" t="s">
        <v>226</v>
      </c>
      <c r="BA1106" t="s">
        <v>541</v>
      </c>
      <c r="BB1106" t="s">
        <v>235</v>
      </c>
      <c r="BC1106" t="s">
        <v>229</v>
      </c>
      <c r="BD1106" t="s">
        <v>103</v>
      </c>
      <c r="BI1106" t="s">
        <v>233</v>
      </c>
      <c r="BJ1106" t="s">
        <v>0</v>
      </c>
      <c r="BK1106">
        <v>42085980</v>
      </c>
      <c r="BN1106" t="s">
        <v>104</v>
      </c>
      <c r="BO1106">
        <v>42085986</v>
      </c>
      <c r="BR1106">
        <v>4870</v>
      </c>
      <c r="BS1106">
        <v>42085990</v>
      </c>
      <c r="BT1106" s="73">
        <v>45357.24695601852</v>
      </c>
      <c r="BU1106" t="s">
        <v>226</v>
      </c>
      <c r="BV1106" t="s">
        <v>541</v>
      </c>
      <c r="BW1106" t="s">
        <v>235</v>
      </c>
      <c r="CH1106" t="s">
        <v>229</v>
      </c>
      <c r="CI1106" t="s">
        <v>103</v>
      </c>
      <c r="CJ1106" t="s">
        <v>226</v>
      </c>
      <c r="CK1106" t="s">
        <v>541</v>
      </c>
      <c r="CL1106" t="s">
        <v>235</v>
      </c>
      <c r="CM1106" t="s">
        <v>236</v>
      </c>
      <c r="CN1106" t="s">
        <v>104</v>
      </c>
      <c r="CO1106">
        <v>4870</v>
      </c>
      <c r="CP1106">
        <v>42085990</v>
      </c>
      <c r="CQ1106" s="73">
        <v>45357.24695601852</v>
      </c>
      <c r="CR1106" t="s">
        <v>229</v>
      </c>
      <c r="CS1106" t="s">
        <v>103</v>
      </c>
      <c r="CU1106" t="s">
        <v>225</v>
      </c>
    </row>
    <row r="1107" spans="1:99">
      <c r="A1107" t="s">
        <v>46</v>
      </c>
      <c r="B1107" t="s">
        <v>92</v>
      </c>
      <c r="J1107" t="s">
        <v>225</v>
      </c>
      <c r="K1107" t="s">
        <v>225</v>
      </c>
      <c r="M1107" s="73">
        <v>45357.243437500001</v>
      </c>
      <c r="N1107">
        <v>42085978</v>
      </c>
      <c r="O1107">
        <v>-600</v>
      </c>
      <c r="P1107" t="s">
        <v>45</v>
      </c>
      <c r="Q1107">
        <v>-600</v>
      </c>
      <c r="R1107" t="s">
        <v>45</v>
      </c>
      <c r="U1107" t="s">
        <v>226</v>
      </c>
      <c r="V1107" t="s">
        <v>542</v>
      </c>
      <c r="W1107" t="s">
        <v>228</v>
      </c>
      <c r="X1107" t="s">
        <v>229</v>
      </c>
      <c r="Y1107" t="s">
        <v>46</v>
      </c>
      <c r="AD1107" t="s">
        <v>45</v>
      </c>
      <c r="AE1107">
        <v>-600</v>
      </c>
      <c r="AF1107">
        <v>42085978</v>
      </c>
      <c r="AG1107" s="73">
        <v>45357.243437500001</v>
      </c>
      <c r="AH1107" t="s">
        <v>226</v>
      </c>
      <c r="AI1107" t="s">
        <v>542</v>
      </c>
      <c r="AJ1107" t="s">
        <v>228</v>
      </c>
      <c r="AK1107" t="s">
        <v>229</v>
      </c>
      <c r="AL1107" t="s">
        <v>46</v>
      </c>
      <c r="AP1107" t="s">
        <v>230</v>
      </c>
      <c r="AQ1107" t="s">
        <v>231</v>
      </c>
      <c r="AT1107" t="s">
        <v>232</v>
      </c>
      <c r="AU1107">
        <v>-99</v>
      </c>
      <c r="AV1107" t="s">
        <v>45</v>
      </c>
      <c r="AW1107">
        <v>-600</v>
      </c>
      <c r="AX1107">
        <v>42085978</v>
      </c>
      <c r="AY1107" s="73">
        <v>45357.243437500001</v>
      </c>
      <c r="AZ1107" t="s">
        <v>226</v>
      </c>
      <c r="BA1107" t="s">
        <v>542</v>
      </c>
      <c r="BB1107" t="s">
        <v>228</v>
      </c>
      <c r="BC1107" t="s">
        <v>229</v>
      </c>
      <c r="BD1107" t="s">
        <v>46</v>
      </c>
      <c r="BI1107" t="s">
        <v>233</v>
      </c>
      <c r="BJ1107" t="s">
        <v>0</v>
      </c>
      <c r="BK1107">
        <v>42085959</v>
      </c>
      <c r="BN1107" t="s">
        <v>45</v>
      </c>
      <c r="BR1107">
        <v>-600</v>
      </c>
      <c r="BS1107">
        <v>42085978</v>
      </c>
      <c r="BT1107" s="73">
        <v>45357.243437500001</v>
      </c>
      <c r="BU1107" t="s">
        <v>226</v>
      </c>
      <c r="BV1107" t="s">
        <v>542</v>
      </c>
      <c r="BW1107" t="s">
        <v>228</v>
      </c>
      <c r="CH1107" t="s">
        <v>229</v>
      </c>
      <c r="CI1107" t="s">
        <v>46</v>
      </c>
      <c r="CJ1107" t="s">
        <v>226</v>
      </c>
      <c r="CK1107" t="s">
        <v>542</v>
      </c>
      <c r="CL1107" t="s">
        <v>228</v>
      </c>
      <c r="CM1107" t="s">
        <v>234</v>
      </c>
      <c r="CN1107" t="s">
        <v>45</v>
      </c>
      <c r="CO1107">
        <v>-600</v>
      </c>
      <c r="CP1107">
        <v>42085978</v>
      </c>
      <c r="CQ1107" s="73">
        <v>45357.243437500001</v>
      </c>
      <c r="CR1107" t="s">
        <v>229</v>
      </c>
      <c r="CS1107" t="s">
        <v>46</v>
      </c>
      <c r="CU1107" t="s">
        <v>225</v>
      </c>
    </row>
    <row r="1108" spans="1:99">
      <c r="A1108" t="s">
        <v>93</v>
      </c>
      <c r="B1108" t="s">
        <v>98</v>
      </c>
      <c r="J1108" t="s">
        <v>225</v>
      </c>
      <c r="K1108" t="s">
        <v>225</v>
      </c>
      <c r="M1108" s="73">
        <v>45357.243437500001</v>
      </c>
      <c r="N1108">
        <v>42085977</v>
      </c>
      <c r="O1108">
        <v>-30</v>
      </c>
      <c r="P1108" t="s">
        <v>73</v>
      </c>
      <c r="Q1108">
        <v>-30</v>
      </c>
      <c r="R1108" t="s">
        <v>73</v>
      </c>
      <c r="U1108" t="s">
        <v>226</v>
      </c>
      <c r="V1108" t="s">
        <v>542</v>
      </c>
      <c r="W1108" t="s">
        <v>228</v>
      </c>
      <c r="X1108" t="s">
        <v>229</v>
      </c>
      <c r="Y1108" t="s">
        <v>93</v>
      </c>
      <c r="AD1108" t="s">
        <v>73</v>
      </c>
      <c r="AE1108">
        <v>-30</v>
      </c>
      <c r="AF1108">
        <v>42085977</v>
      </c>
      <c r="AG1108" s="73">
        <v>45357.243437500001</v>
      </c>
      <c r="AH1108" t="s">
        <v>226</v>
      </c>
      <c r="AI1108" t="s">
        <v>542</v>
      </c>
      <c r="AJ1108" t="s">
        <v>228</v>
      </c>
      <c r="AK1108" t="s">
        <v>229</v>
      </c>
      <c r="AL1108" t="s">
        <v>93</v>
      </c>
      <c r="AP1108" t="s">
        <v>230</v>
      </c>
      <c r="AQ1108" t="s">
        <v>231</v>
      </c>
      <c r="AT1108" t="s">
        <v>232</v>
      </c>
      <c r="AU1108">
        <v>-99</v>
      </c>
      <c r="AV1108" t="s">
        <v>73</v>
      </c>
      <c r="AW1108">
        <v>-30</v>
      </c>
      <c r="AX1108">
        <v>42085977</v>
      </c>
      <c r="AY1108" s="73">
        <v>45357.243437500001</v>
      </c>
      <c r="AZ1108" t="s">
        <v>226</v>
      </c>
      <c r="BA1108" t="s">
        <v>542</v>
      </c>
      <c r="BB1108" t="s">
        <v>228</v>
      </c>
      <c r="BC1108" t="s">
        <v>229</v>
      </c>
      <c r="BD1108" t="s">
        <v>93</v>
      </c>
      <c r="BI1108" t="s">
        <v>233</v>
      </c>
      <c r="BJ1108" t="s">
        <v>0</v>
      </c>
      <c r="BK1108">
        <v>42085959</v>
      </c>
      <c r="BN1108" t="s">
        <v>73</v>
      </c>
      <c r="BR1108">
        <v>-30</v>
      </c>
      <c r="BS1108">
        <v>42085977</v>
      </c>
      <c r="BT1108" s="73">
        <v>45357.243437500001</v>
      </c>
      <c r="BU1108" t="s">
        <v>226</v>
      </c>
      <c r="BV1108" t="s">
        <v>542</v>
      </c>
      <c r="BW1108" t="s">
        <v>228</v>
      </c>
      <c r="CH1108" t="s">
        <v>229</v>
      </c>
      <c r="CI1108" t="s">
        <v>93</v>
      </c>
      <c r="CJ1108" t="s">
        <v>226</v>
      </c>
      <c r="CK1108" t="s">
        <v>542</v>
      </c>
      <c r="CL1108" t="s">
        <v>228</v>
      </c>
      <c r="CM1108" t="s">
        <v>234</v>
      </c>
      <c r="CN1108" t="s">
        <v>73</v>
      </c>
      <c r="CO1108">
        <v>-30</v>
      </c>
      <c r="CP1108">
        <v>42085977</v>
      </c>
      <c r="CQ1108" s="73">
        <v>45357.243437500001</v>
      </c>
      <c r="CR1108" t="s">
        <v>229</v>
      </c>
      <c r="CS1108" t="s">
        <v>93</v>
      </c>
      <c r="CU1108" t="s">
        <v>225</v>
      </c>
    </row>
    <row r="1109" spans="1:99">
      <c r="A1109" t="s">
        <v>108</v>
      </c>
      <c r="B1109" t="s">
        <v>98</v>
      </c>
      <c r="J1109" t="s">
        <v>225</v>
      </c>
      <c r="K1109" t="s">
        <v>225</v>
      </c>
      <c r="M1109" s="73">
        <v>45357.243437500001</v>
      </c>
      <c r="N1109">
        <v>42085976</v>
      </c>
      <c r="O1109">
        <v>600</v>
      </c>
      <c r="P1109" t="s">
        <v>104</v>
      </c>
      <c r="Q1109">
        <v>600</v>
      </c>
      <c r="R1109" t="s">
        <v>104</v>
      </c>
      <c r="S1109">
        <v>30</v>
      </c>
      <c r="T1109" t="s">
        <v>73</v>
      </c>
      <c r="U1109" t="s">
        <v>226</v>
      </c>
      <c r="V1109" t="s">
        <v>542</v>
      </c>
      <c r="W1109" t="s">
        <v>235</v>
      </c>
      <c r="X1109" t="s">
        <v>229</v>
      </c>
      <c r="Y1109" t="s">
        <v>108</v>
      </c>
      <c r="AD1109" t="s">
        <v>104</v>
      </c>
      <c r="AE1109">
        <v>600</v>
      </c>
      <c r="AF1109">
        <v>42085976</v>
      </c>
      <c r="AG1109" s="73">
        <v>45357.243437500001</v>
      </c>
      <c r="AH1109" t="s">
        <v>226</v>
      </c>
      <c r="AI1109" t="s">
        <v>542</v>
      </c>
      <c r="AJ1109" t="s">
        <v>235</v>
      </c>
      <c r="AK1109" t="s">
        <v>229</v>
      </c>
      <c r="AL1109" t="s">
        <v>108</v>
      </c>
      <c r="AP1109" t="s">
        <v>230</v>
      </c>
      <c r="AQ1109" t="s">
        <v>231</v>
      </c>
      <c r="AT1109" t="s">
        <v>232</v>
      </c>
      <c r="AU1109">
        <v>-99</v>
      </c>
      <c r="AV1109" t="s">
        <v>104</v>
      </c>
      <c r="AW1109">
        <v>600</v>
      </c>
      <c r="AX1109">
        <v>42085976</v>
      </c>
      <c r="AY1109" s="73">
        <v>45357.243437500001</v>
      </c>
      <c r="AZ1109" t="s">
        <v>226</v>
      </c>
      <c r="BA1109" t="s">
        <v>542</v>
      </c>
      <c r="BB1109" t="s">
        <v>235</v>
      </c>
      <c r="BC1109" t="s">
        <v>229</v>
      </c>
      <c r="BD1109" t="s">
        <v>108</v>
      </c>
      <c r="BI1109" t="s">
        <v>233</v>
      </c>
      <c r="BJ1109" t="s">
        <v>0</v>
      </c>
      <c r="BK1109">
        <v>42085959</v>
      </c>
      <c r="BN1109" t="s">
        <v>104</v>
      </c>
      <c r="BO1109">
        <v>42085965</v>
      </c>
      <c r="BR1109">
        <v>600</v>
      </c>
      <c r="BS1109">
        <v>42085976</v>
      </c>
      <c r="BT1109" s="73">
        <v>45357.243437500001</v>
      </c>
      <c r="BU1109" t="s">
        <v>226</v>
      </c>
      <c r="BV1109" t="s">
        <v>542</v>
      </c>
      <c r="BW1109" t="s">
        <v>235</v>
      </c>
      <c r="CH1109" t="s">
        <v>229</v>
      </c>
      <c r="CI1109" t="s">
        <v>108</v>
      </c>
      <c r="CJ1109" t="s">
        <v>226</v>
      </c>
      <c r="CK1109" t="s">
        <v>542</v>
      </c>
      <c r="CL1109" t="s">
        <v>235</v>
      </c>
      <c r="CM1109" t="s">
        <v>236</v>
      </c>
      <c r="CN1109" t="s">
        <v>104</v>
      </c>
      <c r="CO1109">
        <v>600</v>
      </c>
      <c r="CP1109">
        <v>42085976</v>
      </c>
      <c r="CQ1109" s="73">
        <v>45357.243437500001</v>
      </c>
      <c r="CR1109" t="s">
        <v>229</v>
      </c>
      <c r="CS1109" t="s">
        <v>108</v>
      </c>
      <c r="CU1109" t="s">
        <v>225</v>
      </c>
    </row>
    <row r="1110" spans="1:99">
      <c r="A1110" t="s">
        <v>52</v>
      </c>
      <c r="B1110" t="s">
        <v>92</v>
      </c>
      <c r="J1110" t="s">
        <v>225</v>
      </c>
      <c r="K1110" t="s">
        <v>225</v>
      </c>
      <c r="M1110" s="73">
        <v>45357.239479166667</v>
      </c>
      <c r="N1110">
        <v>42088611</v>
      </c>
      <c r="O1110">
        <v>-4626</v>
      </c>
      <c r="P1110" t="s">
        <v>45</v>
      </c>
      <c r="Q1110">
        <v>-4626</v>
      </c>
      <c r="R1110" t="s">
        <v>45</v>
      </c>
      <c r="U1110" t="s">
        <v>226</v>
      </c>
      <c r="V1110" t="s">
        <v>543</v>
      </c>
      <c r="W1110" t="s">
        <v>228</v>
      </c>
      <c r="X1110" t="s">
        <v>229</v>
      </c>
      <c r="Y1110" t="s">
        <v>52</v>
      </c>
      <c r="AD1110" t="s">
        <v>45</v>
      </c>
      <c r="AE1110">
        <v>-4626</v>
      </c>
      <c r="AF1110">
        <v>42088611</v>
      </c>
      <c r="AG1110" s="73">
        <v>45357.239479166667</v>
      </c>
      <c r="AH1110" t="s">
        <v>226</v>
      </c>
      <c r="AI1110" t="s">
        <v>543</v>
      </c>
      <c r="AJ1110" t="s">
        <v>228</v>
      </c>
      <c r="AK1110" t="s">
        <v>229</v>
      </c>
      <c r="AL1110" t="s">
        <v>52</v>
      </c>
      <c r="AP1110" t="s">
        <v>230</v>
      </c>
      <c r="AQ1110" t="s">
        <v>231</v>
      </c>
      <c r="AT1110" t="s">
        <v>232</v>
      </c>
      <c r="AU1110">
        <v>-99</v>
      </c>
      <c r="AV1110" t="s">
        <v>45</v>
      </c>
      <c r="AW1110">
        <v>-4626</v>
      </c>
      <c r="AX1110">
        <v>42088611</v>
      </c>
      <c r="AY1110" s="73">
        <v>45357.239479166667</v>
      </c>
      <c r="AZ1110" t="s">
        <v>226</v>
      </c>
      <c r="BA1110" t="s">
        <v>543</v>
      </c>
      <c r="BB1110" t="s">
        <v>228</v>
      </c>
      <c r="BC1110" t="s">
        <v>229</v>
      </c>
      <c r="BD1110" t="s">
        <v>52</v>
      </c>
      <c r="BI1110" t="s">
        <v>233</v>
      </c>
      <c r="BJ1110" t="s">
        <v>0</v>
      </c>
      <c r="BK1110">
        <v>42088582</v>
      </c>
      <c r="BN1110" t="s">
        <v>45</v>
      </c>
      <c r="BR1110">
        <v>-4626</v>
      </c>
      <c r="BS1110">
        <v>42088611</v>
      </c>
      <c r="BT1110" s="73">
        <v>45357.239479166667</v>
      </c>
      <c r="BU1110" t="s">
        <v>226</v>
      </c>
      <c r="BV1110" t="s">
        <v>543</v>
      </c>
      <c r="BW1110" t="s">
        <v>228</v>
      </c>
      <c r="CH1110" t="s">
        <v>229</v>
      </c>
      <c r="CI1110" t="s">
        <v>52</v>
      </c>
      <c r="CJ1110" t="s">
        <v>226</v>
      </c>
      <c r="CK1110" t="s">
        <v>543</v>
      </c>
      <c r="CL1110" t="s">
        <v>228</v>
      </c>
      <c r="CM1110" t="s">
        <v>234</v>
      </c>
      <c r="CN1110" t="s">
        <v>45</v>
      </c>
      <c r="CO1110">
        <v>-4626</v>
      </c>
      <c r="CP1110">
        <v>42088611</v>
      </c>
      <c r="CQ1110" s="73">
        <v>45357.239479166667</v>
      </c>
      <c r="CR1110" t="s">
        <v>229</v>
      </c>
      <c r="CS1110" t="s">
        <v>52</v>
      </c>
      <c r="CU1110" t="s">
        <v>225</v>
      </c>
    </row>
    <row r="1111" spans="1:99">
      <c r="A1111" t="s">
        <v>101</v>
      </c>
      <c r="B1111" t="s">
        <v>98</v>
      </c>
      <c r="J1111" t="s">
        <v>225</v>
      </c>
      <c r="K1111" t="s">
        <v>225</v>
      </c>
      <c r="M1111" s="73">
        <v>45357.239479166667</v>
      </c>
      <c r="N1111">
        <v>42088610</v>
      </c>
      <c r="O1111">
        <v>-231</v>
      </c>
      <c r="P1111" t="s">
        <v>73</v>
      </c>
      <c r="Q1111">
        <v>-231</v>
      </c>
      <c r="R1111" t="s">
        <v>73</v>
      </c>
      <c r="U1111" t="s">
        <v>226</v>
      </c>
      <c r="V1111" t="s">
        <v>543</v>
      </c>
      <c r="W1111" t="s">
        <v>228</v>
      </c>
      <c r="X1111" t="s">
        <v>229</v>
      </c>
      <c r="Y1111" t="s">
        <v>101</v>
      </c>
      <c r="AD1111" t="s">
        <v>73</v>
      </c>
      <c r="AE1111">
        <v>-231</v>
      </c>
      <c r="AF1111">
        <v>42088610</v>
      </c>
      <c r="AG1111" s="73">
        <v>45357.239479166667</v>
      </c>
      <c r="AH1111" t="s">
        <v>226</v>
      </c>
      <c r="AI1111" t="s">
        <v>543</v>
      </c>
      <c r="AJ1111" t="s">
        <v>228</v>
      </c>
      <c r="AK1111" t="s">
        <v>229</v>
      </c>
      <c r="AL1111" t="s">
        <v>101</v>
      </c>
      <c r="AP1111" t="s">
        <v>230</v>
      </c>
      <c r="AQ1111" t="s">
        <v>231</v>
      </c>
      <c r="AT1111" t="s">
        <v>232</v>
      </c>
      <c r="AU1111">
        <v>-99</v>
      </c>
      <c r="AV1111" t="s">
        <v>73</v>
      </c>
      <c r="AW1111">
        <v>-231</v>
      </c>
      <c r="AX1111">
        <v>42088610</v>
      </c>
      <c r="AY1111" s="73">
        <v>45357.239479166667</v>
      </c>
      <c r="AZ1111" t="s">
        <v>226</v>
      </c>
      <c r="BA1111" t="s">
        <v>543</v>
      </c>
      <c r="BB1111" t="s">
        <v>228</v>
      </c>
      <c r="BC1111" t="s">
        <v>229</v>
      </c>
      <c r="BD1111" t="s">
        <v>101</v>
      </c>
      <c r="BI1111" t="s">
        <v>233</v>
      </c>
      <c r="BJ1111" t="s">
        <v>0</v>
      </c>
      <c r="BK1111">
        <v>42088582</v>
      </c>
      <c r="BN1111" t="s">
        <v>73</v>
      </c>
      <c r="BR1111">
        <v>-231</v>
      </c>
      <c r="BS1111">
        <v>42088610</v>
      </c>
      <c r="BT1111" s="73">
        <v>45357.239479166667</v>
      </c>
      <c r="BU1111" t="s">
        <v>226</v>
      </c>
      <c r="BV1111" t="s">
        <v>543</v>
      </c>
      <c r="BW1111" t="s">
        <v>228</v>
      </c>
      <c r="CH1111" t="s">
        <v>229</v>
      </c>
      <c r="CI1111" t="s">
        <v>101</v>
      </c>
      <c r="CJ1111" t="s">
        <v>226</v>
      </c>
      <c r="CK1111" t="s">
        <v>543</v>
      </c>
      <c r="CL1111" t="s">
        <v>228</v>
      </c>
      <c r="CM1111" t="s">
        <v>234</v>
      </c>
      <c r="CN1111" t="s">
        <v>73</v>
      </c>
      <c r="CO1111">
        <v>-231</v>
      </c>
      <c r="CP1111">
        <v>42088610</v>
      </c>
      <c r="CQ1111" s="73">
        <v>45357.239479166667</v>
      </c>
      <c r="CR1111" t="s">
        <v>229</v>
      </c>
      <c r="CS1111" t="s">
        <v>101</v>
      </c>
      <c r="CU1111" t="s">
        <v>225</v>
      </c>
    </row>
    <row r="1112" spans="1:99">
      <c r="A1112" t="s">
        <v>107</v>
      </c>
      <c r="B1112" t="s">
        <v>98</v>
      </c>
      <c r="J1112" t="s">
        <v>225</v>
      </c>
      <c r="K1112" t="s">
        <v>225</v>
      </c>
      <c r="M1112" s="73">
        <v>45357.239479166667</v>
      </c>
      <c r="N1112">
        <v>42086028</v>
      </c>
      <c r="O1112">
        <v>4620</v>
      </c>
      <c r="P1112" t="s">
        <v>104</v>
      </c>
      <c r="Q1112">
        <v>4620</v>
      </c>
      <c r="R1112" t="s">
        <v>104</v>
      </c>
      <c r="S1112">
        <v>231</v>
      </c>
      <c r="T1112" t="s">
        <v>73</v>
      </c>
      <c r="U1112" t="s">
        <v>226</v>
      </c>
      <c r="V1112" t="s">
        <v>543</v>
      </c>
      <c r="W1112" t="s">
        <v>235</v>
      </c>
      <c r="X1112" t="s">
        <v>229</v>
      </c>
      <c r="Y1112" t="s">
        <v>107</v>
      </c>
      <c r="AD1112" t="s">
        <v>104</v>
      </c>
      <c r="AE1112">
        <v>4620</v>
      </c>
      <c r="AF1112">
        <v>42086028</v>
      </c>
      <c r="AG1112" s="73">
        <v>45357.239479166667</v>
      </c>
      <c r="AH1112" t="s">
        <v>226</v>
      </c>
      <c r="AI1112" t="s">
        <v>543</v>
      </c>
      <c r="AJ1112" t="s">
        <v>235</v>
      </c>
      <c r="AK1112" t="s">
        <v>229</v>
      </c>
      <c r="AL1112" t="s">
        <v>107</v>
      </c>
      <c r="AP1112" t="s">
        <v>230</v>
      </c>
      <c r="AQ1112" t="s">
        <v>231</v>
      </c>
      <c r="AT1112" t="s">
        <v>232</v>
      </c>
      <c r="AU1112">
        <v>-99</v>
      </c>
      <c r="AV1112" t="s">
        <v>104</v>
      </c>
      <c r="AW1112">
        <v>4620</v>
      </c>
      <c r="AX1112">
        <v>42086028</v>
      </c>
      <c r="AY1112" s="73">
        <v>45357.239479166667</v>
      </c>
      <c r="AZ1112" t="s">
        <v>226</v>
      </c>
      <c r="BA1112" t="s">
        <v>543</v>
      </c>
      <c r="BB1112" t="s">
        <v>235</v>
      </c>
      <c r="BC1112" t="s">
        <v>229</v>
      </c>
      <c r="BD1112" t="s">
        <v>107</v>
      </c>
      <c r="BI1112" t="s">
        <v>233</v>
      </c>
      <c r="BJ1112" t="s">
        <v>0</v>
      </c>
      <c r="BK1112">
        <v>42086015</v>
      </c>
      <c r="BN1112" t="s">
        <v>104</v>
      </c>
      <c r="BO1112">
        <v>42086022</v>
      </c>
      <c r="BR1112">
        <v>4620</v>
      </c>
      <c r="BS1112">
        <v>42086028</v>
      </c>
      <c r="BT1112" s="73">
        <v>45357.239479166667</v>
      </c>
      <c r="BU1112" t="s">
        <v>226</v>
      </c>
      <c r="BV1112" t="s">
        <v>543</v>
      </c>
      <c r="BW1112" t="s">
        <v>235</v>
      </c>
      <c r="CH1112" t="s">
        <v>229</v>
      </c>
      <c r="CI1112" t="s">
        <v>107</v>
      </c>
      <c r="CJ1112" t="s">
        <v>226</v>
      </c>
      <c r="CK1112" t="s">
        <v>543</v>
      </c>
      <c r="CL1112" t="s">
        <v>235</v>
      </c>
      <c r="CM1112" t="s">
        <v>236</v>
      </c>
      <c r="CN1112" t="s">
        <v>104</v>
      </c>
      <c r="CO1112">
        <v>4620</v>
      </c>
      <c r="CP1112">
        <v>42086028</v>
      </c>
      <c r="CQ1112" s="73">
        <v>45357.239479166667</v>
      </c>
      <c r="CR1112" t="s">
        <v>229</v>
      </c>
      <c r="CS1112" t="s">
        <v>107</v>
      </c>
      <c r="CU1112" t="s">
        <v>225</v>
      </c>
    </row>
    <row r="1113" spans="1:99">
      <c r="A1113" t="s">
        <v>111</v>
      </c>
      <c r="B1113" t="s">
        <v>77</v>
      </c>
      <c r="J1113" t="s">
        <v>225</v>
      </c>
      <c r="K1113" t="s">
        <v>225</v>
      </c>
      <c r="M1113" s="73">
        <v>45357.239479166667</v>
      </c>
      <c r="N1113">
        <v>42086027</v>
      </c>
      <c r="O1113">
        <v>6</v>
      </c>
      <c r="P1113" t="s">
        <v>45</v>
      </c>
      <c r="Q1113">
        <v>6</v>
      </c>
      <c r="R1113" t="s">
        <v>45</v>
      </c>
      <c r="U1113" t="s">
        <v>226</v>
      </c>
      <c r="V1113" t="s">
        <v>543</v>
      </c>
      <c r="W1113" t="s">
        <v>237</v>
      </c>
      <c r="X1113" t="s">
        <v>229</v>
      </c>
      <c r="Y1113" t="s">
        <v>111</v>
      </c>
      <c r="AD1113" t="s">
        <v>45</v>
      </c>
      <c r="AE1113">
        <v>6</v>
      </c>
      <c r="AF1113">
        <v>42086027</v>
      </c>
      <c r="AG1113" s="73">
        <v>45357.239479166667</v>
      </c>
      <c r="AH1113" t="s">
        <v>226</v>
      </c>
      <c r="AI1113" t="s">
        <v>543</v>
      </c>
      <c r="AJ1113" t="s">
        <v>237</v>
      </c>
      <c r="AK1113" t="s">
        <v>229</v>
      </c>
      <c r="AL1113" t="s">
        <v>111</v>
      </c>
      <c r="AP1113" t="s">
        <v>230</v>
      </c>
      <c r="AQ1113" t="s">
        <v>231</v>
      </c>
      <c r="AT1113" t="s">
        <v>232</v>
      </c>
      <c r="AU1113">
        <v>-99</v>
      </c>
      <c r="AV1113" t="s">
        <v>45</v>
      </c>
      <c r="AW1113">
        <v>6</v>
      </c>
      <c r="AX1113">
        <v>42086027</v>
      </c>
      <c r="AY1113" s="73">
        <v>45357.239479166667</v>
      </c>
      <c r="AZ1113" t="s">
        <v>226</v>
      </c>
      <c r="BA1113" t="s">
        <v>543</v>
      </c>
      <c r="BB1113" t="s">
        <v>237</v>
      </c>
      <c r="BC1113" t="s">
        <v>229</v>
      </c>
      <c r="BD1113" t="s">
        <v>111</v>
      </c>
      <c r="BI1113" t="s">
        <v>233</v>
      </c>
      <c r="BJ1113" t="s">
        <v>0</v>
      </c>
      <c r="BK1113">
        <v>42086015</v>
      </c>
      <c r="BN1113" t="s">
        <v>45</v>
      </c>
      <c r="BO1113">
        <v>42086024</v>
      </c>
      <c r="BR1113">
        <v>6</v>
      </c>
      <c r="BS1113">
        <v>42086027</v>
      </c>
      <c r="BT1113" s="73">
        <v>45357.239479166667</v>
      </c>
      <c r="BU1113" t="s">
        <v>226</v>
      </c>
      <c r="BV1113" t="s">
        <v>543</v>
      </c>
      <c r="BW1113" t="s">
        <v>237</v>
      </c>
      <c r="CH1113" t="s">
        <v>229</v>
      </c>
      <c r="CI1113" t="s">
        <v>111</v>
      </c>
      <c r="CJ1113" t="s">
        <v>226</v>
      </c>
      <c r="CK1113" t="s">
        <v>543</v>
      </c>
      <c r="CL1113" t="s">
        <v>237</v>
      </c>
      <c r="CM1113" t="s">
        <v>236</v>
      </c>
      <c r="CN1113" t="s">
        <v>45</v>
      </c>
      <c r="CO1113">
        <v>6</v>
      </c>
      <c r="CP1113">
        <v>42086027</v>
      </c>
      <c r="CQ1113" s="73">
        <v>45357.239479166667</v>
      </c>
      <c r="CR1113" t="s">
        <v>229</v>
      </c>
      <c r="CS1113" t="s">
        <v>111</v>
      </c>
      <c r="CU1113" t="s">
        <v>225</v>
      </c>
    </row>
    <row r="1114" spans="1:99">
      <c r="A1114" t="s">
        <v>129</v>
      </c>
      <c r="B1114" t="s">
        <v>90</v>
      </c>
      <c r="J1114" t="s">
        <v>225</v>
      </c>
      <c r="K1114" t="s">
        <v>225</v>
      </c>
      <c r="M1114" s="73">
        <v>45356.916666666664</v>
      </c>
      <c r="N1114">
        <v>42111297</v>
      </c>
      <c r="O1114">
        <v>-6.2</v>
      </c>
      <c r="P1114" t="s">
        <v>73</v>
      </c>
      <c r="Q1114">
        <v>-6.2</v>
      </c>
      <c r="R1114" t="s">
        <v>73</v>
      </c>
      <c r="U1114" t="s">
        <v>226</v>
      </c>
      <c r="V1114" t="s">
        <v>544</v>
      </c>
      <c r="W1114" t="s">
        <v>228</v>
      </c>
      <c r="X1114" t="s">
        <v>229</v>
      </c>
      <c r="Y1114" t="s">
        <v>129</v>
      </c>
      <c r="AD1114" t="s">
        <v>73</v>
      </c>
      <c r="AE1114">
        <v>-6.2</v>
      </c>
      <c r="AF1114">
        <v>42111297</v>
      </c>
      <c r="AG1114" s="73">
        <v>45356.916666666664</v>
      </c>
      <c r="AH1114" t="s">
        <v>226</v>
      </c>
      <c r="AI1114" t="s">
        <v>544</v>
      </c>
      <c r="AJ1114" t="s">
        <v>228</v>
      </c>
      <c r="AK1114" t="s">
        <v>229</v>
      </c>
      <c r="AL1114" t="s">
        <v>129</v>
      </c>
      <c r="AP1114" t="s">
        <v>230</v>
      </c>
      <c r="AQ1114" t="s">
        <v>231</v>
      </c>
      <c r="AT1114" t="s">
        <v>232</v>
      </c>
      <c r="AU1114">
        <v>-99</v>
      </c>
      <c r="AV1114" t="s">
        <v>73</v>
      </c>
      <c r="AW1114">
        <v>-6.2</v>
      </c>
      <c r="AX1114">
        <v>42111297</v>
      </c>
      <c r="AY1114" s="73">
        <v>45356.916666666664</v>
      </c>
      <c r="AZ1114" t="s">
        <v>226</v>
      </c>
      <c r="BA1114" t="s">
        <v>544</v>
      </c>
      <c r="BB1114" t="s">
        <v>228</v>
      </c>
      <c r="BC1114" t="s">
        <v>229</v>
      </c>
      <c r="BD1114" t="s">
        <v>129</v>
      </c>
      <c r="BI1114" t="s">
        <v>233</v>
      </c>
      <c r="BJ1114" t="s">
        <v>0</v>
      </c>
      <c r="BK1114">
        <v>42111284</v>
      </c>
      <c r="BN1114" t="s">
        <v>73</v>
      </c>
      <c r="BR1114">
        <v>-6.2</v>
      </c>
      <c r="BS1114">
        <v>42111297</v>
      </c>
      <c r="BT1114" s="73">
        <v>45356.916666666664</v>
      </c>
      <c r="BU1114" t="s">
        <v>226</v>
      </c>
      <c r="BV1114" t="s">
        <v>544</v>
      </c>
      <c r="BW1114" t="s">
        <v>228</v>
      </c>
      <c r="CH1114" t="s">
        <v>229</v>
      </c>
      <c r="CI1114" t="s">
        <v>129</v>
      </c>
      <c r="CJ1114" t="s">
        <v>226</v>
      </c>
      <c r="CK1114" t="s">
        <v>544</v>
      </c>
      <c r="CL1114" t="s">
        <v>228</v>
      </c>
      <c r="CM1114" t="s">
        <v>234</v>
      </c>
      <c r="CN1114" t="s">
        <v>73</v>
      </c>
      <c r="CO1114">
        <v>-6.2</v>
      </c>
      <c r="CP1114">
        <v>42111297</v>
      </c>
      <c r="CQ1114" s="73">
        <v>45356.916666666664</v>
      </c>
      <c r="CR1114" t="s">
        <v>229</v>
      </c>
      <c r="CS1114" t="s">
        <v>129</v>
      </c>
      <c r="CU1114" t="s">
        <v>225</v>
      </c>
    </row>
    <row r="1115" spans="1:99">
      <c r="A1115" t="s">
        <v>118</v>
      </c>
      <c r="B1115" t="s">
        <v>90</v>
      </c>
      <c r="J1115" t="s">
        <v>225</v>
      </c>
      <c r="K1115" t="s">
        <v>225</v>
      </c>
      <c r="M1115" s="73">
        <v>45356.916666666664</v>
      </c>
      <c r="N1115">
        <v>42111296</v>
      </c>
      <c r="O1115">
        <v>-110</v>
      </c>
      <c r="P1115" t="s">
        <v>120</v>
      </c>
      <c r="Q1115">
        <v>-110</v>
      </c>
      <c r="R1115" t="s">
        <v>120</v>
      </c>
      <c r="U1115" t="s">
        <v>226</v>
      </c>
      <c r="V1115" t="s">
        <v>544</v>
      </c>
      <c r="W1115" t="s">
        <v>228</v>
      </c>
      <c r="X1115" t="s">
        <v>229</v>
      </c>
      <c r="Y1115" t="s">
        <v>118</v>
      </c>
      <c r="AD1115" t="s">
        <v>120</v>
      </c>
      <c r="AE1115">
        <v>-110</v>
      </c>
      <c r="AF1115">
        <v>42111296</v>
      </c>
      <c r="AG1115" s="73">
        <v>45356.916666666664</v>
      </c>
      <c r="AH1115" t="s">
        <v>226</v>
      </c>
      <c r="AI1115" t="s">
        <v>544</v>
      </c>
      <c r="AJ1115" t="s">
        <v>228</v>
      </c>
      <c r="AK1115" t="s">
        <v>229</v>
      </c>
      <c r="AL1115" t="s">
        <v>118</v>
      </c>
      <c r="AP1115" t="s">
        <v>230</v>
      </c>
      <c r="AQ1115" t="s">
        <v>231</v>
      </c>
      <c r="AT1115" t="s">
        <v>232</v>
      </c>
      <c r="AU1115">
        <v>-99</v>
      </c>
      <c r="AV1115" t="s">
        <v>120</v>
      </c>
      <c r="AW1115">
        <v>-110</v>
      </c>
      <c r="AX1115">
        <v>42111296</v>
      </c>
      <c r="AY1115" s="73">
        <v>45356.916666666664</v>
      </c>
      <c r="AZ1115" t="s">
        <v>226</v>
      </c>
      <c r="BA1115" t="s">
        <v>544</v>
      </c>
      <c r="BB1115" t="s">
        <v>228</v>
      </c>
      <c r="BC1115" t="s">
        <v>229</v>
      </c>
      <c r="BD1115" t="s">
        <v>118</v>
      </c>
      <c r="BI1115" t="s">
        <v>233</v>
      </c>
      <c r="BJ1115" t="s">
        <v>0</v>
      </c>
      <c r="BK1115">
        <v>42111284</v>
      </c>
      <c r="BN1115" t="s">
        <v>120</v>
      </c>
      <c r="BR1115">
        <v>-110</v>
      </c>
      <c r="BS1115">
        <v>42111296</v>
      </c>
      <c r="BT1115" s="73">
        <v>45356.916666666664</v>
      </c>
      <c r="BU1115" t="s">
        <v>226</v>
      </c>
      <c r="BV1115" t="s">
        <v>544</v>
      </c>
      <c r="BW1115" t="s">
        <v>228</v>
      </c>
      <c r="CH1115" t="s">
        <v>229</v>
      </c>
      <c r="CI1115" t="s">
        <v>118</v>
      </c>
      <c r="CJ1115" t="s">
        <v>226</v>
      </c>
      <c r="CK1115" t="s">
        <v>544</v>
      </c>
      <c r="CL1115" t="s">
        <v>228</v>
      </c>
      <c r="CM1115" t="s">
        <v>234</v>
      </c>
      <c r="CN1115" t="s">
        <v>120</v>
      </c>
      <c r="CO1115">
        <v>-110</v>
      </c>
      <c r="CP1115">
        <v>42111296</v>
      </c>
      <c r="CQ1115" s="73">
        <v>45356.916666666664</v>
      </c>
      <c r="CR1115" t="s">
        <v>229</v>
      </c>
      <c r="CS1115" t="s">
        <v>118</v>
      </c>
      <c r="CU1115" t="s">
        <v>225</v>
      </c>
    </row>
    <row r="1116" spans="1:99">
      <c r="A1116" t="s">
        <v>129</v>
      </c>
      <c r="B1116" t="s">
        <v>90</v>
      </c>
      <c r="J1116" t="s">
        <v>225</v>
      </c>
      <c r="K1116" t="s">
        <v>225</v>
      </c>
      <c r="M1116" s="73">
        <v>45356.916666666664</v>
      </c>
      <c r="N1116">
        <v>42111295</v>
      </c>
      <c r="O1116">
        <v>5.6</v>
      </c>
      <c r="P1116" t="s">
        <v>73</v>
      </c>
      <c r="Q1116">
        <v>5.6</v>
      </c>
      <c r="R1116" t="s">
        <v>73</v>
      </c>
      <c r="U1116" t="s">
        <v>226</v>
      </c>
      <c r="V1116" t="s">
        <v>544</v>
      </c>
      <c r="W1116" t="s">
        <v>251</v>
      </c>
      <c r="X1116" t="s">
        <v>229</v>
      </c>
      <c r="Y1116" t="s">
        <v>129</v>
      </c>
      <c r="AD1116" t="s">
        <v>73</v>
      </c>
      <c r="AE1116">
        <v>5.6</v>
      </c>
      <c r="AF1116">
        <v>42111295</v>
      </c>
      <c r="AG1116" s="73">
        <v>45356.916666666664</v>
      </c>
      <c r="AH1116" t="s">
        <v>226</v>
      </c>
      <c r="AI1116" t="s">
        <v>544</v>
      </c>
      <c r="AJ1116" t="s">
        <v>251</v>
      </c>
      <c r="AK1116" t="s">
        <v>229</v>
      </c>
      <c r="AL1116" t="s">
        <v>129</v>
      </c>
      <c r="AP1116" t="s">
        <v>230</v>
      </c>
      <c r="AQ1116" t="s">
        <v>231</v>
      </c>
      <c r="AT1116" t="s">
        <v>232</v>
      </c>
      <c r="AU1116">
        <v>42086429</v>
      </c>
      <c r="AV1116" t="s">
        <v>73</v>
      </c>
      <c r="AW1116">
        <v>5.6</v>
      </c>
      <c r="AX1116">
        <v>42111295</v>
      </c>
      <c r="AY1116" s="73">
        <v>45356.916666666664</v>
      </c>
      <c r="AZ1116" t="s">
        <v>226</v>
      </c>
      <c r="BA1116" t="s">
        <v>544</v>
      </c>
      <c r="BB1116" t="s">
        <v>251</v>
      </c>
      <c r="BC1116" t="s">
        <v>229</v>
      </c>
      <c r="BD1116" t="s">
        <v>129</v>
      </c>
      <c r="BI1116" t="s">
        <v>233</v>
      </c>
      <c r="BJ1116" t="s">
        <v>0</v>
      </c>
      <c r="BK1116">
        <v>42111284</v>
      </c>
      <c r="BN1116" t="s">
        <v>73</v>
      </c>
      <c r="BR1116">
        <v>5.6</v>
      </c>
      <c r="BS1116">
        <v>42111295</v>
      </c>
      <c r="BT1116" s="73">
        <v>45356.916666666664</v>
      </c>
      <c r="BU1116" t="s">
        <v>226</v>
      </c>
      <c r="BV1116" t="s">
        <v>544</v>
      </c>
      <c r="BW1116" t="s">
        <v>251</v>
      </c>
      <c r="CH1116" t="s">
        <v>229</v>
      </c>
      <c r="CI1116" t="s">
        <v>129</v>
      </c>
      <c r="CJ1116" t="s">
        <v>226</v>
      </c>
      <c r="CK1116" t="s">
        <v>544</v>
      </c>
      <c r="CL1116" t="s">
        <v>251</v>
      </c>
      <c r="CM1116" t="s">
        <v>252</v>
      </c>
      <c r="CN1116" t="s">
        <v>73</v>
      </c>
      <c r="CO1116">
        <v>5.6</v>
      </c>
      <c r="CP1116">
        <v>42111295</v>
      </c>
      <c r="CQ1116" s="73">
        <v>45356.916666666664</v>
      </c>
      <c r="CR1116" t="s">
        <v>229</v>
      </c>
      <c r="CS1116" t="s">
        <v>129</v>
      </c>
      <c r="CU1116" t="s">
        <v>225</v>
      </c>
    </row>
    <row r="1117" spans="1:99">
      <c r="A1117" t="s">
        <v>113</v>
      </c>
      <c r="B1117" t="s">
        <v>90</v>
      </c>
      <c r="J1117" t="s">
        <v>225</v>
      </c>
      <c r="K1117" t="s">
        <v>225</v>
      </c>
      <c r="M1117" s="73">
        <v>45356.916666666664</v>
      </c>
      <c r="N1117">
        <v>42086433</v>
      </c>
      <c r="O1117">
        <v>-300</v>
      </c>
      <c r="P1117" t="s">
        <v>115</v>
      </c>
      <c r="Q1117">
        <v>-300</v>
      </c>
      <c r="R1117" t="s">
        <v>115</v>
      </c>
      <c r="U1117" t="s">
        <v>226</v>
      </c>
      <c r="V1117" t="s">
        <v>544</v>
      </c>
      <c r="W1117" t="s">
        <v>228</v>
      </c>
      <c r="X1117" t="s">
        <v>229</v>
      </c>
      <c r="Y1117" t="s">
        <v>113</v>
      </c>
      <c r="AD1117" t="s">
        <v>115</v>
      </c>
      <c r="AE1117">
        <v>-300</v>
      </c>
      <c r="AF1117">
        <v>42086433</v>
      </c>
      <c r="AG1117" s="73">
        <v>45356.916666666664</v>
      </c>
      <c r="AH1117" t="s">
        <v>226</v>
      </c>
      <c r="AI1117" t="s">
        <v>544</v>
      </c>
      <c r="AJ1117" t="s">
        <v>228</v>
      </c>
      <c r="AK1117" t="s">
        <v>229</v>
      </c>
      <c r="AL1117" t="s">
        <v>113</v>
      </c>
      <c r="AP1117" t="s">
        <v>230</v>
      </c>
      <c r="AQ1117" t="s">
        <v>231</v>
      </c>
      <c r="AT1117" t="s">
        <v>232</v>
      </c>
      <c r="AU1117">
        <v>-99</v>
      </c>
      <c r="AV1117" t="s">
        <v>115</v>
      </c>
      <c r="AW1117">
        <v>-300</v>
      </c>
      <c r="AX1117">
        <v>42086433</v>
      </c>
      <c r="AY1117" s="73">
        <v>45356.916666666664</v>
      </c>
      <c r="AZ1117" t="s">
        <v>226</v>
      </c>
      <c r="BA1117" t="s">
        <v>544</v>
      </c>
      <c r="BB1117" t="s">
        <v>228</v>
      </c>
      <c r="BC1117" t="s">
        <v>229</v>
      </c>
      <c r="BD1117" t="s">
        <v>113</v>
      </c>
      <c r="BI1117" t="s">
        <v>233</v>
      </c>
      <c r="BJ1117" t="s">
        <v>0</v>
      </c>
      <c r="BK1117">
        <v>42086401</v>
      </c>
      <c r="BN1117" t="s">
        <v>115</v>
      </c>
      <c r="BR1117">
        <v>-300</v>
      </c>
      <c r="BS1117">
        <v>42086433</v>
      </c>
      <c r="BT1117" s="73">
        <v>45356.916666666664</v>
      </c>
      <c r="BU1117" t="s">
        <v>226</v>
      </c>
      <c r="BV1117" t="s">
        <v>544</v>
      </c>
      <c r="BW1117" t="s">
        <v>228</v>
      </c>
      <c r="CH1117" t="s">
        <v>229</v>
      </c>
      <c r="CI1117" t="s">
        <v>113</v>
      </c>
      <c r="CJ1117" t="s">
        <v>226</v>
      </c>
      <c r="CK1117" t="s">
        <v>544</v>
      </c>
      <c r="CL1117" t="s">
        <v>228</v>
      </c>
      <c r="CM1117" t="s">
        <v>234</v>
      </c>
      <c r="CN1117" t="s">
        <v>115</v>
      </c>
      <c r="CO1117">
        <v>-300</v>
      </c>
      <c r="CP1117">
        <v>42086433</v>
      </c>
      <c r="CQ1117" s="73">
        <v>45356.916666666664</v>
      </c>
      <c r="CR1117" t="s">
        <v>229</v>
      </c>
      <c r="CS1117" t="s">
        <v>113</v>
      </c>
      <c r="CU1117" t="s">
        <v>225</v>
      </c>
    </row>
    <row r="1118" spans="1:99">
      <c r="A1118" t="s">
        <v>133</v>
      </c>
      <c r="B1118" t="s">
        <v>90</v>
      </c>
      <c r="J1118" t="s">
        <v>225</v>
      </c>
      <c r="K1118" t="s">
        <v>225</v>
      </c>
      <c r="M1118" s="73">
        <v>45356.916666666664</v>
      </c>
      <c r="N1118">
        <v>42086432</v>
      </c>
      <c r="O1118">
        <v>-597.29999999999995</v>
      </c>
      <c r="P1118" t="s">
        <v>73</v>
      </c>
      <c r="Q1118">
        <v>-597.29999999999995</v>
      </c>
      <c r="R1118" t="s">
        <v>73</v>
      </c>
      <c r="U1118" t="s">
        <v>226</v>
      </c>
      <c r="V1118" t="s">
        <v>544</v>
      </c>
      <c r="W1118" t="s">
        <v>228</v>
      </c>
      <c r="X1118" t="s">
        <v>229</v>
      </c>
      <c r="Y1118" t="s">
        <v>133</v>
      </c>
      <c r="AD1118" t="s">
        <v>73</v>
      </c>
      <c r="AE1118">
        <v>-597.29999999999995</v>
      </c>
      <c r="AF1118">
        <v>42086432</v>
      </c>
      <c r="AG1118" s="73">
        <v>45356.916666666664</v>
      </c>
      <c r="AH1118" t="s">
        <v>226</v>
      </c>
      <c r="AI1118" t="s">
        <v>544</v>
      </c>
      <c r="AJ1118" t="s">
        <v>228</v>
      </c>
      <c r="AK1118" t="s">
        <v>229</v>
      </c>
      <c r="AL1118" t="s">
        <v>133</v>
      </c>
      <c r="AP1118" t="s">
        <v>230</v>
      </c>
      <c r="AQ1118" t="s">
        <v>231</v>
      </c>
      <c r="AT1118" t="s">
        <v>232</v>
      </c>
      <c r="AU1118">
        <v>-99</v>
      </c>
      <c r="AV1118" t="s">
        <v>73</v>
      </c>
      <c r="AW1118">
        <v>-597.29999999999995</v>
      </c>
      <c r="AX1118">
        <v>42086432</v>
      </c>
      <c r="AY1118" s="73">
        <v>45356.916666666664</v>
      </c>
      <c r="AZ1118" t="s">
        <v>226</v>
      </c>
      <c r="BA1118" t="s">
        <v>544</v>
      </c>
      <c r="BB1118" t="s">
        <v>228</v>
      </c>
      <c r="BC1118" t="s">
        <v>229</v>
      </c>
      <c r="BD1118" t="s">
        <v>133</v>
      </c>
      <c r="BI1118" t="s">
        <v>233</v>
      </c>
      <c r="BJ1118" t="s">
        <v>0</v>
      </c>
      <c r="BK1118">
        <v>42086401</v>
      </c>
      <c r="BN1118" t="s">
        <v>73</v>
      </c>
      <c r="BR1118">
        <v>-597.29999999999995</v>
      </c>
      <c r="BS1118">
        <v>42086432</v>
      </c>
      <c r="BT1118" s="73">
        <v>45356.916666666664</v>
      </c>
      <c r="BU1118" t="s">
        <v>226</v>
      </c>
      <c r="BV1118" t="s">
        <v>544</v>
      </c>
      <c r="BW1118" t="s">
        <v>228</v>
      </c>
      <c r="CH1118" t="s">
        <v>229</v>
      </c>
      <c r="CI1118" t="s">
        <v>133</v>
      </c>
      <c r="CJ1118" t="s">
        <v>226</v>
      </c>
      <c r="CK1118" t="s">
        <v>544</v>
      </c>
      <c r="CL1118" t="s">
        <v>228</v>
      </c>
      <c r="CM1118" t="s">
        <v>234</v>
      </c>
      <c r="CN1118" t="s">
        <v>73</v>
      </c>
      <c r="CO1118">
        <v>-597.29999999999995</v>
      </c>
      <c r="CP1118">
        <v>42086432</v>
      </c>
      <c r="CQ1118" s="73">
        <v>45356.916666666664</v>
      </c>
      <c r="CR1118" t="s">
        <v>229</v>
      </c>
      <c r="CS1118" t="s">
        <v>133</v>
      </c>
      <c r="CU1118" t="s">
        <v>225</v>
      </c>
    </row>
    <row r="1119" spans="1:99">
      <c r="A1119" t="s">
        <v>131</v>
      </c>
      <c r="B1119" t="s">
        <v>90</v>
      </c>
      <c r="J1119" t="s">
        <v>225</v>
      </c>
      <c r="K1119" t="s">
        <v>225</v>
      </c>
      <c r="M1119" s="73">
        <v>45356.916666666664</v>
      </c>
      <c r="N1119">
        <v>42086431</v>
      </c>
      <c r="O1119">
        <v>-163.5</v>
      </c>
      <c r="P1119" t="s">
        <v>73</v>
      </c>
      <c r="Q1119">
        <v>-163.5</v>
      </c>
      <c r="R1119" t="s">
        <v>73</v>
      </c>
      <c r="U1119" t="s">
        <v>226</v>
      </c>
      <c r="V1119" t="s">
        <v>544</v>
      </c>
      <c r="W1119" t="s">
        <v>228</v>
      </c>
      <c r="X1119" t="s">
        <v>229</v>
      </c>
      <c r="Y1119" t="s">
        <v>131</v>
      </c>
      <c r="AD1119" t="s">
        <v>73</v>
      </c>
      <c r="AE1119">
        <v>-163.5</v>
      </c>
      <c r="AF1119">
        <v>42086431</v>
      </c>
      <c r="AG1119" s="73">
        <v>45356.916666666664</v>
      </c>
      <c r="AH1119" t="s">
        <v>226</v>
      </c>
      <c r="AI1119" t="s">
        <v>544</v>
      </c>
      <c r="AJ1119" t="s">
        <v>228</v>
      </c>
      <c r="AK1119" t="s">
        <v>229</v>
      </c>
      <c r="AL1119" t="s">
        <v>131</v>
      </c>
      <c r="AP1119" t="s">
        <v>230</v>
      </c>
      <c r="AQ1119" t="s">
        <v>231</v>
      </c>
      <c r="AT1119" t="s">
        <v>232</v>
      </c>
      <c r="AU1119">
        <v>-99</v>
      </c>
      <c r="AV1119" t="s">
        <v>73</v>
      </c>
      <c r="AW1119">
        <v>-163.5</v>
      </c>
      <c r="AX1119">
        <v>42086431</v>
      </c>
      <c r="AY1119" s="73">
        <v>45356.916666666664</v>
      </c>
      <c r="AZ1119" t="s">
        <v>226</v>
      </c>
      <c r="BA1119" t="s">
        <v>544</v>
      </c>
      <c r="BB1119" t="s">
        <v>228</v>
      </c>
      <c r="BC1119" t="s">
        <v>229</v>
      </c>
      <c r="BD1119" t="s">
        <v>131</v>
      </c>
      <c r="BI1119" t="s">
        <v>233</v>
      </c>
      <c r="BJ1119" t="s">
        <v>0</v>
      </c>
      <c r="BK1119">
        <v>42086401</v>
      </c>
      <c r="BN1119" t="s">
        <v>73</v>
      </c>
      <c r="BR1119">
        <v>-163.5</v>
      </c>
      <c r="BS1119">
        <v>42086431</v>
      </c>
      <c r="BT1119" s="73">
        <v>45356.916666666664</v>
      </c>
      <c r="BU1119" t="s">
        <v>226</v>
      </c>
      <c r="BV1119" t="s">
        <v>544</v>
      </c>
      <c r="BW1119" t="s">
        <v>228</v>
      </c>
      <c r="CH1119" t="s">
        <v>229</v>
      </c>
      <c r="CI1119" t="s">
        <v>131</v>
      </c>
      <c r="CJ1119" t="s">
        <v>226</v>
      </c>
      <c r="CK1119" t="s">
        <v>544</v>
      </c>
      <c r="CL1119" t="s">
        <v>228</v>
      </c>
      <c r="CM1119" t="s">
        <v>234</v>
      </c>
      <c r="CN1119" t="s">
        <v>73</v>
      </c>
      <c r="CO1119">
        <v>-163.5</v>
      </c>
      <c r="CP1119">
        <v>42086431</v>
      </c>
      <c r="CQ1119" s="73">
        <v>45356.916666666664</v>
      </c>
      <c r="CR1119" t="s">
        <v>229</v>
      </c>
      <c r="CS1119" t="s">
        <v>131</v>
      </c>
      <c r="CU1119" t="s">
        <v>225</v>
      </c>
    </row>
    <row r="1120" spans="1:99">
      <c r="A1120" t="s">
        <v>87</v>
      </c>
      <c r="B1120" t="s">
        <v>90</v>
      </c>
      <c r="J1120" t="s">
        <v>225</v>
      </c>
      <c r="K1120" t="s">
        <v>225</v>
      </c>
      <c r="M1120" s="73">
        <v>45356.916666666664</v>
      </c>
      <c r="N1120">
        <v>42086430</v>
      </c>
      <c r="O1120">
        <v>-59.7</v>
      </c>
      <c r="P1120" t="s">
        <v>73</v>
      </c>
      <c r="Q1120">
        <v>-59.7</v>
      </c>
      <c r="R1120" t="s">
        <v>73</v>
      </c>
      <c r="U1120" t="s">
        <v>226</v>
      </c>
      <c r="V1120" t="s">
        <v>544</v>
      </c>
      <c r="W1120" t="s">
        <v>228</v>
      </c>
      <c r="X1120" t="s">
        <v>229</v>
      </c>
      <c r="Y1120" t="s">
        <v>87</v>
      </c>
      <c r="AD1120" t="s">
        <v>73</v>
      </c>
      <c r="AE1120">
        <v>-59.7</v>
      </c>
      <c r="AF1120">
        <v>42086430</v>
      </c>
      <c r="AG1120" s="73">
        <v>45356.916666666664</v>
      </c>
      <c r="AH1120" t="s">
        <v>226</v>
      </c>
      <c r="AI1120" t="s">
        <v>544</v>
      </c>
      <c r="AJ1120" t="s">
        <v>228</v>
      </c>
      <c r="AK1120" t="s">
        <v>229</v>
      </c>
      <c r="AL1120" t="s">
        <v>87</v>
      </c>
      <c r="AP1120" t="s">
        <v>230</v>
      </c>
      <c r="AQ1120" t="s">
        <v>231</v>
      </c>
      <c r="AT1120" t="s">
        <v>232</v>
      </c>
      <c r="AU1120">
        <v>-99</v>
      </c>
      <c r="AV1120" t="s">
        <v>73</v>
      </c>
      <c r="AW1120">
        <v>-59.7</v>
      </c>
      <c r="AX1120">
        <v>42086430</v>
      </c>
      <c r="AY1120" s="73">
        <v>45356.916666666664</v>
      </c>
      <c r="AZ1120" t="s">
        <v>226</v>
      </c>
      <c r="BA1120" t="s">
        <v>544</v>
      </c>
      <c r="BB1120" t="s">
        <v>228</v>
      </c>
      <c r="BC1120" t="s">
        <v>229</v>
      </c>
      <c r="BD1120" t="s">
        <v>87</v>
      </c>
      <c r="BI1120" t="s">
        <v>233</v>
      </c>
      <c r="BJ1120" t="s">
        <v>0</v>
      </c>
      <c r="BK1120">
        <v>42086401</v>
      </c>
      <c r="BN1120" t="s">
        <v>73</v>
      </c>
      <c r="BR1120">
        <v>-59.7</v>
      </c>
      <c r="BS1120">
        <v>42086430</v>
      </c>
      <c r="BT1120" s="73">
        <v>45356.916666666664</v>
      </c>
      <c r="BU1120" t="s">
        <v>226</v>
      </c>
      <c r="BV1120" t="s">
        <v>544</v>
      </c>
      <c r="BW1120" t="s">
        <v>228</v>
      </c>
      <c r="CH1120" t="s">
        <v>229</v>
      </c>
      <c r="CI1120" t="s">
        <v>87</v>
      </c>
      <c r="CJ1120" t="s">
        <v>226</v>
      </c>
      <c r="CK1120" t="s">
        <v>544</v>
      </c>
      <c r="CL1120" t="s">
        <v>228</v>
      </c>
      <c r="CM1120" t="s">
        <v>234</v>
      </c>
      <c r="CN1120" t="s">
        <v>73</v>
      </c>
      <c r="CO1120">
        <v>-59.7</v>
      </c>
      <c r="CP1120">
        <v>42086430</v>
      </c>
      <c r="CQ1120" s="73">
        <v>45356.916666666664</v>
      </c>
      <c r="CR1120" t="s">
        <v>229</v>
      </c>
      <c r="CS1120" t="s">
        <v>87</v>
      </c>
      <c r="CU1120" t="s">
        <v>225</v>
      </c>
    </row>
    <row r="1121" spans="1:99">
      <c r="A1121" t="s">
        <v>129</v>
      </c>
      <c r="B1121" t="s">
        <v>90</v>
      </c>
      <c r="J1121" t="s">
        <v>225</v>
      </c>
      <c r="K1121" t="s">
        <v>225</v>
      </c>
      <c r="M1121" s="73">
        <v>45356.916666666664</v>
      </c>
      <c r="N1121">
        <v>42086429</v>
      </c>
      <c r="O1121">
        <v>-5.6</v>
      </c>
      <c r="P1121" t="s">
        <v>73</v>
      </c>
      <c r="Q1121">
        <v>-5.6</v>
      </c>
      <c r="R1121" t="s">
        <v>73</v>
      </c>
      <c r="U1121" t="s">
        <v>226</v>
      </c>
      <c r="V1121" t="s">
        <v>544</v>
      </c>
      <c r="W1121" t="s">
        <v>228</v>
      </c>
      <c r="X1121" t="s">
        <v>229</v>
      </c>
      <c r="Y1121" t="s">
        <v>129</v>
      </c>
      <c r="AD1121" t="s">
        <v>73</v>
      </c>
      <c r="AE1121">
        <v>-5.6</v>
      </c>
      <c r="AF1121">
        <v>42086429</v>
      </c>
      <c r="AG1121" s="73">
        <v>45356.916666666664</v>
      </c>
      <c r="AH1121" t="s">
        <v>226</v>
      </c>
      <c r="AI1121" t="s">
        <v>544</v>
      </c>
      <c r="AJ1121" t="s">
        <v>228</v>
      </c>
      <c r="AK1121" t="s">
        <v>229</v>
      </c>
      <c r="AL1121" t="s">
        <v>129</v>
      </c>
      <c r="AP1121" t="s">
        <v>230</v>
      </c>
      <c r="AQ1121" t="s">
        <v>231</v>
      </c>
      <c r="AT1121" t="s">
        <v>232</v>
      </c>
      <c r="AU1121">
        <v>-99</v>
      </c>
      <c r="AV1121" t="s">
        <v>73</v>
      </c>
      <c r="AW1121">
        <v>-5.6</v>
      </c>
      <c r="AX1121">
        <v>42086429</v>
      </c>
      <c r="AY1121" s="73">
        <v>45356.916666666664</v>
      </c>
      <c r="AZ1121" t="s">
        <v>226</v>
      </c>
      <c r="BA1121" t="s">
        <v>544</v>
      </c>
      <c r="BB1121" t="s">
        <v>228</v>
      </c>
      <c r="BC1121" t="s">
        <v>229</v>
      </c>
      <c r="BD1121" t="s">
        <v>129</v>
      </c>
      <c r="BI1121" t="s">
        <v>233</v>
      </c>
      <c r="BJ1121" t="s">
        <v>0</v>
      </c>
      <c r="BK1121">
        <v>42086401</v>
      </c>
      <c r="BN1121" t="s">
        <v>73</v>
      </c>
      <c r="BR1121">
        <v>-5.6</v>
      </c>
      <c r="BS1121">
        <v>42086429</v>
      </c>
      <c r="BT1121" s="73">
        <v>45356.916666666664</v>
      </c>
      <c r="BU1121" t="s">
        <v>226</v>
      </c>
      <c r="BV1121" t="s">
        <v>544</v>
      </c>
      <c r="BW1121" t="s">
        <v>228</v>
      </c>
      <c r="CH1121" t="s">
        <v>229</v>
      </c>
      <c r="CI1121" t="s">
        <v>129</v>
      </c>
      <c r="CJ1121" t="s">
        <v>226</v>
      </c>
      <c r="CK1121" t="s">
        <v>544</v>
      </c>
      <c r="CL1121" t="s">
        <v>228</v>
      </c>
      <c r="CM1121" t="s">
        <v>234</v>
      </c>
      <c r="CN1121" t="s">
        <v>73</v>
      </c>
      <c r="CO1121">
        <v>-5.6</v>
      </c>
      <c r="CP1121">
        <v>42086429</v>
      </c>
      <c r="CQ1121" s="73">
        <v>45356.916666666664</v>
      </c>
      <c r="CR1121" t="s">
        <v>229</v>
      </c>
      <c r="CS1121" t="s">
        <v>129</v>
      </c>
      <c r="CU1121" t="s">
        <v>225</v>
      </c>
    </row>
    <row r="1122" spans="1:99">
      <c r="A1122" t="s">
        <v>127</v>
      </c>
      <c r="B1122" t="s">
        <v>90</v>
      </c>
      <c r="J1122" t="s">
        <v>225</v>
      </c>
      <c r="K1122" t="s">
        <v>225</v>
      </c>
      <c r="M1122" s="73">
        <v>45356.916666666664</v>
      </c>
      <c r="N1122">
        <v>42086428</v>
      </c>
      <c r="O1122">
        <v>-672.9</v>
      </c>
      <c r="P1122" t="s">
        <v>73</v>
      </c>
      <c r="Q1122">
        <v>-672.9</v>
      </c>
      <c r="R1122" t="s">
        <v>73</v>
      </c>
      <c r="U1122" t="s">
        <v>226</v>
      </c>
      <c r="V1122" t="s">
        <v>544</v>
      </c>
      <c r="W1122" t="s">
        <v>228</v>
      </c>
      <c r="X1122" t="s">
        <v>229</v>
      </c>
      <c r="Y1122" t="s">
        <v>127</v>
      </c>
      <c r="AD1122" t="s">
        <v>73</v>
      </c>
      <c r="AE1122">
        <v>-672.9</v>
      </c>
      <c r="AF1122">
        <v>42086428</v>
      </c>
      <c r="AG1122" s="73">
        <v>45356.916666666664</v>
      </c>
      <c r="AH1122" t="s">
        <v>226</v>
      </c>
      <c r="AI1122" t="s">
        <v>544</v>
      </c>
      <c r="AJ1122" t="s">
        <v>228</v>
      </c>
      <c r="AK1122" t="s">
        <v>229</v>
      </c>
      <c r="AL1122" t="s">
        <v>127</v>
      </c>
      <c r="AP1122" t="s">
        <v>230</v>
      </c>
      <c r="AQ1122" t="s">
        <v>231</v>
      </c>
      <c r="AT1122" t="s">
        <v>232</v>
      </c>
      <c r="AU1122">
        <v>-99</v>
      </c>
      <c r="AV1122" t="s">
        <v>73</v>
      </c>
      <c r="AW1122">
        <v>-672.9</v>
      </c>
      <c r="AX1122">
        <v>42086428</v>
      </c>
      <c r="AY1122" s="73">
        <v>45356.916666666664</v>
      </c>
      <c r="AZ1122" t="s">
        <v>226</v>
      </c>
      <c r="BA1122" t="s">
        <v>544</v>
      </c>
      <c r="BB1122" t="s">
        <v>228</v>
      </c>
      <c r="BC1122" t="s">
        <v>229</v>
      </c>
      <c r="BD1122" t="s">
        <v>127</v>
      </c>
      <c r="BI1122" t="s">
        <v>233</v>
      </c>
      <c r="BJ1122" t="s">
        <v>0</v>
      </c>
      <c r="BK1122">
        <v>42086401</v>
      </c>
      <c r="BN1122" t="s">
        <v>73</v>
      </c>
      <c r="BR1122">
        <v>-672.9</v>
      </c>
      <c r="BS1122">
        <v>42086428</v>
      </c>
      <c r="BT1122" s="73">
        <v>45356.916666666664</v>
      </c>
      <c r="BU1122" t="s">
        <v>226</v>
      </c>
      <c r="BV1122" t="s">
        <v>544</v>
      </c>
      <c r="BW1122" t="s">
        <v>228</v>
      </c>
      <c r="CH1122" t="s">
        <v>229</v>
      </c>
      <c r="CI1122" t="s">
        <v>127</v>
      </c>
      <c r="CJ1122" t="s">
        <v>226</v>
      </c>
      <c r="CK1122" t="s">
        <v>544</v>
      </c>
      <c r="CL1122" t="s">
        <v>228</v>
      </c>
      <c r="CM1122" t="s">
        <v>234</v>
      </c>
      <c r="CN1122" t="s">
        <v>73</v>
      </c>
      <c r="CO1122">
        <v>-672.9</v>
      </c>
      <c r="CP1122">
        <v>42086428</v>
      </c>
      <c r="CQ1122" s="73">
        <v>45356.916666666664</v>
      </c>
      <c r="CR1122" t="s">
        <v>229</v>
      </c>
      <c r="CS1122" t="s">
        <v>127</v>
      </c>
      <c r="CU1122" t="s">
        <v>225</v>
      </c>
    </row>
    <row r="1123" spans="1:99">
      <c r="A1123" t="s">
        <v>71</v>
      </c>
      <c r="B1123" t="s">
        <v>77</v>
      </c>
      <c r="J1123" t="s">
        <v>225</v>
      </c>
      <c r="K1123" t="s">
        <v>225</v>
      </c>
      <c r="M1123" s="73">
        <v>45356.916666666664</v>
      </c>
      <c r="N1123">
        <v>42086427</v>
      </c>
      <c r="O1123">
        <v>1.3</v>
      </c>
      <c r="P1123" t="s">
        <v>73</v>
      </c>
      <c r="Q1123">
        <v>1.3</v>
      </c>
      <c r="R1123" t="s">
        <v>73</v>
      </c>
      <c r="U1123" t="s">
        <v>226</v>
      </c>
      <c r="V1123" t="s">
        <v>544</v>
      </c>
      <c r="W1123" t="s">
        <v>237</v>
      </c>
      <c r="X1123" t="s">
        <v>229</v>
      </c>
      <c r="Y1123" t="s">
        <v>71</v>
      </c>
      <c r="AD1123" t="s">
        <v>73</v>
      </c>
      <c r="AE1123">
        <v>1.3</v>
      </c>
      <c r="AF1123">
        <v>42086427</v>
      </c>
      <c r="AG1123" s="73">
        <v>45356.916666666664</v>
      </c>
      <c r="AH1123" t="s">
        <v>226</v>
      </c>
      <c r="AI1123" t="s">
        <v>544</v>
      </c>
      <c r="AJ1123" t="s">
        <v>237</v>
      </c>
      <c r="AK1123" t="s">
        <v>229</v>
      </c>
      <c r="AL1123" t="s">
        <v>71</v>
      </c>
      <c r="AP1123" t="s">
        <v>230</v>
      </c>
      <c r="AQ1123" t="s">
        <v>231</v>
      </c>
      <c r="AT1123" t="s">
        <v>232</v>
      </c>
      <c r="AU1123">
        <v>-99</v>
      </c>
      <c r="AV1123" t="s">
        <v>73</v>
      </c>
      <c r="AW1123">
        <v>1.3</v>
      </c>
      <c r="AX1123">
        <v>42086427</v>
      </c>
      <c r="AY1123" s="73">
        <v>45356.916666666664</v>
      </c>
      <c r="AZ1123" t="s">
        <v>226</v>
      </c>
      <c r="BA1123" t="s">
        <v>544</v>
      </c>
      <c r="BB1123" t="s">
        <v>237</v>
      </c>
      <c r="BC1123" t="s">
        <v>229</v>
      </c>
      <c r="BD1123" t="s">
        <v>71</v>
      </c>
      <c r="BI1123" t="s">
        <v>233</v>
      </c>
      <c r="BJ1123" t="s">
        <v>0</v>
      </c>
      <c r="BK1123">
        <v>42086401</v>
      </c>
      <c r="BN1123" t="s">
        <v>73</v>
      </c>
      <c r="BO1123">
        <v>42086417</v>
      </c>
      <c r="BR1123">
        <v>1.3</v>
      </c>
      <c r="BS1123">
        <v>42086427</v>
      </c>
      <c r="BT1123" s="73">
        <v>45356.916666666664</v>
      </c>
      <c r="BU1123" t="s">
        <v>226</v>
      </c>
      <c r="BV1123" t="s">
        <v>544</v>
      </c>
      <c r="BW1123" t="s">
        <v>237</v>
      </c>
      <c r="CH1123" t="s">
        <v>229</v>
      </c>
      <c r="CI1123" t="s">
        <v>71</v>
      </c>
      <c r="CJ1123" t="s">
        <v>226</v>
      </c>
      <c r="CK1123" t="s">
        <v>544</v>
      </c>
      <c r="CL1123" t="s">
        <v>237</v>
      </c>
      <c r="CM1123" t="s">
        <v>236</v>
      </c>
      <c r="CN1123" t="s">
        <v>73</v>
      </c>
      <c r="CO1123">
        <v>1.3</v>
      </c>
      <c r="CP1123">
        <v>42086427</v>
      </c>
      <c r="CQ1123" s="73">
        <v>45356.916666666664</v>
      </c>
      <c r="CR1123" t="s">
        <v>229</v>
      </c>
      <c r="CS1123" t="s">
        <v>71</v>
      </c>
      <c r="CU1123" t="s">
        <v>225</v>
      </c>
    </row>
    <row r="1124" spans="1:99">
      <c r="A1124" t="s">
        <v>101</v>
      </c>
      <c r="B1124" t="s">
        <v>98</v>
      </c>
      <c r="J1124" t="s">
        <v>225</v>
      </c>
      <c r="K1124" t="s">
        <v>225</v>
      </c>
      <c r="M1124" s="73">
        <v>45356.916666666664</v>
      </c>
      <c r="N1124">
        <v>42086426</v>
      </c>
      <c r="O1124">
        <v>1443.98</v>
      </c>
      <c r="P1124" t="s">
        <v>73</v>
      </c>
      <c r="Q1124">
        <v>1443.98</v>
      </c>
      <c r="R1124" t="s">
        <v>73</v>
      </c>
      <c r="U1124" t="s">
        <v>226</v>
      </c>
      <c r="V1124" t="s">
        <v>544</v>
      </c>
      <c r="W1124" t="s">
        <v>235</v>
      </c>
      <c r="X1124" t="s">
        <v>229</v>
      </c>
      <c r="Y1124" t="s">
        <v>101</v>
      </c>
      <c r="AD1124" t="s">
        <v>73</v>
      </c>
      <c r="AE1124">
        <v>1443.98</v>
      </c>
      <c r="AF1124">
        <v>42086426</v>
      </c>
      <c r="AG1124" s="73">
        <v>45356.916666666664</v>
      </c>
      <c r="AH1124" t="s">
        <v>226</v>
      </c>
      <c r="AI1124" t="s">
        <v>544</v>
      </c>
      <c r="AJ1124" t="s">
        <v>235</v>
      </c>
      <c r="AK1124" t="s">
        <v>229</v>
      </c>
      <c r="AL1124" t="s">
        <v>101</v>
      </c>
      <c r="AP1124" t="s">
        <v>230</v>
      </c>
      <c r="AQ1124" t="s">
        <v>231</v>
      </c>
      <c r="AT1124" t="s">
        <v>232</v>
      </c>
      <c r="AU1124">
        <v>-99</v>
      </c>
      <c r="AV1124" t="s">
        <v>73</v>
      </c>
      <c r="AW1124">
        <v>1443.98</v>
      </c>
      <c r="AX1124">
        <v>42086426</v>
      </c>
      <c r="AY1124" s="73">
        <v>45356.916666666664</v>
      </c>
      <c r="AZ1124" t="s">
        <v>226</v>
      </c>
      <c r="BA1124" t="s">
        <v>544</v>
      </c>
      <c r="BB1124" t="s">
        <v>235</v>
      </c>
      <c r="BC1124" t="s">
        <v>229</v>
      </c>
      <c r="BD1124" t="s">
        <v>101</v>
      </c>
      <c r="BI1124" t="s">
        <v>233</v>
      </c>
      <c r="BJ1124" t="s">
        <v>0</v>
      </c>
      <c r="BK1124">
        <v>42086401</v>
      </c>
      <c r="BN1124" t="s">
        <v>73</v>
      </c>
      <c r="BO1124">
        <v>42086415</v>
      </c>
      <c r="BR1124">
        <v>1443.98</v>
      </c>
      <c r="BS1124">
        <v>42086426</v>
      </c>
      <c r="BT1124" s="73">
        <v>45356.916666666664</v>
      </c>
      <c r="BU1124" t="s">
        <v>226</v>
      </c>
      <c r="BV1124" t="s">
        <v>544</v>
      </c>
      <c r="BW1124" t="s">
        <v>235</v>
      </c>
      <c r="CH1124" t="s">
        <v>229</v>
      </c>
      <c r="CI1124" t="s">
        <v>101</v>
      </c>
      <c r="CJ1124" t="s">
        <v>226</v>
      </c>
      <c r="CK1124" t="s">
        <v>544</v>
      </c>
      <c r="CL1124" t="s">
        <v>235</v>
      </c>
      <c r="CM1124" t="s">
        <v>236</v>
      </c>
      <c r="CN1124" t="s">
        <v>73</v>
      </c>
      <c r="CO1124">
        <v>1443.98</v>
      </c>
      <c r="CP1124">
        <v>42086426</v>
      </c>
      <c r="CQ1124" s="73">
        <v>45356.916666666664</v>
      </c>
      <c r="CR1124" t="s">
        <v>229</v>
      </c>
      <c r="CS1124" t="s">
        <v>101</v>
      </c>
      <c r="CU1124" t="s">
        <v>225</v>
      </c>
    </row>
    <row r="1125" spans="1:99">
      <c r="A1125" t="s">
        <v>46</v>
      </c>
      <c r="B1125" t="s">
        <v>92</v>
      </c>
      <c r="J1125" t="s">
        <v>225</v>
      </c>
      <c r="K1125" t="s">
        <v>225</v>
      </c>
      <c r="M1125" s="73">
        <v>45356.895798611113</v>
      </c>
      <c r="N1125">
        <v>42078950</v>
      </c>
      <c r="O1125">
        <v>-801</v>
      </c>
      <c r="P1125" t="s">
        <v>45</v>
      </c>
      <c r="Q1125">
        <v>-801</v>
      </c>
      <c r="R1125" t="s">
        <v>45</v>
      </c>
      <c r="U1125" t="s">
        <v>226</v>
      </c>
      <c r="V1125" t="s">
        <v>545</v>
      </c>
      <c r="W1125" t="s">
        <v>228</v>
      </c>
      <c r="X1125" t="s">
        <v>229</v>
      </c>
      <c r="Y1125" t="s">
        <v>46</v>
      </c>
      <c r="AD1125" t="s">
        <v>45</v>
      </c>
      <c r="AE1125">
        <v>-801</v>
      </c>
      <c r="AF1125">
        <v>42078950</v>
      </c>
      <c r="AG1125" s="73">
        <v>45356.895798611113</v>
      </c>
      <c r="AH1125" t="s">
        <v>226</v>
      </c>
      <c r="AI1125" t="s">
        <v>545</v>
      </c>
      <c r="AJ1125" t="s">
        <v>228</v>
      </c>
      <c r="AK1125" t="s">
        <v>229</v>
      </c>
      <c r="AL1125" t="s">
        <v>46</v>
      </c>
      <c r="AP1125" t="s">
        <v>230</v>
      </c>
      <c r="AQ1125" t="s">
        <v>231</v>
      </c>
      <c r="AT1125" t="s">
        <v>232</v>
      </c>
      <c r="AU1125">
        <v>-99</v>
      </c>
      <c r="AV1125" t="s">
        <v>45</v>
      </c>
      <c r="AW1125">
        <v>-801</v>
      </c>
      <c r="AX1125">
        <v>42078950</v>
      </c>
      <c r="AY1125" s="73">
        <v>45356.895798611113</v>
      </c>
      <c r="AZ1125" t="s">
        <v>226</v>
      </c>
      <c r="BA1125" t="s">
        <v>545</v>
      </c>
      <c r="BB1125" t="s">
        <v>228</v>
      </c>
      <c r="BC1125" t="s">
        <v>229</v>
      </c>
      <c r="BD1125" t="s">
        <v>46</v>
      </c>
      <c r="BI1125" t="s">
        <v>233</v>
      </c>
      <c r="BJ1125" t="s">
        <v>0</v>
      </c>
      <c r="BK1125">
        <v>42078929</v>
      </c>
      <c r="BN1125" t="s">
        <v>45</v>
      </c>
      <c r="BR1125">
        <v>-801</v>
      </c>
      <c r="BS1125">
        <v>42078950</v>
      </c>
      <c r="BT1125" s="73">
        <v>45356.895798611113</v>
      </c>
      <c r="BU1125" t="s">
        <v>226</v>
      </c>
      <c r="BV1125" t="s">
        <v>545</v>
      </c>
      <c r="BW1125" t="s">
        <v>228</v>
      </c>
      <c r="CH1125" t="s">
        <v>229</v>
      </c>
      <c r="CI1125" t="s">
        <v>46</v>
      </c>
      <c r="CJ1125" t="s">
        <v>226</v>
      </c>
      <c r="CK1125" t="s">
        <v>545</v>
      </c>
      <c r="CL1125" t="s">
        <v>228</v>
      </c>
      <c r="CM1125" t="s">
        <v>234</v>
      </c>
      <c r="CN1125" t="s">
        <v>45</v>
      </c>
      <c r="CO1125">
        <v>-801</v>
      </c>
      <c r="CP1125">
        <v>42078950</v>
      </c>
      <c r="CQ1125" s="73">
        <v>45356.895798611113</v>
      </c>
      <c r="CR1125" t="s">
        <v>229</v>
      </c>
      <c r="CS1125" t="s">
        <v>46</v>
      </c>
      <c r="CU1125" t="s">
        <v>225</v>
      </c>
    </row>
    <row r="1126" spans="1:99">
      <c r="A1126" t="s">
        <v>93</v>
      </c>
      <c r="B1126" t="s">
        <v>98</v>
      </c>
      <c r="J1126" t="s">
        <v>225</v>
      </c>
      <c r="K1126" t="s">
        <v>225</v>
      </c>
      <c r="M1126" s="73">
        <v>45356.895798611113</v>
      </c>
      <c r="N1126">
        <v>42078949</v>
      </c>
      <c r="O1126">
        <v>-40</v>
      </c>
      <c r="P1126" t="s">
        <v>73</v>
      </c>
      <c r="Q1126">
        <v>-40</v>
      </c>
      <c r="R1126" t="s">
        <v>73</v>
      </c>
      <c r="U1126" t="s">
        <v>226</v>
      </c>
      <c r="V1126" t="s">
        <v>545</v>
      </c>
      <c r="W1126" t="s">
        <v>228</v>
      </c>
      <c r="X1126" t="s">
        <v>229</v>
      </c>
      <c r="Y1126" t="s">
        <v>93</v>
      </c>
      <c r="AD1126" t="s">
        <v>73</v>
      </c>
      <c r="AE1126">
        <v>-40</v>
      </c>
      <c r="AF1126">
        <v>42078949</v>
      </c>
      <c r="AG1126" s="73">
        <v>45356.895798611113</v>
      </c>
      <c r="AH1126" t="s">
        <v>226</v>
      </c>
      <c r="AI1126" t="s">
        <v>545</v>
      </c>
      <c r="AJ1126" t="s">
        <v>228</v>
      </c>
      <c r="AK1126" t="s">
        <v>229</v>
      </c>
      <c r="AL1126" t="s">
        <v>93</v>
      </c>
      <c r="AP1126" t="s">
        <v>230</v>
      </c>
      <c r="AQ1126" t="s">
        <v>231</v>
      </c>
      <c r="AT1126" t="s">
        <v>232</v>
      </c>
      <c r="AU1126">
        <v>-99</v>
      </c>
      <c r="AV1126" t="s">
        <v>73</v>
      </c>
      <c r="AW1126">
        <v>-40</v>
      </c>
      <c r="AX1126">
        <v>42078949</v>
      </c>
      <c r="AY1126" s="73">
        <v>45356.895798611113</v>
      </c>
      <c r="AZ1126" t="s">
        <v>226</v>
      </c>
      <c r="BA1126" t="s">
        <v>545</v>
      </c>
      <c r="BB1126" t="s">
        <v>228</v>
      </c>
      <c r="BC1126" t="s">
        <v>229</v>
      </c>
      <c r="BD1126" t="s">
        <v>93</v>
      </c>
      <c r="BI1126" t="s">
        <v>233</v>
      </c>
      <c r="BJ1126" t="s">
        <v>0</v>
      </c>
      <c r="BK1126">
        <v>42078929</v>
      </c>
      <c r="BN1126" t="s">
        <v>73</v>
      </c>
      <c r="BR1126">
        <v>-40</v>
      </c>
      <c r="BS1126">
        <v>42078949</v>
      </c>
      <c r="BT1126" s="73">
        <v>45356.895798611113</v>
      </c>
      <c r="BU1126" t="s">
        <v>226</v>
      </c>
      <c r="BV1126" t="s">
        <v>545</v>
      </c>
      <c r="BW1126" t="s">
        <v>228</v>
      </c>
      <c r="CH1126" t="s">
        <v>229</v>
      </c>
      <c r="CI1126" t="s">
        <v>93</v>
      </c>
      <c r="CJ1126" t="s">
        <v>226</v>
      </c>
      <c r="CK1126" t="s">
        <v>545</v>
      </c>
      <c r="CL1126" t="s">
        <v>228</v>
      </c>
      <c r="CM1126" t="s">
        <v>234</v>
      </c>
      <c r="CN1126" t="s">
        <v>73</v>
      </c>
      <c r="CO1126">
        <v>-40</v>
      </c>
      <c r="CP1126">
        <v>42078949</v>
      </c>
      <c r="CQ1126" s="73">
        <v>45356.895798611113</v>
      </c>
      <c r="CR1126" t="s">
        <v>229</v>
      </c>
      <c r="CS1126" t="s">
        <v>93</v>
      </c>
      <c r="CU1126" t="s">
        <v>225</v>
      </c>
    </row>
    <row r="1127" spans="1:99">
      <c r="A1127" t="s">
        <v>108</v>
      </c>
      <c r="B1127" t="s">
        <v>98</v>
      </c>
      <c r="J1127" t="s">
        <v>225</v>
      </c>
      <c r="K1127" t="s">
        <v>225</v>
      </c>
      <c r="M1127" s="73">
        <v>45356.895798611113</v>
      </c>
      <c r="N1127">
        <v>42078948</v>
      </c>
      <c r="O1127">
        <v>800</v>
      </c>
      <c r="P1127" t="s">
        <v>104</v>
      </c>
      <c r="Q1127">
        <v>800</v>
      </c>
      <c r="R1127" t="s">
        <v>104</v>
      </c>
      <c r="S1127">
        <v>40</v>
      </c>
      <c r="T1127" t="s">
        <v>73</v>
      </c>
      <c r="U1127" t="s">
        <v>226</v>
      </c>
      <c r="V1127" t="s">
        <v>545</v>
      </c>
      <c r="W1127" t="s">
        <v>235</v>
      </c>
      <c r="X1127" t="s">
        <v>229</v>
      </c>
      <c r="Y1127" t="s">
        <v>108</v>
      </c>
      <c r="AD1127" t="s">
        <v>104</v>
      </c>
      <c r="AE1127">
        <v>800</v>
      </c>
      <c r="AF1127">
        <v>42078948</v>
      </c>
      <c r="AG1127" s="73">
        <v>45356.895798611113</v>
      </c>
      <c r="AH1127" t="s">
        <v>226</v>
      </c>
      <c r="AI1127" t="s">
        <v>545</v>
      </c>
      <c r="AJ1127" t="s">
        <v>235</v>
      </c>
      <c r="AK1127" t="s">
        <v>229</v>
      </c>
      <c r="AL1127" t="s">
        <v>108</v>
      </c>
      <c r="AP1127" t="s">
        <v>230</v>
      </c>
      <c r="AQ1127" t="s">
        <v>231</v>
      </c>
      <c r="AT1127" t="s">
        <v>232</v>
      </c>
      <c r="AU1127">
        <v>-99</v>
      </c>
      <c r="AV1127" t="s">
        <v>104</v>
      </c>
      <c r="AW1127">
        <v>800</v>
      </c>
      <c r="AX1127">
        <v>42078948</v>
      </c>
      <c r="AY1127" s="73">
        <v>45356.895798611113</v>
      </c>
      <c r="AZ1127" t="s">
        <v>226</v>
      </c>
      <c r="BA1127" t="s">
        <v>545</v>
      </c>
      <c r="BB1127" t="s">
        <v>235</v>
      </c>
      <c r="BC1127" t="s">
        <v>229</v>
      </c>
      <c r="BD1127" t="s">
        <v>108</v>
      </c>
      <c r="BI1127" t="s">
        <v>233</v>
      </c>
      <c r="BJ1127" t="s">
        <v>0</v>
      </c>
      <c r="BK1127">
        <v>42078929</v>
      </c>
      <c r="BN1127" t="s">
        <v>104</v>
      </c>
      <c r="BO1127">
        <v>42078940</v>
      </c>
      <c r="BR1127">
        <v>800</v>
      </c>
      <c r="BS1127">
        <v>42078948</v>
      </c>
      <c r="BT1127" s="73">
        <v>45356.895798611113</v>
      </c>
      <c r="BU1127" t="s">
        <v>226</v>
      </c>
      <c r="BV1127" t="s">
        <v>545</v>
      </c>
      <c r="BW1127" t="s">
        <v>235</v>
      </c>
      <c r="CH1127" t="s">
        <v>229</v>
      </c>
      <c r="CI1127" t="s">
        <v>108</v>
      </c>
      <c r="CJ1127" t="s">
        <v>226</v>
      </c>
      <c r="CK1127" t="s">
        <v>545</v>
      </c>
      <c r="CL1127" t="s">
        <v>235</v>
      </c>
      <c r="CM1127" t="s">
        <v>236</v>
      </c>
      <c r="CN1127" t="s">
        <v>104</v>
      </c>
      <c r="CO1127">
        <v>800</v>
      </c>
      <c r="CP1127">
        <v>42078948</v>
      </c>
      <c r="CQ1127" s="73">
        <v>45356.895798611113</v>
      </c>
      <c r="CR1127" t="s">
        <v>229</v>
      </c>
      <c r="CS1127" t="s">
        <v>108</v>
      </c>
      <c r="CU1127" t="s">
        <v>225</v>
      </c>
    </row>
    <row r="1128" spans="1:99">
      <c r="A1128" t="s">
        <v>111</v>
      </c>
      <c r="B1128" t="s">
        <v>77</v>
      </c>
      <c r="J1128" t="s">
        <v>225</v>
      </c>
      <c r="K1128" t="s">
        <v>225</v>
      </c>
      <c r="M1128" s="73">
        <v>45356.895798611113</v>
      </c>
      <c r="N1128">
        <v>42078947</v>
      </c>
      <c r="O1128">
        <v>1</v>
      </c>
      <c r="P1128" t="s">
        <v>45</v>
      </c>
      <c r="Q1128">
        <v>1</v>
      </c>
      <c r="R1128" t="s">
        <v>45</v>
      </c>
      <c r="U1128" t="s">
        <v>226</v>
      </c>
      <c r="V1128" t="s">
        <v>545</v>
      </c>
      <c r="W1128" t="s">
        <v>237</v>
      </c>
      <c r="X1128" t="s">
        <v>229</v>
      </c>
      <c r="Y1128" t="s">
        <v>111</v>
      </c>
      <c r="AD1128" t="s">
        <v>45</v>
      </c>
      <c r="AE1128">
        <v>1</v>
      </c>
      <c r="AF1128">
        <v>42078947</v>
      </c>
      <c r="AG1128" s="73">
        <v>45356.895798611113</v>
      </c>
      <c r="AH1128" t="s">
        <v>226</v>
      </c>
      <c r="AI1128" t="s">
        <v>545</v>
      </c>
      <c r="AJ1128" t="s">
        <v>237</v>
      </c>
      <c r="AK1128" t="s">
        <v>229</v>
      </c>
      <c r="AL1128" t="s">
        <v>111</v>
      </c>
      <c r="AP1128" t="s">
        <v>230</v>
      </c>
      <c r="AQ1128" t="s">
        <v>231</v>
      </c>
      <c r="AT1128" t="s">
        <v>232</v>
      </c>
      <c r="AU1128">
        <v>-99</v>
      </c>
      <c r="AV1128" t="s">
        <v>45</v>
      </c>
      <c r="AW1128">
        <v>1</v>
      </c>
      <c r="AX1128">
        <v>42078947</v>
      </c>
      <c r="AY1128" s="73">
        <v>45356.895798611113</v>
      </c>
      <c r="AZ1128" t="s">
        <v>226</v>
      </c>
      <c r="BA1128" t="s">
        <v>545</v>
      </c>
      <c r="BB1128" t="s">
        <v>237</v>
      </c>
      <c r="BC1128" t="s">
        <v>229</v>
      </c>
      <c r="BD1128" t="s">
        <v>111</v>
      </c>
      <c r="BI1128" t="s">
        <v>233</v>
      </c>
      <c r="BJ1128" t="s">
        <v>0</v>
      </c>
      <c r="BK1128">
        <v>42078929</v>
      </c>
      <c r="BN1128" t="s">
        <v>45</v>
      </c>
      <c r="BO1128">
        <v>42078942</v>
      </c>
      <c r="BR1128">
        <v>1</v>
      </c>
      <c r="BS1128">
        <v>42078947</v>
      </c>
      <c r="BT1128" s="73">
        <v>45356.895798611113</v>
      </c>
      <c r="BU1128" t="s">
        <v>226</v>
      </c>
      <c r="BV1128" t="s">
        <v>545</v>
      </c>
      <c r="BW1128" t="s">
        <v>237</v>
      </c>
      <c r="CH1128" t="s">
        <v>229</v>
      </c>
      <c r="CI1128" t="s">
        <v>111</v>
      </c>
      <c r="CJ1128" t="s">
        <v>226</v>
      </c>
      <c r="CK1128" t="s">
        <v>545</v>
      </c>
      <c r="CL1128" t="s">
        <v>237</v>
      </c>
      <c r="CM1128" t="s">
        <v>236</v>
      </c>
      <c r="CN1128" t="s">
        <v>45</v>
      </c>
      <c r="CO1128">
        <v>1</v>
      </c>
      <c r="CP1128">
        <v>42078947</v>
      </c>
      <c r="CQ1128" s="73">
        <v>45356.895798611113</v>
      </c>
      <c r="CR1128" t="s">
        <v>229</v>
      </c>
      <c r="CS1128" t="s">
        <v>111</v>
      </c>
      <c r="CU1128" t="s">
        <v>225</v>
      </c>
    </row>
    <row r="1129" spans="1:99">
      <c r="A1129" t="s">
        <v>52</v>
      </c>
      <c r="B1129" t="s">
        <v>92</v>
      </c>
      <c r="J1129" t="s">
        <v>225</v>
      </c>
      <c r="K1129" t="s">
        <v>225</v>
      </c>
      <c r="M1129" s="73">
        <v>45356.893263888887</v>
      </c>
      <c r="N1129">
        <v>42078875</v>
      </c>
      <c r="O1129">
        <v>-2305</v>
      </c>
      <c r="P1129" t="s">
        <v>45</v>
      </c>
      <c r="Q1129">
        <v>-2305</v>
      </c>
      <c r="R1129" t="s">
        <v>45</v>
      </c>
      <c r="U1129" t="s">
        <v>226</v>
      </c>
      <c r="V1129" t="s">
        <v>546</v>
      </c>
      <c r="W1129" t="s">
        <v>228</v>
      </c>
      <c r="X1129" t="s">
        <v>229</v>
      </c>
      <c r="Y1129" t="s">
        <v>52</v>
      </c>
      <c r="AD1129" t="s">
        <v>45</v>
      </c>
      <c r="AE1129">
        <v>-2305</v>
      </c>
      <c r="AF1129">
        <v>42078875</v>
      </c>
      <c r="AG1129" s="73">
        <v>45356.893263888887</v>
      </c>
      <c r="AH1129" t="s">
        <v>226</v>
      </c>
      <c r="AI1129" t="s">
        <v>546</v>
      </c>
      <c r="AJ1129" t="s">
        <v>228</v>
      </c>
      <c r="AK1129" t="s">
        <v>229</v>
      </c>
      <c r="AL1129" t="s">
        <v>52</v>
      </c>
      <c r="AP1129" t="s">
        <v>230</v>
      </c>
      <c r="AQ1129" t="s">
        <v>231</v>
      </c>
      <c r="AT1129" t="s">
        <v>232</v>
      </c>
      <c r="AU1129">
        <v>-99</v>
      </c>
      <c r="AV1129" t="s">
        <v>45</v>
      </c>
      <c r="AW1129">
        <v>-2305</v>
      </c>
      <c r="AX1129">
        <v>42078875</v>
      </c>
      <c r="AY1129" s="73">
        <v>45356.893263888887</v>
      </c>
      <c r="AZ1129" t="s">
        <v>226</v>
      </c>
      <c r="BA1129" t="s">
        <v>546</v>
      </c>
      <c r="BB1129" t="s">
        <v>228</v>
      </c>
      <c r="BC1129" t="s">
        <v>229</v>
      </c>
      <c r="BD1129" t="s">
        <v>52</v>
      </c>
      <c r="BI1129" t="s">
        <v>233</v>
      </c>
      <c r="BJ1129" t="s">
        <v>0</v>
      </c>
      <c r="BK1129">
        <v>42078852</v>
      </c>
      <c r="BN1129" t="s">
        <v>45</v>
      </c>
      <c r="BR1129">
        <v>-2305</v>
      </c>
      <c r="BS1129">
        <v>42078875</v>
      </c>
      <c r="BT1129" s="73">
        <v>45356.893263888887</v>
      </c>
      <c r="BU1129" t="s">
        <v>226</v>
      </c>
      <c r="BV1129" t="s">
        <v>546</v>
      </c>
      <c r="BW1129" t="s">
        <v>228</v>
      </c>
      <c r="CH1129" t="s">
        <v>229</v>
      </c>
      <c r="CI1129" t="s">
        <v>52</v>
      </c>
      <c r="CJ1129" t="s">
        <v>226</v>
      </c>
      <c r="CK1129" t="s">
        <v>546</v>
      </c>
      <c r="CL1129" t="s">
        <v>228</v>
      </c>
      <c r="CM1129" t="s">
        <v>234</v>
      </c>
      <c r="CN1129" t="s">
        <v>45</v>
      </c>
      <c r="CO1129">
        <v>-2305</v>
      </c>
      <c r="CP1129">
        <v>42078875</v>
      </c>
      <c r="CQ1129" s="73">
        <v>45356.893263888887</v>
      </c>
      <c r="CR1129" t="s">
        <v>229</v>
      </c>
      <c r="CS1129" t="s">
        <v>52</v>
      </c>
      <c r="CU1129" t="s">
        <v>225</v>
      </c>
    </row>
    <row r="1130" spans="1:99">
      <c r="A1130" t="s">
        <v>101</v>
      </c>
      <c r="B1130" t="s">
        <v>98</v>
      </c>
      <c r="J1130" t="s">
        <v>225</v>
      </c>
      <c r="K1130" t="s">
        <v>225</v>
      </c>
      <c r="M1130" s="73">
        <v>45356.893263888887</v>
      </c>
      <c r="N1130">
        <v>42078874</v>
      </c>
      <c r="O1130">
        <v>-114.6</v>
      </c>
      <c r="P1130" t="s">
        <v>73</v>
      </c>
      <c r="Q1130">
        <v>-114.6</v>
      </c>
      <c r="R1130" t="s">
        <v>73</v>
      </c>
      <c r="U1130" t="s">
        <v>226</v>
      </c>
      <c r="V1130" t="s">
        <v>546</v>
      </c>
      <c r="W1130" t="s">
        <v>228</v>
      </c>
      <c r="X1130" t="s">
        <v>229</v>
      </c>
      <c r="Y1130" t="s">
        <v>101</v>
      </c>
      <c r="AD1130" t="s">
        <v>73</v>
      </c>
      <c r="AE1130">
        <v>-114.6</v>
      </c>
      <c r="AF1130">
        <v>42078874</v>
      </c>
      <c r="AG1130" s="73">
        <v>45356.893263888887</v>
      </c>
      <c r="AH1130" t="s">
        <v>226</v>
      </c>
      <c r="AI1130" t="s">
        <v>546</v>
      </c>
      <c r="AJ1130" t="s">
        <v>228</v>
      </c>
      <c r="AK1130" t="s">
        <v>229</v>
      </c>
      <c r="AL1130" t="s">
        <v>101</v>
      </c>
      <c r="AP1130" t="s">
        <v>230</v>
      </c>
      <c r="AQ1130" t="s">
        <v>231</v>
      </c>
      <c r="AT1130" t="s">
        <v>232</v>
      </c>
      <c r="AU1130">
        <v>-99</v>
      </c>
      <c r="AV1130" t="s">
        <v>73</v>
      </c>
      <c r="AW1130">
        <v>-114.6</v>
      </c>
      <c r="AX1130">
        <v>42078874</v>
      </c>
      <c r="AY1130" s="73">
        <v>45356.893263888887</v>
      </c>
      <c r="AZ1130" t="s">
        <v>226</v>
      </c>
      <c r="BA1130" t="s">
        <v>546</v>
      </c>
      <c r="BB1130" t="s">
        <v>228</v>
      </c>
      <c r="BC1130" t="s">
        <v>229</v>
      </c>
      <c r="BD1130" t="s">
        <v>101</v>
      </c>
      <c r="BI1130" t="s">
        <v>233</v>
      </c>
      <c r="BJ1130" t="s">
        <v>0</v>
      </c>
      <c r="BK1130">
        <v>42078852</v>
      </c>
      <c r="BN1130" t="s">
        <v>73</v>
      </c>
      <c r="BR1130">
        <v>-114.6</v>
      </c>
      <c r="BS1130">
        <v>42078874</v>
      </c>
      <c r="BT1130" s="73">
        <v>45356.893263888887</v>
      </c>
      <c r="BU1130" t="s">
        <v>226</v>
      </c>
      <c r="BV1130" t="s">
        <v>546</v>
      </c>
      <c r="BW1130" t="s">
        <v>228</v>
      </c>
      <c r="CH1130" t="s">
        <v>229</v>
      </c>
      <c r="CI1130" t="s">
        <v>101</v>
      </c>
      <c r="CJ1130" t="s">
        <v>226</v>
      </c>
      <c r="CK1130" t="s">
        <v>546</v>
      </c>
      <c r="CL1130" t="s">
        <v>228</v>
      </c>
      <c r="CM1130" t="s">
        <v>234</v>
      </c>
      <c r="CN1130" t="s">
        <v>73</v>
      </c>
      <c r="CO1130">
        <v>-114.6</v>
      </c>
      <c r="CP1130">
        <v>42078874</v>
      </c>
      <c r="CQ1130" s="73">
        <v>45356.893263888887</v>
      </c>
      <c r="CR1130" t="s">
        <v>229</v>
      </c>
      <c r="CS1130" t="s">
        <v>101</v>
      </c>
      <c r="CU1130" t="s">
        <v>225</v>
      </c>
    </row>
    <row r="1131" spans="1:99">
      <c r="A1131" t="s">
        <v>107</v>
      </c>
      <c r="B1131" t="s">
        <v>98</v>
      </c>
      <c r="J1131" t="s">
        <v>225</v>
      </c>
      <c r="K1131" t="s">
        <v>225</v>
      </c>
      <c r="M1131" s="73">
        <v>45356.893263888887</v>
      </c>
      <c r="N1131">
        <v>42078873</v>
      </c>
      <c r="O1131">
        <v>2292</v>
      </c>
      <c r="P1131" t="s">
        <v>104</v>
      </c>
      <c r="Q1131">
        <v>2292</v>
      </c>
      <c r="R1131" t="s">
        <v>104</v>
      </c>
      <c r="S1131">
        <v>114.6</v>
      </c>
      <c r="T1131" t="s">
        <v>73</v>
      </c>
      <c r="U1131" t="s">
        <v>226</v>
      </c>
      <c r="V1131" t="s">
        <v>546</v>
      </c>
      <c r="W1131" t="s">
        <v>235</v>
      </c>
      <c r="X1131" t="s">
        <v>229</v>
      </c>
      <c r="Y1131" t="s">
        <v>107</v>
      </c>
      <c r="AD1131" t="s">
        <v>104</v>
      </c>
      <c r="AE1131">
        <v>2292</v>
      </c>
      <c r="AF1131">
        <v>42078873</v>
      </c>
      <c r="AG1131" s="73">
        <v>45356.893263888887</v>
      </c>
      <c r="AH1131" t="s">
        <v>226</v>
      </c>
      <c r="AI1131" t="s">
        <v>546</v>
      </c>
      <c r="AJ1131" t="s">
        <v>235</v>
      </c>
      <c r="AK1131" t="s">
        <v>229</v>
      </c>
      <c r="AL1131" t="s">
        <v>107</v>
      </c>
      <c r="AP1131" t="s">
        <v>230</v>
      </c>
      <c r="AQ1131" t="s">
        <v>231</v>
      </c>
      <c r="AT1131" t="s">
        <v>232</v>
      </c>
      <c r="AU1131">
        <v>-99</v>
      </c>
      <c r="AV1131" t="s">
        <v>104</v>
      </c>
      <c r="AW1131">
        <v>2292</v>
      </c>
      <c r="AX1131">
        <v>42078873</v>
      </c>
      <c r="AY1131" s="73">
        <v>45356.893263888887</v>
      </c>
      <c r="AZ1131" t="s">
        <v>226</v>
      </c>
      <c r="BA1131" t="s">
        <v>546</v>
      </c>
      <c r="BB1131" t="s">
        <v>235</v>
      </c>
      <c r="BC1131" t="s">
        <v>229</v>
      </c>
      <c r="BD1131" t="s">
        <v>107</v>
      </c>
      <c r="BI1131" t="s">
        <v>233</v>
      </c>
      <c r="BJ1131" t="s">
        <v>0</v>
      </c>
      <c r="BK1131">
        <v>42078852</v>
      </c>
      <c r="BN1131" t="s">
        <v>104</v>
      </c>
      <c r="BO1131">
        <v>42078865</v>
      </c>
      <c r="BR1131">
        <v>2292</v>
      </c>
      <c r="BS1131">
        <v>42078873</v>
      </c>
      <c r="BT1131" s="73">
        <v>45356.893263888887</v>
      </c>
      <c r="BU1131" t="s">
        <v>226</v>
      </c>
      <c r="BV1131" t="s">
        <v>546</v>
      </c>
      <c r="BW1131" t="s">
        <v>235</v>
      </c>
      <c r="CH1131" t="s">
        <v>229</v>
      </c>
      <c r="CI1131" t="s">
        <v>107</v>
      </c>
      <c r="CJ1131" t="s">
        <v>226</v>
      </c>
      <c r="CK1131" t="s">
        <v>546</v>
      </c>
      <c r="CL1131" t="s">
        <v>235</v>
      </c>
      <c r="CM1131" t="s">
        <v>236</v>
      </c>
      <c r="CN1131" t="s">
        <v>104</v>
      </c>
      <c r="CO1131">
        <v>2292</v>
      </c>
      <c r="CP1131">
        <v>42078873</v>
      </c>
      <c r="CQ1131" s="73">
        <v>45356.893263888887</v>
      </c>
      <c r="CR1131" t="s">
        <v>229</v>
      </c>
      <c r="CS1131" t="s">
        <v>107</v>
      </c>
      <c r="CU1131" t="s">
        <v>225</v>
      </c>
    </row>
    <row r="1132" spans="1:99">
      <c r="A1132" t="s">
        <v>111</v>
      </c>
      <c r="B1132" t="s">
        <v>77</v>
      </c>
      <c r="J1132" t="s">
        <v>225</v>
      </c>
      <c r="K1132" t="s">
        <v>225</v>
      </c>
      <c r="M1132" s="73">
        <v>45356.893263888887</v>
      </c>
      <c r="N1132">
        <v>42078872</v>
      </c>
      <c r="O1132">
        <v>13</v>
      </c>
      <c r="P1132" t="s">
        <v>45</v>
      </c>
      <c r="Q1132">
        <v>13</v>
      </c>
      <c r="R1132" t="s">
        <v>45</v>
      </c>
      <c r="U1132" t="s">
        <v>226</v>
      </c>
      <c r="V1132" t="s">
        <v>546</v>
      </c>
      <c r="W1132" t="s">
        <v>237</v>
      </c>
      <c r="X1132" t="s">
        <v>229</v>
      </c>
      <c r="Y1132" t="s">
        <v>111</v>
      </c>
      <c r="AD1132" t="s">
        <v>45</v>
      </c>
      <c r="AE1132">
        <v>13</v>
      </c>
      <c r="AF1132">
        <v>42078872</v>
      </c>
      <c r="AG1132" s="73">
        <v>45356.893263888887</v>
      </c>
      <c r="AH1132" t="s">
        <v>226</v>
      </c>
      <c r="AI1132" t="s">
        <v>546</v>
      </c>
      <c r="AJ1132" t="s">
        <v>237</v>
      </c>
      <c r="AK1132" t="s">
        <v>229</v>
      </c>
      <c r="AL1132" t="s">
        <v>111</v>
      </c>
      <c r="AP1132" t="s">
        <v>230</v>
      </c>
      <c r="AQ1132" t="s">
        <v>231</v>
      </c>
      <c r="AT1132" t="s">
        <v>232</v>
      </c>
      <c r="AU1132">
        <v>-99</v>
      </c>
      <c r="AV1132" t="s">
        <v>45</v>
      </c>
      <c r="AW1132">
        <v>13</v>
      </c>
      <c r="AX1132">
        <v>42078872</v>
      </c>
      <c r="AY1132" s="73">
        <v>45356.893263888887</v>
      </c>
      <c r="AZ1132" t="s">
        <v>226</v>
      </c>
      <c r="BA1132" t="s">
        <v>546</v>
      </c>
      <c r="BB1132" t="s">
        <v>237</v>
      </c>
      <c r="BC1132" t="s">
        <v>229</v>
      </c>
      <c r="BD1132" t="s">
        <v>111</v>
      </c>
      <c r="BI1132" t="s">
        <v>233</v>
      </c>
      <c r="BJ1132" t="s">
        <v>0</v>
      </c>
      <c r="BK1132">
        <v>42078852</v>
      </c>
      <c r="BN1132" t="s">
        <v>45</v>
      </c>
      <c r="BO1132">
        <v>42078867</v>
      </c>
      <c r="BR1132">
        <v>13</v>
      </c>
      <c r="BS1132">
        <v>42078872</v>
      </c>
      <c r="BT1132" s="73">
        <v>45356.893263888887</v>
      </c>
      <c r="BU1132" t="s">
        <v>226</v>
      </c>
      <c r="BV1132" t="s">
        <v>546</v>
      </c>
      <c r="BW1132" t="s">
        <v>237</v>
      </c>
      <c r="CH1132" t="s">
        <v>229</v>
      </c>
      <c r="CI1132" t="s">
        <v>111</v>
      </c>
      <c r="CJ1132" t="s">
        <v>226</v>
      </c>
      <c r="CK1132" t="s">
        <v>546</v>
      </c>
      <c r="CL1132" t="s">
        <v>237</v>
      </c>
      <c r="CM1132" t="s">
        <v>236</v>
      </c>
      <c r="CN1132" t="s">
        <v>45</v>
      </c>
      <c r="CO1132">
        <v>13</v>
      </c>
      <c r="CP1132">
        <v>42078872</v>
      </c>
      <c r="CQ1132" s="73">
        <v>45356.893263888887</v>
      </c>
      <c r="CR1132" t="s">
        <v>229</v>
      </c>
      <c r="CS1132" t="s">
        <v>111</v>
      </c>
      <c r="CU1132" t="s">
        <v>225</v>
      </c>
    </row>
    <row r="1133" spans="1:99">
      <c r="A1133" t="s">
        <v>42</v>
      </c>
      <c r="B1133" t="s">
        <v>92</v>
      </c>
      <c r="J1133" t="s">
        <v>225</v>
      </c>
      <c r="K1133" t="s">
        <v>225</v>
      </c>
      <c r="M1133" s="73">
        <v>45356.609722222223</v>
      </c>
      <c r="N1133">
        <v>42079161</v>
      </c>
      <c r="O1133">
        <v>-6022</v>
      </c>
      <c r="P1133" t="s">
        <v>45</v>
      </c>
      <c r="Q1133">
        <v>-6022</v>
      </c>
      <c r="R1133" t="s">
        <v>45</v>
      </c>
      <c r="U1133" t="s">
        <v>226</v>
      </c>
      <c r="V1133" t="s">
        <v>547</v>
      </c>
      <c r="W1133" t="s">
        <v>228</v>
      </c>
      <c r="X1133" t="s">
        <v>229</v>
      </c>
      <c r="Y1133" t="s">
        <v>42</v>
      </c>
      <c r="AD1133" t="s">
        <v>45</v>
      </c>
      <c r="AE1133">
        <v>-6022</v>
      </c>
      <c r="AF1133">
        <v>42079161</v>
      </c>
      <c r="AG1133" s="73">
        <v>45356.609722222223</v>
      </c>
      <c r="AH1133" t="s">
        <v>226</v>
      </c>
      <c r="AI1133" t="s">
        <v>547</v>
      </c>
      <c r="AJ1133" t="s">
        <v>228</v>
      </c>
      <c r="AK1133" t="s">
        <v>229</v>
      </c>
      <c r="AL1133" t="s">
        <v>42</v>
      </c>
      <c r="AP1133" t="s">
        <v>230</v>
      </c>
      <c r="AQ1133" t="s">
        <v>231</v>
      </c>
      <c r="AT1133" t="s">
        <v>232</v>
      </c>
      <c r="AU1133">
        <v>-99</v>
      </c>
      <c r="AV1133" t="s">
        <v>45</v>
      </c>
      <c r="AW1133">
        <v>-6022</v>
      </c>
      <c r="AX1133">
        <v>42079161</v>
      </c>
      <c r="AY1133" s="73">
        <v>45356.609722222223</v>
      </c>
      <c r="AZ1133" t="s">
        <v>226</v>
      </c>
      <c r="BA1133" t="s">
        <v>547</v>
      </c>
      <c r="BB1133" t="s">
        <v>228</v>
      </c>
      <c r="BC1133" t="s">
        <v>229</v>
      </c>
      <c r="BD1133" t="s">
        <v>42</v>
      </c>
      <c r="BI1133" t="s">
        <v>233</v>
      </c>
      <c r="BJ1133" t="s">
        <v>0</v>
      </c>
      <c r="BK1133">
        <v>42079145</v>
      </c>
      <c r="BN1133" t="s">
        <v>45</v>
      </c>
      <c r="BR1133">
        <v>-6022</v>
      </c>
      <c r="BS1133">
        <v>42079161</v>
      </c>
      <c r="BT1133" s="73">
        <v>45356.609722222223</v>
      </c>
      <c r="BU1133" t="s">
        <v>226</v>
      </c>
      <c r="BV1133" t="s">
        <v>547</v>
      </c>
      <c r="BW1133" t="s">
        <v>228</v>
      </c>
      <c r="CH1133" t="s">
        <v>229</v>
      </c>
      <c r="CI1133" t="s">
        <v>42</v>
      </c>
      <c r="CJ1133" t="s">
        <v>226</v>
      </c>
      <c r="CK1133" t="s">
        <v>547</v>
      </c>
      <c r="CL1133" t="s">
        <v>228</v>
      </c>
      <c r="CM1133" t="s">
        <v>234</v>
      </c>
      <c r="CN1133" t="s">
        <v>45</v>
      </c>
      <c r="CO1133">
        <v>-6022</v>
      </c>
      <c r="CP1133">
        <v>42079161</v>
      </c>
      <c r="CQ1133" s="73">
        <v>45356.609722222223</v>
      </c>
      <c r="CR1133" t="s">
        <v>229</v>
      </c>
      <c r="CS1133" t="s">
        <v>42</v>
      </c>
      <c r="CU1133" t="s">
        <v>225</v>
      </c>
    </row>
    <row r="1134" spans="1:99">
      <c r="A1134" t="s">
        <v>99</v>
      </c>
      <c r="B1134" t="s">
        <v>98</v>
      </c>
      <c r="J1134" t="s">
        <v>225</v>
      </c>
      <c r="K1134" t="s">
        <v>225</v>
      </c>
      <c r="M1134" s="73">
        <v>45356.609722222223</v>
      </c>
      <c r="N1134">
        <v>42079160</v>
      </c>
      <c r="O1134">
        <v>-300.5</v>
      </c>
      <c r="P1134" t="s">
        <v>73</v>
      </c>
      <c r="Q1134">
        <v>-300.5</v>
      </c>
      <c r="R1134" t="s">
        <v>73</v>
      </c>
      <c r="U1134" t="s">
        <v>226</v>
      </c>
      <c r="V1134" t="s">
        <v>547</v>
      </c>
      <c r="W1134" t="s">
        <v>228</v>
      </c>
      <c r="X1134" t="s">
        <v>229</v>
      </c>
      <c r="Y1134" t="s">
        <v>99</v>
      </c>
      <c r="AD1134" t="s">
        <v>73</v>
      </c>
      <c r="AE1134">
        <v>-300.5</v>
      </c>
      <c r="AF1134">
        <v>42079160</v>
      </c>
      <c r="AG1134" s="73">
        <v>45356.609722222223</v>
      </c>
      <c r="AH1134" t="s">
        <v>226</v>
      </c>
      <c r="AI1134" t="s">
        <v>547</v>
      </c>
      <c r="AJ1134" t="s">
        <v>228</v>
      </c>
      <c r="AK1134" t="s">
        <v>229</v>
      </c>
      <c r="AL1134" t="s">
        <v>99</v>
      </c>
      <c r="AP1134" t="s">
        <v>230</v>
      </c>
      <c r="AQ1134" t="s">
        <v>231</v>
      </c>
      <c r="AT1134" t="s">
        <v>232</v>
      </c>
      <c r="AU1134">
        <v>-99</v>
      </c>
      <c r="AV1134" t="s">
        <v>73</v>
      </c>
      <c r="AW1134">
        <v>-300.5</v>
      </c>
      <c r="AX1134">
        <v>42079160</v>
      </c>
      <c r="AY1134" s="73">
        <v>45356.609722222223</v>
      </c>
      <c r="AZ1134" t="s">
        <v>226</v>
      </c>
      <c r="BA1134" t="s">
        <v>547</v>
      </c>
      <c r="BB1134" t="s">
        <v>228</v>
      </c>
      <c r="BC1134" t="s">
        <v>229</v>
      </c>
      <c r="BD1134" t="s">
        <v>99</v>
      </c>
      <c r="BI1134" t="s">
        <v>233</v>
      </c>
      <c r="BJ1134" t="s">
        <v>0</v>
      </c>
      <c r="BK1134">
        <v>42079145</v>
      </c>
      <c r="BN1134" t="s">
        <v>73</v>
      </c>
      <c r="BR1134">
        <v>-300.5</v>
      </c>
      <c r="BS1134">
        <v>42079160</v>
      </c>
      <c r="BT1134" s="73">
        <v>45356.609722222223</v>
      </c>
      <c r="BU1134" t="s">
        <v>226</v>
      </c>
      <c r="BV1134" t="s">
        <v>547</v>
      </c>
      <c r="BW1134" t="s">
        <v>228</v>
      </c>
      <c r="CH1134" t="s">
        <v>229</v>
      </c>
      <c r="CI1134" t="s">
        <v>99</v>
      </c>
      <c r="CJ1134" t="s">
        <v>226</v>
      </c>
      <c r="CK1134" t="s">
        <v>547</v>
      </c>
      <c r="CL1134" t="s">
        <v>228</v>
      </c>
      <c r="CM1134" t="s">
        <v>234</v>
      </c>
      <c r="CN1134" t="s">
        <v>73</v>
      </c>
      <c r="CO1134">
        <v>-300.5</v>
      </c>
      <c r="CP1134">
        <v>42079160</v>
      </c>
      <c r="CQ1134" s="73">
        <v>45356.609722222223</v>
      </c>
      <c r="CR1134" t="s">
        <v>229</v>
      </c>
      <c r="CS1134" t="s">
        <v>99</v>
      </c>
      <c r="CU1134" t="s">
        <v>225</v>
      </c>
    </row>
    <row r="1135" spans="1:99">
      <c r="A1135" t="s">
        <v>103</v>
      </c>
      <c r="B1135" t="s">
        <v>98</v>
      </c>
      <c r="J1135" t="s">
        <v>225</v>
      </c>
      <c r="K1135" t="s">
        <v>225</v>
      </c>
      <c r="M1135" s="73">
        <v>45356.609722222223</v>
      </c>
      <c r="N1135">
        <v>42079159</v>
      </c>
      <c r="O1135">
        <v>6010</v>
      </c>
      <c r="P1135" t="s">
        <v>104</v>
      </c>
      <c r="Q1135">
        <v>6010</v>
      </c>
      <c r="R1135" t="s">
        <v>104</v>
      </c>
      <c r="S1135">
        <v>300.5</v>
      </c>
      <c r="T1135" t="s">
        <v>73</v>
      </c>
      <c r="U1135" t="s">
        <v>226</v>
      </c>
      <c r="V1135" t="s">
        <v>547</v>
      </c>
      <c r="W1135" t="s">
        <v>235</v>
      </c>
      <c r="X1135" t="s">
        <v>229</v>
      </c>
      <c r="Y1135" t="s">
        <v>103</v>
      </c>
      <c r="AD1135" t="s">
        <v>104</v>
      </c>
      <c r="AE1135">
        <v>6010</v>
      </c>
      <c r="AF1135">
        <v>42079159</v>
      </c>
      <c r="AG1135" s="73">
        <v>45356.609722222223</v>
      </c>
      <c r="AH1135" t="s">
        <v>226</v>
      </c>
      <c r="AI1135" t="s">
        <v>547</v>
      </c>
      <c r="AJ1135" t="s">
        <v>235</v>
      </c>
      <c r="AK1135" t="s">
        <v>229</v>
      </c>
      <c r="AL1135" t="s">
        <v>103</v>
      </c>
      <c r="AP1135" t="s">
        <v>230</v>
      </c>
      <c r="AQ1135" t="s">
        <v>231</v>
      </c>
      <c r="AT1135" t="s">
        <v>232</v>
      </c>
      <c r="AU1135">
        <v>-99</v>
      </c>
      <c r="AV1135" t="s">
        <v>104</v>
      </c>
      <c r="AW1135">
        <v>6010</v>
      </c>
      <c r="AX1135">
        <v>42079159</v>
      </c>
      <c r="AY1135" s="73">
        <v>45356.609722222223</v>
      </c>
      <c r="AZ1135" t="s">
        <v>226</v>
      </c>
      <c r="BA1135" t="s">
        <v>547</v>
      </c>
      <c r="BB1135" t="s">
        <v>235</v>
      </c>
      <c r="BC1135" t="s">
        <v>229</v>
      </c>
      <c r="BD1135" t="s">
        <v>103</v>
      </c>
      <c r="BI1135" t="s">
        <v>233</v>
      </c>
      <c r="BJ1135" t="s">
        <v>0</v>
      </c>
      <c r="BK1135">
        <v>42079145</v>
      </c>
      <c r="BN1135" t="s">
        <v>104</v>
      </c>
      <c r="BO1135">
        <v>42079151</v>
      </c>
      <c r="BR1135">
        <v>6010</v>
      </c>
      <c r="BS1135">
        <v>42079159</v>
      </c>
      <c r="BT1135" s="73">
        <v>45356.609722222223</v>
      </c>
      <c r="BU1135" t="s">
        <v>226</v>
      </c>
      <c r="BV1135" t="s">
        <v>547</v>
      </c>
      <c r="BW1135" t="s">
        <v>235</v>
      </c>
      <c r="CH1135" t="s">
        <v>229</v>
      </c>
      <c r="CI1135" t="s">
        <v>103</v>
      </c>
      <c r="CJ1135" t="s">
        <v>226</v>
      </c>
      <c r="CK1135" t="s">
        <v>547</v>
      </c>
      <c r="CL1135" t="s">
        <v>235</v>
      </c>
      <c r="CM1135" t="s">
        <v>236</v>
      </c>
      <c r="CN1135" t="s">
        <v>104</v>
      </c>
      <c r="CO1135">
        <v>6010</v>
      </c>
      <c r="CP1135">
        <v>42079159</v>
      </c>
      <c r="CQ1135" s="73">
        <v>45356.609722222223</v>
      </c>
      <c r="CR1135" t="s">
        <v>229</v>
      </c>
      <c r="CS1135" t="s">
        <v>103</v>
      </c>
      <c r="CU1135" t="s">
        <v>225</v>
      </c>
    </row>
    <row r="1136" spans="1:99">
      <c r="A1136" t="s">
        <v>111</v>
      </c>
      <c r="B1136" t="s">
        <v>77</v>
      </c>
      <c r="J1136" t="s">
        <v>225</v>
      </c>
      <c r="K1136" t="s">
        <v>225</v>
      </c>
      <c r="M1136" s="73">
        <v>45356.609722222223</v>
      </c>
      <c r="N1136">
        <v>42079158</v>
      </c>
      <c r="O1136">
        <v>12</v>
      </c>
      <c r="P1136" t="s">
        <v>45</v>
      </c>
      <c r="Q1136">
        <v>12</v>
      </c>
      <c r="R1136" t="s">
        <v>45</v>
      </c>
      <c r="U1136" t="s">
        <v>226</v>
      </c>
      <c r="V1136" t="s">
        <v>547</v>
      </c>
      <c r="W1136" t="s">
        <v>237</v>
      </c>
      <c r="X1136" t="s">
        <v>229</v>
      </c>
      <c r="Y1136" t="s">
        <v>111</v>
      </c>
      <c r="AD1136" t="s">
        <v>45</v>
      </c>
      <c r="AE1136">
        <v>12</v>
      </c>
      <c r="AF1136">
        <v>42079158</v>
      </c>
      <c r="AG1136" s="73">
        <v>45356.609722222223</v>
      </c>
      <c r="AH1136" t="s">
        <v>226</v>
      </c>
      <c r="AI1136" t="s">
        <v>547</v>
      </c>
      <c r="AJ1136" t="s">
        <v>237</v>
      </c>
      <c r="AK1136" t="s">
        <v>229</v>
      </c>
      <c r="AL1136" t="s">
        <v>111</v>
      </c>
      <c r="AP1136" t="s">
        <v>230</v>
      </c>
      <c r="AQ1136" t="s">
        <v>231</v>
      </c>
      <c r="AT1136" t="s">
        <v>232</v>
      </c>
      <c r="AU1136">
        <v>-99</v>
      </c>
      <c r="AV1136" t="s">
        <v>45</v>
      </c>
      <c r="AW1136">
        <v>12</v>
      </c>
      <c r="AX1136">
        <v>42079158</v>
      </c>
      <c r="AY1136" s="73">
        <v>45356.609722222223</v>
      </c>
      <c r="AZ1136" t="s">
        <v>226</v>
      </c>
      <c r="BA1136" t="s">
        <v>547</v>
      </c>
      <c r="BB1136" t="s">
        <v>237</v>
      </c>
      <c r="BC1136" t="s">
        <v>229</v>
      </c>
      <c r="BD1136" t="s">
        <v>111</v>
      </c>
      <c r="BI1136" t="s">
        <v>233</v>
      </c>
      <c r="BJ1136" t="s">
        <v>0</v>
      </c>
      <c r="BK1136">
        <v>42079145</v>
      </c>
      <c r="BN1136" t="s">
        <v>45</v>
      </c>
      <c r="BO1136">
        <v>42079153</v>
      </c>
      <c r="BR1136">
        <v>12</v>
      </c>
      <c r="BS1136">
        <v>42079158</v>
      </c>
      <c r="BT1136" s="73">
        <v>45356.609722222223</v>
      </c>
      <c r="BU1136" t="s">
        <v>226</v>
      </c>
      <c r="BV1136" t="s">
        <v>547</v>
      </c>
      <c r="BW1136" t="s">
        <v>237</v>
      </c>
      <c r="CH1136" t="s">
        <v>229</v>
      </c>
      <c r="CI1136" t="s">
        <v>111</v>
      </c>
      <c r="CJ1136" t="s">
        <v>226</v>
      </c>
      <c r="CK1136" t="s">
        <v>547</v>
      </c>
      <c r="CL1136" t="s">
        <v>237</v>
      </c>
      <c r="CM1136" t="s">
        <v>236</v>
      </c>
      <c r="CN1136" t="s">
        <v>45</v>
      </c>
      <c r="CO1136">
        <v>12</v>
      </c>
      <c r="CP1136">
        <v>42079158</v>
      </c>
      <c r="CQ1136" s="73">
        <v>45356.609722222223</v>
      </c>
      <c r="CR1136" t="s">
        <v>229</v>
      </c>
      <c r="CS1136" t="s">
        <v>111</v>
      </c>
      <c r="CU1136" t="s">
        <v>225</v>
      </c>
    </row>
    <row r="1137" spans="1:99">
      <c r="A1137" t="s">
        <v>42</v>
      </c>
      <c r="B1137" t="s">
        <v>92</v>
      </c>
      <c r="J1137" t="s">
        <v>225</v>
      </c>
      <c r="K1137" t="s">
        <v>225</v>
      </c>
      <c r="M1137" s="73">
        <v>45356.583333333336</v>
      </c>
      <c r="N1137">
        <v>42079255</v>
      </c>
      <c r="O1137">
        <v>-4207</v>
      </c>
      <c r="P1137" t="s">
        <v>45</v>
      </c>
      <c r="Q1137">
        <v>-4207</v>
      </c>
      <c r="R1137" t="s">
        <v>45</v>
      </c>
      <c r="U1137" t="s">
        <v>226</v>
      </c>
      <c r="V1137" t="s">
        <v>548</v>
      </c>
      <c r="W1137" t="s">
        <v>228</v>
      </c>
      <c r="X1137" t="s">
        <v>229</v>
      </c>
      <c r="Y1137" t="s">
        <v>42</v>
      </c>
      <c r="AD1137" t="s">
        <v>45</v>
      </c>
      <c r="AE1137">
        <v>-4207</v>
      </c>
      <c r="AF1137">
        <v>42079255</v>
      </c>
      <c r="AG1137" s="73">
        <v>45356.583333333336</v>
      </c>
      <c r="AH1137" t="s">
        <v>226</v>
      </c>
      <c r="AI1137" t="s">
        <v>548</v>
      </c>
      <c r="AJ1137" t="s">
        <v>228</v>
      </c>
      <c r="AK1137" t="s">
        <v>229</v>
      </c>
      <c r="AL1137" t="s">
        <v>42</v>
      </c>
      <c r="AP1137" t="s">
        <v>230</v>
      </c>
      <c r="AQ1137" t="s">
        <v>231</v>
      </c>
      <c r="AT1137" t="s">
        <v>232</v>
      </c>
      <c r="AU1137">
        <v>-99</v>
      </c>
      <c r="AV1137" t="s">
        <v>45</v>
      </c>
      <c r="AW1137">
        <v>-4207</v>
      </c>
      <c r="AX1137">
        <v>42079255</v>
      </c>
      <c r="AY1137" s="73">
        <v>45356.583333333336</v>
      </c>
      <c r="AZ1137" t="s">
        <v>226</v>
      </c>
      <c r="BA1137" t="s">
        <v>548</v>
      </c>
      <c r="BB1137" t="s">
        <v>228</v>
      </c>
      <c r="BC1137" t="s">
        <v>229</v>
      </c>
      <c r="BD1137" t="s">
        <v>42</v>
      </c>
      <c r="BI1137" t="s">
        <v>233</v>
      </c>
      <c r="BJ1137" t="s">
        <v>0</v>
      </c>
      <c r="BK1137">
        <v>42079237</v>
      </c>
      <c r="BN1137" t="s">
        <v>45</v>
      </c>
      <c r="BR1137">
        <v>-4207</v>
      </c>
      <c r="BS1137">
        <v>42079255</v>
      </c>
      <c r="BT1137" s="73">
        <v>45356.583333333336</v>
      </c>
      <c r="BU1137" t="s">
        <v>226</v>
      </c>
      <c r="BV1137" t="s">
        <v>548</v>
      </c>
      <c r="BW1137" t="s">
        <v>228</v>
      </c>
      <c r="CH1137" t="s">
        <v>229</v>
      </c>
      <c r="CI1137" t="s">
        <v>42</v>
      </c>
      <c r="CJ1137" t="s">
        <v>226</v>
      </c>
      <c r="CK1137" t="s">
        <v>548</v>
      </c>
      <c r="CL1137" t="s">
        <v>228</v>
      </c>
      <c r="CM1137" t="s">
        <v>234</v>
      </c>
      <c r="CN1137" t="s">
        <v>45</v>
      </c>
      <c r="CO1137">
        <v>-4207</v>
      </c>
      <c r="CP1137">
        <v>42079255</v>
      </c>
      <c r="CQ1137" s="73">
        <v>45356.583333333336</v>
      </c>
      <c r="CR1137" t="s">
        <v>229</v>
      </c>
      <c r="CS1137" t="s">
        <v>42</v>
      </c>
      <c r="CU1137" t="s">
        <v>225</v>
      </c>
    </row>
    <row r="1138" spans="1:99">
      <c r="A1138" t="s">
        <v>99</v>
      </c>
      <c r="B1138" t="s">
        <v>98</v>
      </c>
      <c r="J1138" t="s">
        <v>225</v>
      </c>
      <c r="K1138" t="s">
        <v>225</v>
      </c>
      <c r="M1138" s="73">
        <v>45356.583333333336</v>
      </c>
      <c r="N1138">
        <v>42079254</v>
      </c>
      <c r="O1138">
        <v>-210</v>
      </c>
      <c r="P1138" t="s">
        <v>73</v>
      </c>
      <c r="Q1138">
        <v>-210</v>
      </c>
      <c r="R1138" t="s">
        <v>73</v>
      </c>
      <c r="U1138" t="s">
        <v>226</v>
      </c>
      <c r="V1138" t="s">
        <v>548</v>
      </c>
      <c r="W1138" t="s">
        <v>228</v>
      </c>
      <c r="X1138" t="s">
        <v>229</v>
      </c>
      <c r="Y1138" t="s">
        <v>99</v>
      </c>
      <c r="AD1138" t="s">
        <v>73</v>
      </c>
      <c r="AE1138">
        <v>-210</v>
      </c>
      <c r="AF1138">
        <v>42079254</v>
      </c>
      <c r="AG1138" s="73">
        <v>45356.583333333336</v>
      </c>
      <c r="AH1138" t="s">
        <v>226</v>
      </c>
      <c r="AI1138" t="s">
        <v>548</v>
      </c>
      <c r="AJ1138" t="s">
        <v>228</v>
      </c>
      <c r="AK1138" t="s">
        <v>229</v>
      </c>
      <c r="AL1138" t="s">
        <v>99</v>
      </c>
      <c r="AP1138" t="s">
        <v>230</v>
      </c>
      <c r="AQ1138" t="s">
        <v>231</v>
      </c>
      <c r="AT1138" t="s">
        <v>232</v>
      </c>
      <c r="AU1138">
        <v>-99</v>
      </c>
      <c r="AV1138" t="s">
        <v>73</v>
      </c>
      <c r="AW1138">
        <v>-210</v>
      </c>
      <c r="AX1138">
        <v>42079254</v>
      </c>
      <c r="AY1138" s="73">
        <v>45356.583333333336</v>
      </c>
      <c r="AZ1138" t="s">
        <v>226</v>
      </c>
      <c r="BA1138" t="s">
        <v>548</v>
      </c>
      <c r="BB1138" t="s">
        <v>228</v>
      </c>
      <c r="BC1138" t="s">
        <v>229</v>
      </c>
      <c r="BD1138" t="s">
        <v>99</v>
      </c>
      <c r="BI1138" t="s">
        <v>233</v>
      </c>
      <c r="BJ1138" t="s">
        <v>0</v>
      </c>
      <c r="BK1138">
        <v>42079237</v>
      </c>
      <c r="BN1138" t="s">
        <v>73</v>
      </c>
      <c r="BR1138">
        <v>-210</v>
      </c>
      <c r="BS1138">
        <v>42079254</v>
      </c>
      <c r="BT1138" s="73">
        <v>45356.583333333336</v>
      </c>
      <c r="BU1138" t="s">
        <v>226</v>
      </c>
      <c r="BV1138" t="s">
        <v>548</v>
      </c>
      <c r="BW1138" t="s">
        <v>228</v>
      </c>
      <c r="CH1138" t="s">
        <v>229</v>
      </c>
      <c r="CI1138" t="s">
        <v>99</v>
      </c>
      <c r="CJ1138" t="s">
        <v>226</v>
      </c>
      <c r="CK1138" t="s">
        <v>548</v>
      </c>
      <c r="CL1138" t="s">
        <v>228</v>
      </c>
      <c r="CM1138" t="s">
        <v>234</v>
      </c>
      <c r="CN1138" t="s">
        <v>73</v>
      </c>
      <c r="CO1138">
        <v>-210</v>
      </c>
      <c r="CP1138">
        <v>42079254</v>
      </c>
      <c r="CQ1138" s="73">
        <v>45356.583333333336</v>
      </c>
      <c r="CR1138" t="s">
        <v>229</v>
      </c>
      <c r="CS1138" t="s">
        <v>99</v>
      </c>
      <c r="CU1138" t="s">
        <v>225</v>
      </c>
    </row>
    <row r="1139" spans="1:99">
      <c r="A1139" t="s">
        <v>103</v>
      </c>
      <c r="B1139" t="s">
        <v>98</v>
      </c>
      <c r="J1139" t="s">
        <v>225</v>
      </c>
      <c r="K1139" t="s">
        <v>225</v>
      </c>
      <c r="M1139" s="73">
        <v>45356.583333333336</v>
      </c>
      <c r="N1139">
        <v>42079253</v>
      </c>
      <c r="O1139">
        <v>4200</v>
      </c>
      <c r="P1139" t="s">
        <v>104</v>
      </c>
      <c r="Q1139">
        <v>4200</v>
      </c>
      <c r="R1139" t="s">
        <v>104</v>
      </c>
      <c r="S1139">
        <v>210</v>
      </c>
      <c r="T1139" t="s">
        <v>73</v>
      </c>
      <c r="U1139" t="s">
        <v>226</v>
      </c>
      <c r="V1139" t="s">
        <v>548</v>
      </c>
      <c r="W1139" t="s">
        <v>235</v>
      </c>
      <c r="X1139" t="s">
        <v>229</v>
      </c>
      <c r="Y1139" t="s">
        <v>103</v>
      </c>
      <c r="AD1139" t="s">
        <v>104</v>
      </c>
      <c r="AE1139">
        <v>4200</v>
      </c>
      <c r="AF1139">
        <v>42079253</v>
      </c>
      <c r="AG1139" s="73">
        <v>45356.583333333336</v>
      </c>
      <c r="AH1139" t="s">
        <v>226</v>
      </c>
      <c r="AI1139" t="s">
        <v>548</v>
      </c>
      <c r="AJ1139" t="s">
        <v>235</v>
      </c>
      <c r="AK1139" t="s">
        <v>229</v>
      </c>
      <c r="AL1139" t="s">
        <v>103</v>
      </c>
      <c r="AP1139" t="s">
        <v>230</v>
      </c>
      <c r="AQ1139" t="s">
        <v>231</v>
      </c>
      <c r="AT1139" t="s">
        <v>232</v>
      </c>
      <c r="AU1139">
        <v>-99</v>
      </c>
      <c r="AV1139" t="s">
        <v>104</v>
      </c>
      <c r="AW1139">
        <v>4200</v>
      </c>
      <c r="AX1139">
        <v>42079253</v>
      </c>
      <c r="AY1139" s="73">
        <v>45356.583333333336</v>
      </c>
      <c r="AZ1139" t="s">
        <v>226</v>
      </c>
      <c r="BA1139" t="s">
        <v>548</v>
      </c>
      <c r="BB1139" t="s">
        <v>235</v>
      </c>
      <c r="BC1139" t="s">
        <v>229</v>
      </c>
      <c r="BD1139" t="s">
        <v>103</v>
      </c>
      <c r="BI1139" t="s">
        <v>233</v>
      </c>
      <c r="BJ1139" t="s">
        <v>0</v>
      </c>
      <c r="BK1139">
        <v>42079237</v>
      </c>
      <c r="BN1139" t="s">
        <v>104</v>
      </c>
      <c r="BO1139">
        <v>42079245</v>
      </c>
      <c r="BR1139">
        <v>4200</v>
      </c>
      <c r="BS1139">
        <v>42079253</v>
      </c>
      <c r="BT1139" s="73">
        <v>45356.583333333336</v>
      </c>
      <c r="BU1139" t="s">
        <v>226</v>
      </c>
      <c r="BV1139" t="s">
        <v>548</v>
      </c>
      <c r="BW1139" t="s">
        <v>235</v>
      </c>
      <c r="CH1139" t="s">
        <v>229</v>
      </c>
      <c r="CI1139" t="s">
        <v>103</v>
      </c>
      <c r="CJ1139" t="s">
        <v>226</v>
      </c>
      <c r="CK1139" t="s">
        <v>548</v>
      </c>
      <c r="CL1139" t="s">
        <v>235</v>
      </c>
      <c r="CM1139" t="s">
        <v>236</v>
      </c>
      <c r="CN1139" t="s">
        <v>104</v>
      </c>
      <c r="CO1139">
        <v>4200</v>
      </c>
      <c r="CP1139">
        <v>42079253</v>
      </c>
      <c r="CQ1139" s="73">
        <v>45356.583333333336</v>
      </c>
      <c r="CR1139" t="s">
        <v>229</v>
      </c>
      <c r="CS1139" t="s">
        <v>103</v>
      </c>
      <c r="CU1139" t="s">
        <v>225</v>
      </c>
    </row>
    <row r="1140" spans="1:99">
      <c r="A1140" t="s">
        <v>111</v>
      </c>
      <c r="B1140" t="s">
        <v>77</v>
      </c>
      <c r="J1140" t="s">
        <v>225</v>
      </c>
      <c r="K1140" t="s">
        <v>225</v>
      </c>
      <c r="M1140" s="73">
        <v>45356.583333333336</v>
      </c>
      <c r="N1140">
        <v>42079252</v>
      </c>
      <c r="O1140">
        <v>7</v>
      </c>
      <c r="P1140" t="s">
        <v>45</v>
      </c>
      <c r="Q1140">
        <v>7</v>
      </c>
      <c r="R1140" t="s">
        <v>45</v>
      </c>
      <c r="U1140" t="s">
        <v>226</v>
      </c>
      <c r="V1140" t="s">
        <v>548</v>
      </c>
      <c r="W1140" t="s">
        <v>237</v>
      </c>
      <c r="X1140" t="s">
        <v>229</v>
      </c>
      <c r="Y1140" t="s">
        <v>111</v>
      </c>
      <c r="AD1140" t="s">
        <v>45</v>
      </c>
      <c r="AE1140">
        <v>7</v>
      </c>
      <c r="AF1140">
        <v>42079252</v>
      </c>
      <c r="AG1140" s="73">
        <v>45356.583333333336</v>
      </c>
      <c r="AH1140" t="s">
        <v>226</v>
      </c>
      <c r="AI1140" t="s">
        <v>548</v>
      </c>
      <c r="AJ1140" t="s">
        <v>237</v>
      </c>
      <c r="AK1140" t="s">
        <v>229</v>
      </c>
      <c r="AL1140" t="s">
        <v>111</v>
      </c>
      <c r="AP1140" t="s">
        <v>230</v>
      </c>
      <c r="AQ1140" t="s">
        <v>231</v>
      </c>
      <c r="AT1140" t="s">
        <v>232</v>
      </c>
      <c r="AU1140">
        <v>-99</v>
      </c>
      <c r="AV1140" t="s">
        <v>45</v>
      </c>
      <c r="AW1140">
        <v>7</v>
      </c>
      <c r="AX1140">
        <v>42079252</v>
      </c>
      <c r="AY1140" s="73">
        <v>45356.583333333336</v>
      </c>
      <c r="AZ1140" t="s">
        <v>226</v>
      </c>
      <c r="BA1140" t="s">
        <v>548</v>
      </c>
      <c r="BB1140" t="s">
        <v>237</v>
      </c>
      <c r="BC1140" t="s">
        <v>229</v>
      </c>
      <c r="BD1140" t="s">
        <v>111</v>
      </c>
      <c r="BI1140" t="s">
        <v>233</v>
      </c>
      <c r="BJ1140" t="s">
        <v>0</v>
      </c>
      <c r="BK1140">
        <v>42079237</v>
      </c>
      <c r="BN1140" t="s">
        <v>45</v>
      </c>
      <c r="BO1140">
        <v>42079247</v>
      </c>
      <c r="BR1140">
        <v>7</v>
      </c>
      <c r="BS1140">
        <v>42079252</v>
      </c>
      <c r="BT1140" s="73">
        <v>45356.583333333336</v>
      </c>
      <c r="BU1140" t="s">
        <v>226</v>
      </c>
      <c r="BV1140" t="s">
        <v>548</v>
      </c>
      <c r="BW1140" t="s">
        <v>237</v>
      </c>
      <c r="CH1140" t="s">
        <v>229</v>
      </c>
      <c r="CI1140" t="s">
        <v>111</v>
      </c>
      <c r="CJ1140" t="s">
        <v>226</v>
      </c>
      <c r="CK1140" t="s">
        <v>548</v>
      </c>
      <c r="CL1140" t="s">
        <v>237</v>
      </c>
      <c r="CM1140" t="s">
        <v>236</v>
      </c>
      <c r="CN1140" t="s">
        <v>45</v>
      </c>
      <c r="CO1140">
        <v>7</v>
      </c>
      <c r="CP1140">
        <v>42079252</v>
      </c>
      <c r="CQ1140" s="73">
        <v>45356.583333333336</v>
      </c>
      <c r="CR1140" t="s">
        <v>229</v>
      </c>
      <c r="CS1140" t="s">
        <v>111</v>
      </c>
      <c r="CU1140" t="s">
        <v>225</v>
      </c>
    </row>
    <row r="1141" spans="1:99">
      <c r="A1141" t="s">
        <v>42</v>
      </c>
      <c r="B1141" t="s">
        <v>92</v>
      </c>
      <c r="J1141" t="s">
        <v>225</v>
      </c>
      <c r="K1141" t="s">
        <v>225</v>
      </c>
      <c r="M1141" s="73">
        <v>45356.570081018515</v>
      </c>
      <c r="N1141">
        <v>42068158</v>
      </c>
      <c r="O1141">
        <v>-2433</v>
      </c>
      <c r="P1141" t="s">
        <v>45</v>
      </c>
      <c r="Q1141">
        <v>-2433</v>
      </c>
      <c r="R1141" t="s">
        <v>45</v>
      </c>
      <c r="U1141" t="s">
        <v>226</v>
      </c>
      <c r="V1141" t="s">
        <v>549</v>
      </c>
      <c r="W1141" t="s">
        <v>228</v>
      </c>
      <c r="X1141" t="s">
        <v>229</v>
      </c>
      <c r="Y1141" t="s">
        <v>42</v>
      </c>
      <c r="AD1141" t="s">
        <v>45</v>
      </c>
      <c r="AE1141">
        <v>-2433</v>
      </c>
      <c r="AF1141">
        <v>42068158</v>
      </c>
      <c r="AG1141" s="73">
        <v>45356.570081018515</v>
      </c>
      <c r="AH1141" t="s">
        <v>226</v>
      </c>
      <c r="AI1141" t="s">
        <v>549</v>
      </c>
      <c r="AJ1141" t="s">
        <v>228</v>
      </c>
      <c r="AK1141" t="s">
        <v>229</v>
      </c>
      <c r="AL1141" t="s">
        <v>42</v>
      </c>
      <c r="AP1141" t="s">
        <v>230</v>
      </c>
      <c r="AQ1141" t="s">
        <v>231</v>
      </c>
      <c r="AT1141" t="s">
        <v>232</v>
      </c>
      <c r="AU1141">
        <v>-99</v>
      </c>
      <c r="AV1141" t="s">
        <v>45</v>
      </c>
      <c r="AW1141">
        <v>-2433</v>
      </c>
      <c r="AX1141">
        <v>42068158</v>
      </c>
      <c r="AY1141" s="73">
        <v>45356.570081018515</v>
      </c>
      <c r="AZ1141" t="s">
        <v>226</v>
      </c>
      <c r="BA1141" t="s">
        <v>549</v>
      </c>
      <c r="BB1141" t="s">
        <v>228</v>
      </c>
      <c r="BC1141" t="s">
        <v>229</v>
      </c>
      <c r="BD1141" t="s">
        <v>42</v>
      </c>
      <c r="BI1141" t="s">
        <v>233</v>
      </c>
      <c r="BJ1141" t="s">
        <v>0</v>
      </c>
      <c r="BK1141">
        <v>42068124</v>
      </c>
      <c r="BN1141" t="s">
        <v>45</v>
      </c>
      <c r="BR1141">
        <v>-2433</v>
      </c>
      <c r="BS1141">
        <v>42068158</v>
      </c>
      <c r="BT1141" s="73">
        <v>45356.570081018515</v>
      </c>
      <c r="BU1141" t="s">
        <v>226</v>
      </c>
      <c r="BV1141" t="s">
        <v>549</v>
      </c>
      <c r="BW1141" t="s">
        <v>228</v>
      </c>
      <c r="CH1141" t="s">
        <v>229</v>
      </c>
      <c r="CI1141" t="s">
        <v>42</v>
      </c>
      <c r="CJ1141" t="s">
        <v>226</v>
      </c>
      <c r="CK1141" t="s">
        <v>549</v>
      </c>
      <c r="CL1141" t="s">
        <v>228</v>
      </c>
      <c r="CM1141" t="s">
        <v>234</v>
      </c>
      <c r="CN1141" t="s">
        <v>45</v>
      </c>
      <c r="CO1141">
        <v>-2433</v>
      </c>
      <c r="CP1141">
        <v>42068158</v>
      </c>
      <c r="CQ1141" s="73">
        <v>45356.570081018515</v>
      </c>
      <c r="CR1141" t="s">
        <v>229</v>
      </c>
      <c r="CS1141" t="s">
        <v>42</v>
      </c>
      <c r="CU1141" t="s">
        <v>225</v>
      </c>
    </row>
    <row r="1142" spans="1:99">
      <c r="A1142" t="s">
        <v>99</v>
      </c>
      <c r="B1142" t="s">
        <v>98</v>
      </c>
      <c r="J1142" t="s">
        <v>225</v>
      </c>
      <c r="K1142" t="s">
        <v>225</v>
      </c>
      <c r="M1142" s="73">
        <v>45356.570081018515</v>
      </c>
      <c r="N1142">
        <v>42068157</v>
      </c>
      <c r="O1142">
        <v>-121.5</v>
      </c>
      <c r="P1142" t="s">
        <v>73</v>
      </c>
      <c r="Q1142">
        <v>-121.5</v>
      </c>
      <c r="R1142" t="s">
        <v>73</v>
      </c>
      <c r="U1142" t="s">
        <v>226</v>
      </c>
      <c r="V1142" t="s">
        <v>549</v>
      </c>
      <c r="W1142" t="s">
        <v>228</v>
      </c>
      <c r="X1142" t="s">
        <v>229</v>
      </c>
      <c r="Y1142" t="s">
        <v>99</v>
      </c>
      <c r="AD1142" t="s">
        <v>73</v>
      </c>
      <c r="AE1142">
        <v>-121.5</v>
      </c>
      <c r="AF1142">
        <v>42068157</v>
      </c>
      <c r="AG1142" s="73">
        <v>45356.570081018515</v>
      </c>
      <c r="AH1142" t="s">
        <v>226</v>
      </c>
      <c r="AI1142" t="s">
        <v>549</v>
      </c>
      <c r="AJ1142" t="s">
        <v>228</v>
      </c>
      <c r="AK1142" t="s">
        <v>229</v>
      </c>
      <c r="AL1142" t="s">
        <v>99</v>
      </c>
      <c r="AP1142" t="s">
        <v>230</v>
      </c>
      <c r="AQ1142" t="s">
        <v>231</v>
      </c>
      <c r="AT1142" t="s">
        <v>232</v>
      </c>
      <c r="AU1142">
        <v>-99</v>
      </c>
      <c r="AV1142" t="s">
        <v>73</v>
      </c>
      <c r="AW1142">
        <v>-121.5</v>
      </c>
      <c r="AX1142">
        <v>42068157</v>
      </c>
      <c r="AY1142" s="73">
        <v>45356.570081018515</v>
      </c>
      <c r="AZ1142" t="s">
        <v>226</v>
      </c>
      <c r="BA1142" t="s">
        <v>549</v>
      </c>
      <c r="BB1142" t="s">
        <v>228</v>
      </c>
      <c r="BC1142" t="s">
        <v>229</v>
      </c>
      <c r="BD1142" t="s">
        <v>99</v>
      </c>
      <c r="BI1142" t="s">
        <v>233</v>
      </c>
      <c r="BJ1142" t="s">
        <v>0</v>
      </c>
      <c r="BK1142">
        <v>42068124</v>
      </c>
      <c r="BN1142" t="s">
        <v>73</v>
      </c>
      <c r="BR1142">
        <v>-121.5</v>
      </c>
      <c r="BS1142">
        <v>42068157</v>
      </c>
      <c r="BT1142" s="73">
        <v>45356.570081018515</v>
      </c>
      <c r="BU1142" t="s">
        <v>226</v>
      </c>
      <c r="BV1142" t="s">
        <v>549</v>
      </c>
      <c r="BW1142" t="s">
        <v>228</v>
      </c>
      <c r="CH1142" t="s">
        <v>229</v>
      </c>
      <c r="CI1142" t="s">
        <v>99</v>
      </c>
      <c r="CJ1142" t="s">
        <v>226</v>
      </c>
      <c r="CK1142" t="s">
        <v>549</v>
      </c>
      <c r="CL1142" t="s">
        <v>228</v>
      </c>
      <c r="CM1142" t="s">
        <v>234</v>
      </c>
      <c r="CN1142" t="s">
        <v>73</v>
      </c>
      <c r="CO1142">
        <v>-121.5</v>
      </c>
      <c r="CP1142">
        <v>42068157</v>
      </c>
      <c r="CQ1142" s="73">
        <v>45356.570081018515</v>
      </c>
      <c r="CR1142" t="s">
        <v>229</v>
      </c>
      <c r="CS1142" t="s">
        <v>99</v>
      </c>
      <c r="CU1142" t="s">
        <v>225</v>
      </c>
    </row>
    <row r="1143" spans="1:99">
      <c r="A1143" t="s">
        <v>103</v>
      </c>
      <c r="B1143" t="s">
        <v>98</v>
      </c>
      <c r="J1143" t="s">
        <v>225</v>
      </c>
      <c r="K1143" t="s">
        <v>225</v>
      </c>
      <c r="M1143" s="73">
        <v>45356.570081018515</v>
      </c>
      <c r="N1143">
        <v>42068156</v>
      </c>
      <c r="O1143">
        <v>2430</v>
      </c>
      <c r="P1143" t="s">
        <v>104</v>
      </c>
      <c r="Q1143">
        <v>2430</v>
      </c>
      <c r="R1143" t="s">
        <v>104</v>
      </c>
      <c r="S1143">
        <v>121.5</v>
      </c>
      <c r="T1143" t="s">
        <v>73</v>
      </c>
      <c r="U1143" t="s">
        <v>226</v>
      </c>
      <c r="V1143" t="s">
        <v>549</v>
      </c>
      <c r="W1143" t="s">
        <v>235</v>
      </c>
      <c r="X1143" t="s">
        <v>229</v>
      </c>
      <c r="Y1143" t="s">
        <v>103</v>
      </c>
      <c r="AD1143" t="s">
        <v>104</v>
      </c>
      <c r="AE1143">
        <v>2430</v>
      </c>
      <c r="AF1143">
        <v>42068156</v>
      </c>
      <c r="AG1143" s="73">
        <v>45356.570081018515</v>
      </c>
      <c r="AH1143" t="s">
        <v>226</v>
      </c>
      <c r="AI1143" t="s">
        <v>549</v>
      </c>
      <c r="AJ1143" t="s">
        <v>235</v>
      </c>
      <c r="AK1143" t="s">
        <v>229</v>
      </c>
      <c r="AL1143" t="s">
        <v>103</v>
      </c>
      <c r="AP1143" t="s">
        <v>230</v>
      </c>
      <c r="AQ1143" t="s">
        <v>231</v>
      </c>
      <c r="AT1143" t="s">
        <v>232</v>
      </c>
      <c r="AU1143">
        <v>-99</v>
      </c>
      <c r="AV1143" t="s">
        <v>104</v>
      </c>
      <c r="AW1143">
        <v>2430</v>
      </c>
      <c r="AX1143">
        <v>42068156</v>
      </c>
      <c r="AY1143" s="73">
        <v>45356.570081018515</v>
      </c>
      <c r="AZ1143" t="s">
        <v>226</v>
      </c>
      <c r="BA1143" t="s">
        <v>549</v>
      </c>
      <c r="BB1143" t="s">
        <v>235</v>
      </c>
      <c r="BC1143" t="s">
        <v>229</v>
      </c>
      <c r="BD1143" t="s">
        <v>103</v>
      </c>
      <c r="BI1143" t="s">
        <v>233</v>
      </c>
      <c r="BJ1143" t="s">
        <v>0</v>
      </c>
      <c r="BK1143">
        <v>42068124</v>
      </c>
      <c r="BN1143" t="s">
        <v>104</v>
      </c>
      <c r="BO1143">
        <v>42068141</v>
      </c>
      <c r="BR1143">
        <v>2430</v>
      </c>
      <c r="BS1143">
        <v>42068156</v>
      </c>
      <c r="BT1143" s="73">
        <v>45356.570081018515</v>
      </c>
      <c r="BU1143" t="s">
        <v>226</v>
      </c>
      <c r="BV1143" t="s">
        <v>549</v>
      </c>
      <c r="BW1143" t="s">
        <v>235</v>
      </c>
      <c r="CH1143" t="s">
        <v>229</v>
      </c>
      <c r="CI1143" t="s">
        <v>103</v>
      </c>
      <c r="CJ1143" t="s">
        <v>226</v>
      </c>
      <c r="CK1143" t="s">
        <v>549</v>
      </c>
      <c r="CL1143" t="s">
        <v>235</v>
      </c>
      <c r="CM1143" t="s">
        <v>236</v>
      </c>
      <c r="CN1143" t="s">
        <v>104</v>
      </c>
      <c r="CO1143">
        <v>2430</v>
      </c>
      <c r="CP1143">
        <v>42068156</v>
      </c>
      <c r="CQ1143" s="73">
        <v>45356.570081018515</v>
      </c>
      <c r="CR1143" t="s">
        <v>229</v>
      </c>
      <c r="CS1143" t="s">
        <v>103</v>
      </c>
      <c r="CU1143" t="s">
        <v>225</v>
      </c>
    </row>
    <row r="1144" spans="1:99">
      <c r="A1144" t="s">
        <v>111</v>
      </c>
      <c r="B1144" t="s">
        <v>77</v>
      </c>
      <c r="J1144" t="s">
        <v>225</v>
      </c>
      <c r="K1144" t="s">
        <v>225</v>
      </c>
      <c r="M1144" s="73">
        <v>45356.570081018515</v>
      </c>
      <c r="N1144">
        <v>42068155</v>
      </c>
      <c r="O1144">
        <v>3</v>
      </c>
      <c r="P1144" t="s">
        <v>45</v>
      </c>
      <c r="Q1144">
        <v>3</v>
      </c>
      <c r="R1144" t="s">
        <v>45</v>
      </c>
      <c r="U1144" t="s">
        <v>226</v>
      </c>
      <c r="V1144" t="s">
        <v>549</v>
      </c>
      <c r="W1144" t="s">
        <v>237</v>
      </c>
      <c r="X1144" t="s">
        <v>229</v>
      </c>
      <c r="Y1144" t="s">
        <v>111</v>
      </c>
      <c r="AD1144" t="s">
        <v>45</v>
      </c>
      <c r="AE1144">
        <v>3</v>
      </c>
      <c r="AF1144">
        <v>42068155</v>
      </c>
      <c r="AG1144" s="73">
        <v>45356.570081018515</v>
      </c>
      <c r="AH1144" t="s">
        <v>226</v>
      </c>
      <c r="AI1144" t="s">
        <v>549</v>
      </c>
      <c r="AJ1144" t="s">
        <v>237</v>
      </c>
      <c r="AK1144" t="s">
        <v>229</v>
      </c>
      <c r="AL1144" t="s">
        <v>111</v>
      </c>
      <c r="AP1144" t="s">
        <v>230</v>
      </c>
      <c r="AQ1144" t="s">
        <v>231</v>
      </c>
      <c r="AT1144" t="s">
        <v>232</v>
      </c>
      <c r="AU1144">
        <v>-99</v>
      </c>
      <c r="AV1144" t="s">
        <v>45</v>
      </c>
      <c r="AW1144">
        <v>3</v>
      </c>
      <c r="AX1144">
        <v>42068155</v>
      </c>
      <c r="AY1144" s="73">
        <v>45356.570081018515</v>
      </c>
      <c r="AZ1144" t="s">
        <v>226</v>
      </c>
      <c r="BA1144" t="s">
        <v>549</v>
      </c>
      <c r="BB1144" t="s">
        <v>237</v>
      </c>
      <c r="BC1144" t="s">
        <v>229</v>
      </c>
      <c r="BD1144" t="s">
        <v>111</v>
      </c>
      <c r="BI1144" t="s">
        <v>233</v>
      </c>
      <c r="BJ1144" t="s">
        <v>0</v>
      </c>
      <c r="BK1144">
        <v>42068124</v>
      </c>
      <c r="BN1144" t="s">
        <v>45</v>
      </c>
      <c r="BO1144">
        <v>42068145</v>
      </c>
      <c r="BR1144">
        <v>3</v>
      </c>
      <c r="BS1144">
        <v>42068155</v>
      </c>
      <c r="BT1144" s="73">
        <v>45356.570081018515</v>
      </c>
      <c r="BU1144" t="s">
        <v>226</v>
      </c>
      <c r="BV1144" t="s">
        <v>549</v>
      </c>
      <c r="BW1144" t="s">
        <v>237</v>
      </c>
      <c r="CH1144" t="s">
        <v>229</v>
      </c>
      <c r="CI1144" t="s">
        <v>111</v>
      </c>
      <c r="CJ1144" t="s">
        <v>226</v>
      </c>
      <c r="CK1144" t="s">
        <v>549</v>
      </c>
      <c r="CL1144" t="s">
        <v>237</v>
      </c>
      <c r="CM1144" t="s">
        <v>236</v>
      </c>
      <c r="CN1144" t="s">
        <v>45</v>
      </c>
      <c r="CO1144">
        <v>3</v>
      </c>
      <c r="CP1144">
        <v>42068155</v>
      </c>
      <c r="CQ1144" s="73">
        <v>45356.570081018515</v>
      </c>
      <c r="CR1144" t="s">
        <v>229</v>
      </c>
      <c r="CS1144" t="s">
        <v>111</v>
      </c>
      <c r="CU1144" t="s">
        <v>225</v>
      </c>
    </row>
    <row r="1145" spans="1:99">
      <c r="A1145" t="s">
        <v>52</v>
      </c>
      <c r="B1145" t="s">
        <v>92</v>
      </c>
      <c r="J1145" t="s">
        <v>225</v>
      </c>
      <c r="K1145" t="s">
        <v>225</v>
      </c>
      <c r="M1145" s="73">
        <v>45356.56863425926</v>
      </c>
      <c r="N1145">
        <v>42068118</v>
      </c>
      <c r="O1145">
        <v>-310</v>
      </c>
      <c r="P1145" t="s">
        <v>45</v>
      </c>
      <c r="Q1145">
        <v>-310</v>
      </c>
      <c r="R1145" t="s">
        <v>45</v>
      </c>
      <c r="U1145" t="s">
        <v>226</v>
      </c>
      <c r="V1145" t="s">
        <v>550</v>
      </c>
      <c r="W1145" t="s">
        <v>228</v>
      </c>
      <c r="X1145" t="s">
        <v>229</v>
      </c>
      <c r="Y1145" t="s">
        <v>52</v>
      </c>
      <c r="AD1145" t="s">
        <v>45</v>
      </c>
      <c r="AE1145">
        <v>-310</v>
      </c>
      <c r="AF1145">
        <v>42068118</v>
      </c>
      <c r="AG1145" s="73">
        <v>45356.56863425926</v>
      </c>
      <c r="AH1145" t="s">
        <v>226</v>
      </c>
      <c r="AI1145" t="s">
        <v>550</v>
      </c>
      <c r="AJ1145" t="s">
        <v>228</v>
      </c>
      <c r="AK1145" t="s">
        <v>229</v>
      </c>
      <c r="AL1145" t="s">
        <v>52</v>
      </c>
      <c r="AP1145" t="s">
        <v>230</v>
      </c>
      <c r="AQ1145" t="s">
        <v>231</v>
      </c>
      <c r="AT1145" t="s">
        <v>232</v>
      </c>
      <c r="AU1145">
        <v>-99</v>
      </c>
      <c r="AV1145" t="s">
        <v>45</v>
      </c>
      <c r="AW1145">
        <v>-310</v>
      </c>
      <c r="AX1145">
        <v>42068118</v>
      </c>
      <c r="AY1145" s="73">
        <v>45356.56863425926</v>
      </c>
      <c r="AZ1145" t="s">
        <v>226</v>
      </c>
      <c r="BA1145" t="s">
        <v>550</v>
      </c>
      <c r="BB1145" t="s">
        <v>228</v>
      </c>
      <c r="BC1145" t="s">
        <v>229</v>
      </c>
      <c r="BD1145" t="s">
        <v>52</v>
      </c>
      <c r="BI1145" t="s">
        <v>233</v>
      </c>
      <c r="BJ1145" t="s">
        <v>0</v>
      </c>
      <c r="BK1145">
        <v>42068103</v>
      </c>
      <c r="BN1145" t="s">
        <v>45</v>
      </c>
      <c r="BR1145">
        <v>-310</v>
      </c>
      <c r="BS1145">
        <v>42068118</v>
      </c>
      <c r="BT1145" s="73">
        <v>45356.56863425926</v>
      </c>
      <c r="BU1145" t="s">
        <v>226</v>
      </c>
      <c r="BV1145" t="s">
        <v>550</v>
      </c>
      <c r="BW1145" t="s">
        <v>228</v>
      </c>
      <c r="CH1145" t="s">
        <v>229</v>
      </c>
      <c r="CI1145" t="s">
        <v>52</v>
      </c>
      <c r="CJ1145" t="s">
        <v>226</v>
      </c>
      <c r="CK1145" t="s">
        <v>550</v>
      </c>
      <c r="CL1145" t="s">
        <v>228</v>
      </c>
      <c r="CM1145" t="s">
        <v>234</v>
      </c>
      <c r="CN1145" t="s">
        <v>45</v>
      </c>
      <c r="CO1145">
        <v>-310</v>
      </c>
      <c r="CP1145">
        <v>42068118</v>
      </c>
      <c r="CQ1145" s="73">
        <v>45356.56863425926</v>
      </c>
      <c r="CR1145" t="s">
        <v>229</v>
      </c>
      <c r="CS1145" t="s">
        <v>52</v>
      </c>
      <c r="CU1145" t="s">
        <v>225</v>
      </c>
    </row>
    <row r="1146" spans="1:99">
      <c r="A1146" t="s">
        <v>101</v>
      </c>
      <c r="B1146" t="s">
        <v>98</v>
      </c>
      <c r="J1146" t="s">
        <v>225</v>
      </c>
      <c r="K1146" t="s">
        <v>225</v>
      </c>
      <c r="M1146" s="73">
        <v>45356.56863425926</v>
      </c>
      <c r="N1146">
        <v>42068117</v>
      </c>
      <c r="O1146">
        <v>-15.5</v>
      </c>
      <c r="P1146" t="s">
        <v>73</v>
      </c>
      <c r="Q1146">
        <v>-15.5</v>
      </c>
      <c r="R1146" t="s">
        <v>73</v>
      </c>
      <c r="U1146" t="s">
        <v>226</v>
      </c>
      <c r="V1146" t="s">
        <v>550</v>
      </c>
      <c r="W1146" t="s">
        <v>228</v>
      </c>
      <c r="X1146" t="s">
        <v>229</v>
      </c>
      <c r="Y1146" t="s">
        <v>101</v>
      </c>
      <c r="AD1146" t="s">
        <v>73</v>
      </c>
      <c r="AE1146">
        <v>-15.5</v>
      </c>
      <c r="AF1146">
        <v>42068117</v>
      </c>
      <c r="AG1146" s="73">
        <v>45356.56863425926</v>
      </c>
      <c r="AH1146" t="s">
        <v>226</v>
      </c>
      <c r="AI1146" t="s">
        <v>550</v>
      </c>
      <c r="AJ1146" t="s">
        <v>228</v>
      </c>
      <c r="AK1146" t="s">
        <v>229</v>
      </c>
      <c r="AL1146" t="s">
        <v>101</v>
      </c>
      <c r="AP1146" t="s">
        <v>230</v>
      </c>
      <c r="AQ1146" t="s">
        <v>231</v>
      </c>
      <c r="AT1146" t="s">
        <v>232</v>
      </c>
      <c r="AU1146">
        <v>-99</v>
      </c>
      <c r="AV1146" t="s">
        <v>73</v>
      </c>
      <c r="AW1146">
        <v>-15.5</v>
      </c>
      <c r="AX1146">
        <v>42068117</v>
      </c>
      <c r="AY1146" s="73">
        <v>45356.56863425926</v>
      </c>
      <c r="AZ1146" t="s">
        <v>226</v>
      </c>
      <c r="BA1146" t="s">
        <v>550</v>
      </c>
      <c r="BB1146" t="s">
        <v>228</v>
      </c>
      <c r="BC1146" t="s">
        <v>229</v>
      </c>
      <c r="BD1146" t="s">
        <v>101</v>
      </c>
      <c r="BI1146" t="s">
        <v>233</v>
      </c>
      <c r="BJ1146" t="s">
        <v>0</v>
      </c>
      <c r="BK1146">
        <v>42068103</v>
      </c>
      <c r="BN1146" t="s">
        <v>73</v>
      </c>
      <c r="BR1146">
        <v>-15.5</v>
      </c>
      <c r="BS1146">
        <v>42068117</v>
      </c>
      <c r="BT1146" s="73">
        <v>45356.56863425926</v>
      </c>
      <c r="BU1146" t="s">
        <v>226</v>
      </c>
      <c r="BV1146" t="s">
        <v>550</v>
      </c>
      <c r="BW1146" t="s">
        <v>228</v>
      </c>
      <c r="CH1146" t="s">
        <v>229</v>
      </c>
      <c r="CI1146" t="s">
        <v>101</v>
      </c>
      <c r="CJ1146" t="s">
        <v>226</v>
      </c>
      <c r="CK1146" t="s">
        <v>550</v>
      </c>
      <c r="CL1146" t="s">
        <v>228</v>
      </c>
      <c r="CM1146" t="s">
        <v>234</v>
      </c>
      <c r="CN1146" t="s">
        <v>73</v>
      </c>
      <c r="CO1146">
        <v>-15.5</v>
      </c>
      <c r="CP1146">
        <v>42068117</v>
      </c>
      <c r="CQ1146" s="73">
        <v>45356.56863425926</v>
      </c>
      <c r="CR1146" t="s">
        <v>229</v>
      </c>
      <c r="CS1146" t="s">
        <v>101</v>
      </c>
      <c r="CU1146" t="s">
        <v>225</v>
      </c>
    </row>
    <row r="1147" spans="1:99">
      <c r="A1147" t="s">
        <v>107</v>
      </c>
      <c r="B1147" t="s">
        <v>98</v>
      </c>
      <c r="J1147" t="s">
        <v>225</v>
      </c>
      <c r="K1147" t="s">
        <v>225</v>
      </c>
      <c r="M1147" s="73">
        <v>45356.56863425926</v>
      </c>
      <c r="N1147">
        <v>42068116</v>
      </c>
      <c r="O1147">
        <v>310</v>
      </c>
      <c r="P1147" t="s">
        <v>104</v>
      </c>
      <c r="Q1147">
        <v>310</v>
      </c>
      <c r="R1147" t="s">
        <v>104</v>
      </c>
      <c r="S1147">
        <v>15.5</v>
      </c>
      <c r="T1147" t="s">
        <v>73</v>
      </c>
      <c r="U1147" t="s">
        <v>226</v>
      </c>
      <c r="V1147" t="s">
        <v>550</v>
      </c>
      <c r="W1147" t="s">
        <v>235</v>
      </c>
      <c r="X1147" t="s">
        <v>229</v>
      </c>
      <c r="Y1147" t="s">
        <v>107</v>
      </c>
      <c r="AD1147" t="s">
        <v>104</v>
      </c>
      <c r="AE1147">
        <v>310</v>
      </c>
      <c r="AF1147">
        <v>42068116</v>
      </c>
      <c r="AG1147" s="73">
        <v>45356.56863425926</v>
      </c>
      <c r="AH1147" t="s">
        <v>226</v>
      </c>
      <c r="AI1147" t="s">
        <v>550</v>
      </c>
      <c r="AJ1147" t="s">
        <v>235</v>
      </c>
      <c r="AK1147" t="s">
        <v>229</v>
      </c>
      <c r="AL1147" t="s">
        <v>107</v>
      </c>
      <c r="AP1147" t="s">
        <v>230</v>
      </c>
      <c r="AQ1147" t="s">
        <v>231</v>
      </c>
      <c r="AT1147" t="s">
        <v>232</v>
      </c>
      <c r="AU1147">
        <v>-99</v>
      </c>
      <c r="AV1147" t="s">
        <v>104</v>
      </c>
      <c r="AW1147">
        <v>310</v>
      </c>
      <c r="AX1147">
        <v>42068116</v>
      </c>
      <c r="AY1147" s="73">
        <v>45356.56863425926</v>
      </c>
      <c r="AZ1147" t="s">
        <v>226</v>
      </c>
      <c r="BA1147" t="s">
        <v>550</v>
      </c>
      <c r="BB1147" t="s">
        <v>235</v>
      </c>
      <c r="BC1147" t="s">
        <v>229</v>
      </c>
      <c r="BD1147" t="s">
        <v>107</v>
      </c>
      <c r="BI1147" t="s">
        <v>233</v>
      </c>
      <c r="BJ1147" t="s">
        <v>0</v>
      </c>
      <c r="BK1147">
        <v>42068103</v>
      </c>
      <c r="BN1147" t="s">
        <v>104</v>
      </c>
      <c r="BO1147">
        <v>42068112</v>
      </c>
      <c r="BR1147">
        <v>310</v>
      </c>
      <c r="BS1147">
        <v>42068116</v>
      </c>
      <c r="BT1147" s="73">
        <v>45356.56863425926</v>
      </c>
      <c r="BU1147" t="s">
        <v>226</v>
      </c>
      <c r="BV1147" t="s">
        <v>550</v>
      </c>
      <c r="BW1147" t="s">
        <v>235</v>
      </c>
      <c r="CH1147" t="s">
        <v>229</v>
      </c>
      <c r="CI1147" t="s">
        <v>107</v>
      </c>
      <c r="CJ1147" t="s">
        <v>226</v>
      </c>
      <c r="CK1147" t="s">
        <v>550</v>
      </c>
      <c r="CL1147" t="s">
        <v>235</v>
      </c>
      <c r="CM1147" t="s">
        <v>236</v>
      </c>
      <c r="CN1147" t="s">
        <v>104</v>
      </c>
      <c r="CO1147">
        <v>310</v>
      </c>
      <c r="CP1147">
        <v>42068116</v>
      </c>
      <c r="CQ1147" s="73">
        <v>45356.56863425926</v>
      </c>
      <c r="CR1147" t="s">
        <v>229</v>
      </c>
      <c r="CS1147" t="s">
        <v>107</v>
      </c>
      <c r="CU1147" t="s">
        <v>225</v>
      </c>
    </row>
    <row r="1148" spans="1:99">
      <c r="A1148" t="s">
        <v>42</v>
      </c>
      <c r="B1148" t="s">
        <v>92</v>
      </c>
      <c r="J1148" t="s">
        <v>225</v>
      </c>
      <c r="K1148" t="s">
        <v>225</v>
      </c>
      <c r="M1148" s="73">
        <v>45356.558611111112</v>
      </c>
      <c r="N1148">
        <v>42067984</v>
      </c>
      <c r="O1148">
        <v>-1804</v>
      </c>
      <c r="P1148" t="s">
        <v>45</v>
      </c>
      <c r="Q1148">
        <v>-1804</v>
      </c>
      <c r="R1148" t="s">
        <v>45</v>
      </c>
      <c r="U1148" t="s">
        <v>226</v>
      </c>
      <c r="V1148" t="s">
        <v>551</v>
      </c>
      <c r="W1148" t="s">
        <v>228</v>
      </c>
      <c r="X1148" t="s">
        <v>229</v>
      </c>
      <c r="Y1148" t="s">
        <v>42</v>
      </c>
      <c r="AD1148" t="s">
        <v>45</v>
      </c>
      <c r="AE1148">
        <v>-1804</v>
      </c>
      <c r="AF1148">
        <v>42067984</v>
      </c>
      <c r="AG1148" s="73">
        <v>45356.558611111112</v>
      </c>
      <c r="AH1148" t="s">
        <v>226</v>
      </c>
      <c r="AI1148" t="s">
        <v>551</v>
      </c>
      <c r="AJ1148" t="s">
        <v>228</v>
      </c>
      <c r="AK1148" t="s">
        <v>229</v>
      </c>
      <c r="AL1148" t="s">
        <v>42</v>
      </c>
      <c r="AP1148" t="s">
        <v>230</v>
      </c>
      <c r="AQ1148" t="s">
        <v>231</v>
      </c>
      <c r="AT1148" t="s">
        <v>232</v>
      </c>
      <c r="AU1148">
        <v>-99</v>
      </c>
      <c r="AV1148" t="s">
        <v>45</v>
      </c>
      <c r="AW1148">
        <v>-1804</v>
      </c>
      <c r="AX1148">
        <v>42067984</v>
      </c>
      <c r="AY1148" s="73">
        <v>45356.558611111112</v>
      </c>
      <c r="AZ1148" t="s">
        <v>226</v>
      </c>
      <c r="BA1148" t="s">
        <v>551</v>
      </c>
      <c r="BB1148" t="s">
        <v>228</v>
      </c>
      <c r="BC1148" t="s">
        <v>229</v>
      </c>
      <c r="BD1148" t="s">
        <v>42</v>
      </c>
      <c r="BI1148" t="s">
        <v>233</v>
      </c>
      <c r="BJ1148" t="s">
        <v>0</v>
      </c>
      <c r="BK1148">
        <v>42067961</v>
      </c>
      <c r="BN1148" t="s">
        <v>45</v>
      </c>
      <c r="BR1148">
        <v>-1804</v>
      </c>
      <c r="BS1148">
        <v>42067984</v>
      </c>
      <c r="BT1148" s="73">
        <v>45356.558611111112</v>
      </c>
      <c r="BU1148" t="s">
        <v>226</v>
      </c>
      <c r="BV1148" t="s">
        <v>551</v>
      </c>
      <c r="BW1148" t="s">
        <v>228</v>
      </c>
      <c r="CH1148" t="s">
        <v>229</v>
      </c>
      <c r="CI1148" t="s">
        <v>42</v>
      </c>
      <c r="CJ1148" t="s">
        <v>226</v>
      </c>
      <c r="CK1148" t="s">
        <v>551</v>
      </c>
      <c r="CL1148" t="s">
        <v>228</v>
      </c>
      <c r="CM1148" t="s">
        <v>234</v>
      </c>
      <c r="CN1148" t="s">
        <v>45</v>
      </c>
      <c r="CO1148">
        <v>-1804</v>
      </c>
      <c r="CP1148">
        <v>42067984</v>
      </c>
      <c r="CQ1148" s="73">
        <v>45356.558611111112</v>
      </c>
      <c r="CR1148" t="s">
        <v>229</v>
      </c>
      <c r="CS1148" t="s">
        <v>42</v>
      </c>
      <c r="CU1148" t="s">
        <v>225</v>
      </c>
    </row>
    <row r="1149" spans="1:99">
      <c r="A1149" t="s">
        <v>99</v>
      </c>
      <c r="B1149" t="s">
        <v>98</v>
      </c>
      <c r="J1149" t="s">
        <v>225</v>
      </c>
      <c r="K1149" t="s">
        <v>225</v>
      </c>
      <c r="M1149" s="73">
        <v>45356.558611111112</v>
      </c>
      <c r="N1149">
        <v>42067983</v>
      </c>
      <c r="O1149">
        <v>-90</v>
      </c>
      <c r="P1149" t="s">
        <v>73</v>
      </c>
      <c r="Q1149">
        <v>-90</v>
      </c>
      <c r="R1149" t="s">
        <v>73</v>
      </c>
      <c r="U1149" t="s">
        <v>226</v>
      </c>
      <c r="V1149" t="s">
        <v>551</v>
      </c>
      <c r="W1149" t="s">
        <v>228</v>
      </c>
      <c r="X1149" t="s">
        <v>229</v>
      </c>
      <c r="Y1149" t="s">
        <v>99</v>
      </c>
      <c r="AD1149" t="s">
        <v>73</v>
      </c>
      <c r="AE1149">
        <v>-90</v>
      </c>
      <c r="AF1149">
        <v>42067983</v>
      </c>
      <c r="AG1149" s="73">
        <v>45356.558611111112</v>
      </c>
      <c r="AH1149" t="s">
        <v>226</v>
      </c>
      <c r="AI1149" t="s">
        <v>551</v>
      </c>
      <c r="AJ1149" t="s">
        <v>228</v>
      </c>
      <c r="AK1149" t="s">
        <v>229</v>
      </c>
      <c r="AL1149" t="s">
        <v>99</v>
      </c>
      <c r="AP1149" t="s">
        <v>230</v>
      </c>
      <c r="AQ1149" t="s">
        <v>231</v>
      </c>
      <c r="AT1149" t="s">
        <v>232</v>
      </c>
      <c r="AU1149">
        <v>-99</v>
      </c>
      <c r="AV1149" t="s">
        <v>73</v>
      </c>
      <c r="AW1149">
        <v>-90</v>
      </c>
      <c r="AX1149">
        <v>42067983</v>
      </c>
      <c r="AY1149" s="73">
        <v>45356.558611111112</v>
      </c>
      <c r="AZ1149" t="s">
        <v>226</v>
      </c>
      <c r="BA1149" t="s">
        <v>551</v>
      </c>
      <c r="BB1149" t="s">
        <v>228</v>
      </c>
      <c r="BC1149" t="s">
        <v>229</v>
      </c>
      <c r="BD1149" t="s">
        <v>99</v>
      </c>
      <c r="BI1149" t="s">
        <v>233</v>
      </c>
      <c r="BJ1149" t="s">
        <v>0</v>
      </c>
      <c r="BK1149">
        <v>42067961</v>
      </c>
      <c r="BN1149" t="s">
        <v>73</v>
      </c>
      <c r="BR1149">
        <v>-90</v>
      </c>
      <c r="BS1149">
        <v>42067983</v>
      </c>
      <c r="BT1149" s="73">
        <v>45356.558611111112</v>
      </c>
      <c r="BU1149" t="s">
        <v>226</v>
      </c>
      <c r="BV1149" t="s">
        <v>551</v>
      </c>
      <c r="BW1149" t="s">
        <v>228</v>
      </c>
      <c r="CH1149" t="s">
        <v>229</v>
      </c>
      <c r="CI1149" t="s">
        <v>99</v>
      </c>
      <c r="CJ1149" t="s">
        <v>226</v>
      </c>
      <c r="CK1149" t="s">
        <v>551</v>
      </c>
      <c r="CL1149" t="s">
        <v>228</v>
      </c>
      <c r="CM1149" t="s">
        <v>234</v>
      </c>
      <c r="CN1149" t="s">
        <v>73</v>
      </c>
      <c r="CO1149">
        <v>-90</v>
      </c>
      <c r="CP1149">
        <v>42067983</v>
      </c>
      <c r="CQ1149" s="73">
        <v>45356.558611111112</v>
      </c>
      <c r="CR1149" t="s">
        <v>229</v>
      </c>
      <c r="CS1149" t="s">
        <v>99</v>
      </c>
      <c r="CU1149" t="s">
        <v>225</v>
      </c>
    </row>
    <row r="1150" spans="1:99">
      <c r="A1150" t="s">
        <v>103</v>
      </c>
      <c r="B1150" t="s">
        <v>98</v>
      </c>
      <c r="J1150" t="s">
        <v>225</v>
      </c>
      <c r="K1150" t="s">
        <v>225</v>
      </c>
      <c r="M1150" s="73">
        <v>45356.558611111112</v>
      </c>
      <c r="N1150">
        <v>42067982</v>
      </c>
      <c r="O1150">
        <v>1800</v>
      </c>
      <c r="P1150" t="s">
        <v>104</v>
      </c>
      <c r="Q1150">
        <v>1800</v>
      </c>
      <c r="R1150" t="s">
        <v>104</v>
      </c>
      <c r="S1150">
        <v>90</v>
      </c>
      <c r="T1150" t="s">
        <v>73</v>
      </c>
      <c r="U1150" t="s">
        <v>226</v>
      </c>
      <c r="V1150" t="s">
        <v>551</v>
      </c>
      <c r="W1150" t="s">
        <v>235</v>
      </c>
      <c r="X1150" t="s">
        <v>229</v>
      </c>
      <c r="Y1150" t="s">
        <v>103</v>
      </c>
      <c r="AD1150" t="s">
        <v>104</v>
      </c>
      <c r="AE1150">
        <v>1800</v>
      </c>
      <c r="AF1150">
        <v>42067982</v>
      </c>
      <c r="AG1150" s="73">
        <v>45356.558611111112</v>
      </c>
      <c r="AH1150" t="s">
        <v>226</v>
      </c>
      <c r="AI1150" t="s">
        <v>551</v>
      </c>
      <c r="AJ1150" t="s">
        <v>235</v>
      </c>
      <c r="AK1150" t="s">
        <v>229</v>
      </c>
      <c r="AL1150" t="s">
        <v>103</v>
      </c>
      <c r="AP1150" t="s">
        <v>230</v>
      </c>
      <c r="AQ1150" t="s">
        <v>231</v>
      </c>
      <c r="AT1150" t="s">
        <v>232</v>
      </c>
      <c r="AU1150">
        <v>-99</v>
      </c>
      <c r="AV1150" t="s">
        <v>104</v>
      </c>
      <c r="AW1150">
        <v>1800</v>
      </c>
      <c r="AX1150">
        <v>42067982</v>
      </c>
      <c r="AY1150" s="73">
        <v>45356.558611111112</v>
      </c>
      <c r="AZ1150" t="s">
        <v>226</v>
      </c>
      <c r="BA1150" t="s">
        <v>551</v>
      </c>
      <c r="BB1150" t="s">
        <v>235</v>
      </c>
      <c r="BC1150" t="s">
        <v>229</v>
      </c>
      <c r="BD1150" t="s">
        <v>103</v>
      </c>
      <c r="BI1150" t="s">
        <v>233</v>
      </c>
      <c r="BJ1150" t="s">
        <v>0</v>
      </c>
      <c r="BK1150">
        <v>42067961</v>
      </c>
      <c r="BN1150" t="s">
        <v>104</v>
      </c>
      <c r="BO1150">
        <v>42067974</v>
      </c>
      <c r="BR1150">
        <v>1800</v>
      </c>
      <c r="BS1150">
        <v>42067982</v>
      </c>
      <c r="BT1150" s="73">
        <v>45356.558611111112</v>
      </c>
      <c r="BU1150" t="s">
        <v>226</v>
      </c>
      <c r="BV1150" t="s">
        <v>551</v>
      </c>
      <c r="BW1150" t="s">
        <v>235</v>
      </c>
      <c r="CH1150" t="s">
        <v>229</v>
      </c>
      <c r="CI1150" t="s">
        <v>103</v>
      </c>
      <c r="CJ1150" t="s">
        <v>226</v>
      </c>
      <c r="CK1150" t="s">
        <v>551</v>
      </c>
      <c r="CL1150" t="s">
        <v>235</v>
      </c>
      <c r="CM1150" t="s">
        <v>236</v>
      </c>
      <c r="CN1150" t="s">
        <v>104</v>
      </c>
      <c r="CO1150">
        <v>1800</v>
      </c>
      <c r="CP1150">
        <v>42067982</v>
      </c>
      <c r="CQ1150" s="73">
        <v>45356.558611111112</v>
      </c>
      <c r="CR1150" t="s">
        <v>229</v>
      </c>
      <c r="CS1150" t="s">
        <v>103</v>
      </c>
      <c r="CU1150" t="s">
        <v>225</v>
      </c>
    </row>
    <row r="1151" spans="1:99">
      <c r="A1151" t="s">
        <v>111</v>
      </c>
      <c r="B1151" t="s">
        <v>77</v>
      </c>
      <c r="J1151" t="s">
        <v>225</v>
      </c>
      <c r="K1151" t="s">
        <v>225</v>
      </c>
      <c r="M1151" s="73">
        <v>45356.558611111112</v>
      </c>
      <c r="N1151">
        <v>42067981</v>
      </c>
      <c r="O1151">
        <v>4</v>
      </c>
      <c r="P1151" t="s">
        <v>45</v>
      </c>
      <c r="Q1151">
        <v>4</v>
      </c>
      <c r="R1151" t="s">
        <v>45</v>
      </c>
      <c r="U1151" t="s">
        <v>226</v>
      </c>
      <c r="V1151" t="s">
        <v>551</v>
      </c>
      <c r="W1151" t="s">
        <v>237</v>
      </c>
      <c r="X1151" t="s">
        <v>229</v>
      </c>
      <c r="Y1151" t="s">
        <v>111</v>
      </c>
      <c r="AD1151" t="s">
        <v>45</v>
      </c>
      <c r="AE1151">
        <v>4</v>
      </c>
      <c r="AF1151">
        <v>42067981</v>
      </c>
      <c r="AG1151" s="73">
        <v>45356.558611111112</v>
      </c>
      <c r="AH1151" t="s">
        <v>226</v>
      </c>
      <c r="AI1151" t="s">
        <v>551</v>
      </c>
      <c r="AJ1151" t="s">
        <v>237</v>
      </c>
      <c r="AK1151" t="s">
        <v>229</v>
      </c>
      <c r="AL1151" t="s">
        <v>111</v>
      </c>
      <c r="AP1151" t="s">
        <v>230</v>
      </c>
      <c r="AQ1151" t="s">
        <v>231</v>
      </c>
      <c r="AT1151" t="s">
        <v>232</v>
      </c>
      <c r="AU1151">
        <v>-99</v>
      </c>
      <c r="AV1151" t="s">
        <v>45</v>
      </c>
      <c r="AW1151">
        <v>4</v>
      </c>
      <c r="AX1151">
        <v>42067981</v>
      </c>
      <c r="AY1151" s="73">
        <v>45356.558611111112</v>
      </c>
      <c r="AZ1151" t="s">
        <v>226</v>
      </c>
      <c r="BA1151" t="s">
        <v>551</v>
      </c>
      <c r="BB1151" t="s">
        <v>237</v>
      </c>
      <c r="BC1151" t="s">
        <v>229</v>
      </c>
      <c r="BD1151" t="s">
        <v>111</v>
      </c>
      <c r="BI1151" t="s">
        <v>233</v>
      </c>
      <c r="BJ1151" t="s">
        <v>0</v>
      </c>
      <c r="BK1151">
        <v>42067961</v>
      </c>
      <c r="BN1151" t="s">
        <v>45</v>
      </c>
      <c r="BO1151">
        <v>42067976</v>
      </c>
      <c r="BR1151">
        <v>4</v>
      </c>
      <c r="BS1151">
        <v>42067981</v>
      </c>
      <c r="BT1151" s="73">
        <v>45356.558611111112</v>
      </c>
      <c r="BU1151" t="s">
        <v>226</v>
      </c>
      <c r="BV1151" t="s">
        <v>551</v>
      </c>
      <c r="BW1151" t="s">
        <v>237</v>
      </c>
      <c r="CH1151" t="s">
        <v>229</v>
      </c>
      <c r="CI1151" t="s">
        <v>111</v>
      </c>
      <c r="CJ1151" t="s">
        <v>226</v>
      </c>
      <c r="CK1151" t="s">
        <v>551</v>
      </c>
      <c r="CL1151" t="s">
        <v>237</v>
      </c>
      <c r="CM1151" t="s">
        <v>236</v>
      </c>
      <c r="CN1151" t="s">
        <v>45</v>
      </c>
      <c r="CO1151">
        <v>4</v>
      </c>
      <c r="CP1151">
        <v>42067981</v>
      </c>
      <c r="CQ1151" s="73">
        <v>45356.558611111112</v>
      </c>
      <c r="CR1151" t="s">
        <v>229</v>
      </c>
      <c r="CS1151" t="s">
        <v>111</v>
      </c>
      <c r="CU1151" t="s">
        <v>225</v>
      </c>
    </row>
    <row r="1152" spans="1:99">
      <c r="A1152" t="s">
        <v>46</v>
      </c>
      <c r="B1152" t="s">
        <v>92</v>
      </c>
      <c r="J1152" t="s">
        <v>225</v>
      </c>
      <c r="K1152" t="s">
        <v>225</v>
      </c>
      <c r="M1152" s="73">
        <v>45356.556493055556</v>
      </c>
      <c r="N1152">
        <v>42067901</v>
      </c>
      <c r="O1152">
        <v>-100</v>
      </c>
      <c r="P1152" t="s">
        <v>45</v>
      </c>
      <c r="Q1152">
        <v>-100</v>
      </c>
      <c r="R1152" t="s">
        <v>45</v>
      </c>
      <c r="U1152" t="s">
        <v>226</v>
      </c>
      <c r="V1152" t="s">
        <v>552</v>
      </c>
      <c r="W1152" t="s">
        <v>228</v>
      </c>
      <c r="X1152" t="s">
        <v>229</v>
      </c>
      <c r="Y1152" t="s">
        <v>46</v>
      </c>
      <c r="AD1152" t="s">
        <v>45</v>
      </c>
      <c r="AE1152">
        <v>-100</v>
      </c>
      <c r="AF1152">
        <v>42067901</v>
      </c>
      <c r="AG1152" s="73">
        <v>45356.556493055556</v>
      </c>
      <c r="AH1152" t="s">
        <v>226</v>
      </c>
      <c r="AI1152" t="s">
        <v>552</v>
      </c>
      <c r="AJ1152" t="s">
        <v>228</v>
      </c>
      <c r="AK1152" t="s">
        <v>229</v>
      </c>
      <c r="AL1152" t="s">
        <v>46</v>
      </c>
      <c r="AP1152" t="s">
        <v>230</v>
      </c>
      <c r="AQ1152" t="s">
        <v>231</v>
      </c>
      <c r="AT1152" t="s">
        <v>232</v>
      </c>
      <c r="AU1152">
        <v>-99</v>
      </c>
      <c r="AV1152" t="s">
        <v>45</v>
      </c>
      <c r="AW1152">
        <v>-100</v>
      </c>
      <c r="AX1152">
        <v>42067901</v>
      </c>
      <c r="AY1152" s="73">
        <v>45356.556493055556</v>
      </c>
      <c r="AZ1152" t="s">
        <v>226</v>
      </c>
      <c r="BA1152" t="s">
        <v>552</v>
      </c>
      <c r="BB1152" t="s">
        <v>228</v>
      </c>
      <c r="BC1152" t="s">
        <v>229</v>
      </c>
      <c r="BD1152" t="s">
        <v>46</v>
      </c>
      <c r="BI1152" t="s">
        <v>233</v>
      </c>
      <c r="BJ1152" t="s">
        <v>0</v>
      </c>
      <c r="BK1152">
        <v>42067882</v>
      </c>
      <c r="BN1152" t="s">
        <v>45</v>
      </c>
      <c r="BR1152">
        <v>-100</v>
      </c>
      <c r="BS1152">
        <v>42067901</v>
      </c>
      <c r="BT1152" s="73">
        <v>45356.556493055556</v>
      </c>
      <c r="BU1152" t="s">
        <v>226</v>
      </c>
      <c r="BV1152" t="s">
        <v>552</v>
      </c>
      <c r="BW1152" t="s">
        <v>228</v>
      </c>
      <c r="CH1152" t="s">
        <v>229</v>
      </c>
      <c r="CI1152" t="s">
        <v>46</v>
      </c>
      <c r="CJ1152" t="s">
        <v>226</v>
      </c>
      <c r="CK1152" t="s">
        <v>552</v>
      </c>
      <c r="CL1152" t="s">
        <v>228</v>
      </c>
      <c r="CM1152" t="s">
        <v>234</v>
      </c>
      <c r="CN1152" t="s">
        <v>45</v>
      </c>
      <c r="CO1152">
        <v>-100</v>
      </c>
      <c r="CP1152">
        <v>42067901</v>
      </c>
      <c r="CQ1152" s="73">
        <v>45356.556493055556</v>
      </c>
      <c r="CR1152" t="s">
        <v>229</v>
      </c>
      <c r="CS1152" t="s">
        <v>46</v>
      </c>
      <c r="CU1152" t="s">
        <v>225</v>
      </c>
    </row>
    <row r="1153" spans="1:99">
      <c r="A1153" t="s">
        <v>93</v>
      </c>
      <c r="B1153" t="s">
        <v>98</v>
      </c>
      <c r="J1153" t="s">
        <v>225</v>
      </c>
      <c r="K1153" t="s">
        <v>225</v>
      </c>
      <c r="M1153" s="73">
        <v>45356.556493055556</v>
      </c>
      <c r="N1153">
        <v>42067900</v>
      </c>
      <c r="O1153">
        <v>-5</v>
      </c>
      <c r="P1153" t="s">
        <v>73</v>
      </c>
      <c r="Q1153">
        <v>-5</v>
      </c>
      <c r="R1153" t="s">
        <v>73</v>
      </c>
      <c r="U1153" t="s">
        <v>226</v>
      </c>
      <c r="V1153" t="s">
        <v>552</v>
      </c>
      <c r="W1153" t="s">
        <v>228</v>
      </c>
      <c r="X1153" t="s">
        <v>229</v>
      </c>
      <c r="Y1153" t="s">
        <v>93</v>
      </c>
      <c r="AD1153" t="s">
        <v>73</v>
      </c>
      <c r="AE1153">
        <v>-5</v>
      </c>
      <c r="AF1153">
        <v>42067900</v>
      </c>
      <c r="AG1153" s="73">
        <v>45356.556493055556</v>
      </c>
      <c r="AH1153" t="s">
        <v>226</v>
      </c>
      <c r="AI1153" t="s">
        <v>552</v>
      </c>
      <c r="AJ1153" t="s">
        <v>228</v>
      </c>
      <c r="AK1153" t="s">
        <v>229</v>
      </c>
      <c r="AL1153" t="s">
        <v>93</v>
      </c>
      <c r="AP1153" t="s">
        <v>230</v>
      </c>
      <c r="AQ1153" t="s">
        <v>231</v>
      </c>
      <c r="AT1153" t="s">
        <v>232</v>
      </c>
      <c r="AU1153">
        <v>-99</v>
      </c>
      <c r="AV1153" t="s">
        <v>73</v>
      </c>
      <c r="AW1153">
        <v>-5</v>
      </c>
      <c r="AX1153">
        <v>42067900</v>
      </c>
      <c r="AY1153" s="73">
        <v>45356.556493055556</v>
      </c>
      <c r="AZ1153" t="s">
        <v>226</v>
      </c>
      <c r="BA1153" t="s">
        <v>552</v>
      </c>
      <c r="BB1153" t="s">
        <v>228</v>
      </c>
      <c r="BC1153" t="s">
        <v>229</v>
      </c>
      <c r="BD1153" t="s">
        <v>93</v>
      </c>
      <c r="BI1153" t="s">
        <v>233</v>
      </c>
      <c r="BJ1153" t="s">
        <v>0</v>
      </c>
      <c r="BK1153">
        <v>42067882</v>
      </c>
      <c r="BN1153" t="s">
        <v>73</v>
      </c>
      <c r="BR1153">
        <v>-5</v>
      </c>
      <c r="BS1153">
        <v>42067900</v>
      </c>
      <c r="BT1153" s="73">
        <v>45356.556493055556</v>
      </c>
      <c r="BU1153" t="s">
        <v>226</v>
      </c>
      <c r="BV1153" t="s">
        <v>552</v>
      </c>
      <c r="BW1153" t="s">
        <v>228</v>
      </c>
      <c r="CH1153" t="s">
        <v>229</v>
      </c>
      <c r="CI1153" t="s">
        <v>93</v>
      </c>
      <c r="CJ1153" t="s">
        <v>226</v>
      </c>
      <c r="CK1153" t="s">
        <v>552</v>
      </c>
      <c r="CL1153" t="s">
        <v>228</v>
      </c>
      <c r="CM1153" t="s">
        <v>234</v>
      </c>
      <c r="CN1153" t="s">
        <v>73</v>
      </c>
      <c r="CO1153">
        <v>-5</v>
      </c>
      <c r="CP1153">
        <v>42067900</v>
      </c>
      <c r="CQ1153" s="73">
        <v>45356.556493055556</v>
      </c>
      <c r="CR1153" t="s">
        <v>229</v>
      </c>
      <c r="CS1153" t="s">
        <v>93</v>
      </c>
      <c r="CU1153" t="s">
        <v>225</v>
      </c>
    </row>
    <row r="1154" spans="1:99">
      <c r="A1154" t="s">
        <v>108</v>
      </c>
      <c r="B1154" t="s">
        <v>98</v>
      </c>
      <c r="J1154" t="s">
        <v>225</v>
      </c>
      <c r="K1154" t="s">
        <v>225</v>
      </c>
      <c r="M1154" s="73">
        <v>45356.556493055556</v>
      </c>
      <c r="N1154">
        <v>42067899</v>
      </c>
      <c r="O1154">
        <v>100</v>
      </c>
      <c r="P1154" t="s">
        <v>104</v>
      </c>
      <c r="Q1154">
        <v>100</v>
      </c>
      <c r="R1154" t="s">
        <v>104</v>
      </c>
      <c r="S1154">
        <v>5</v>
      </c>
      <c r="T1154" t="s">
        <v>73</v>
      </c>
      <c r="U1154" t="s">
        <v>226</v>
      </c>
      <c r="V1154" t="s">
        <v>552</v>
      </c>
      <c r="W1154" t="s">
        <v>235</v>
      </c>
      <c r="X1154" t="s">
        <v>229</v>
      </c>
      <c r="Y1154" t="s">
        <v>108</v>
      </c>
      <c r="AD1154" t="s">
        <v>104</v>
      </c>
      <c r="AE1154">
        <v>100</v>
      </c>
      <c r="AF1154">
        <v>42067899</v>
      </c>
      <c r="AG1154" s="73">
        <v>45356.556493055556</v>
      </c>
      <c r="AH1154" t="s">
        <v>226</v>
      </c>
      <c r="AI1154" t="s">
        <v>552</v>
      </c>
      <c r="AJ1154" t="s">
        <v>235</v>
      </c>
      <c r="AK1154" t="s">
        <v>229</v>
      </c>
      <c r="AL1154" t="s">
        <v>108</v>
      </c>
      <c r="AP1154" t="s">
        <v>230</v>
      </c>
      <c r="AQ1154" t="s">
        <v>231</v>
      </c>
      <c r="AT1154" t="s">
        <v>232</v>
      </c>
      <c r="AU1154">
        <v>-99</v>
      </c>
      <c r="AV1154" t="s">
        <v>104</v>
      </c>
      <c r="AW1154">
        <v>100</v>
      </c>
      <c r="AX1154">
        <v>42067899</v>
      </c>
      <c r="AY1154" s="73">
        <v>45356.556493055556</v>
      </c>
      <c r="AZ1154" t="s">
        <v>226</v>
      </c>
      <c r="BA1154" t="s">
        <v>552</v>
      </c>
      <c r="BB1154" t="s">
        <v>235</v>
      </c>
      <c r="BC1154" t="s">
        <v>229</v>
      </c>
      <c r="BD1154" t="s">
        <v>108</v>
      </c>
      <c r="BI1154" t="s">
        <v>233</v>
      </c>
      <c r="BJ1154" t="s">
        <v>0</v>
      </c>
      <c r="BK1154">
        <v>42067882</v>
      </c>
      <c r="BN1154" t="s">
        <v>104</v>
      </c>
      <c r="BO1154">
        <v>42067895</v>
      </c>
      <c r="BR1154">
        <v>100</v>
      </c>
      <c r="BS1154">
        <v>42067899</v>
      </c>
      <c r="BT1154" s="73">
        <v>45356.556493055556</v>
      </c>
      <c r="BU1154" t="s">
        <v>226</v>
      </c>
      <c r="BV1154" t="s">
        <v>552</v>
      </c>
      <c r="BW1154" t="s">
        <v>235</v>
      </c>
      <c r="CH1154" t="s">
        <v>229</v>
      </c>
      <c r="CI1154" t="s">
        <v>108</v>
      </c>
      <c r="CJ1154" t="s">
        <v>226</v>
      </c>
      <c r="CK1154" t="s">
        <v>552</v>
      </c>
      <c r="CL1154" t="s">
        <v>235</v>
      </c>
      <c r="CM1154" t="s">
        <v>236</v>
      </c>
      <c r="CN1154" t="s">
        <v>104</v>
      </c>
      <c r="CO1154">
        <v>100</v>
      </c>
      <c r="CP1154">
        <v>42067899</v>
      </c>
      <c r="CQ1154" s="73">
        <v>45356.556493055556</v>
      </c>
      <c r="CR1154" t="s">
        <v>229</v>
      </c>
      <c r="CS1154" t="s">
        <v>108</v>
      </c>
      <c r="CU1154" t="s">
        <v>225</v>
      </c>
    </row>
    <row r="1155" spans="1:99">
      <c r="A1155" t="s">
        <v>42</v>
      </c>
      <c r="B1155" t="s">
        <v>92</v>
      </c>
      <c r="J1155" t="s">
        <v>225</v>
      </c>
      <c r="K1155" t="s">
        <v>225</v>
      </c>
      <c r="M1155" s="73">
        <v>45356.230115740742</v>
      </c>
      <c r="N1155">
        <v>42063048</v>
      </c>
      <c r="O1155">
        <v>-10362</v>
      </c>
      <c r="P1155" t="s">
        <v>45</v>
      </c>
      <c r="Q1155">
        <v>-10362</v>
      </c>
      <c r="R1155" t="s">
        <v>45</v>
      </c>
      <c r="U1155" t="s">
        <v>226</v>
      </c>
      <c r="V1155" t="s">
        <v>553</v>
      </c>
      <c r="W1155" t="s">
        <v>228</v>
      </c>
      <c r="X1155" t="s">
        <v>229</v>
      </c>
      <c r="Y1155" t="s">
        <v>42</v>
      </c>
      <c r="AD1155" t="s">
        <v>45</v>
      </c>
      <c r="AE1155">
        <v>-10362</v>
      </c>
      <c r="AF1155">
        <v>42063048</v>
      </c>
      <c r="AG1155" s="73">
        <v>45356.230115740742</v>
      </c>
      <c r="AH1155" t="s">
        <v>226</v>
      </c>
      <c r="AI1155" t="s">
        <v>553</v>
      </c>
      <c r="AJ1155" t="s">
        <v>228</v>
      </c>
      <c r="AK1155" t="s">
        <v>229</v>
      </c>
      <c r="AL1155" t="s">
        <v>42</v>
      </c>
      <c r="AP1155" t="s">
        <v>230</v>
      </c>
      <c r="AQ1155" t="s">
        <v>231</v>
      </c>
      <c r="AT1155" t="s">
        <v>232</v>
      </c>
      <c r="AU1155">
        <v>-99</v>
      </c>
      <c r="AV1155" t="s">
        <v>45</v>
      </c>
      <c r="AW1155">
        <v>-10362</v>
      </c>
      <c r="AX1155">
        <v>42063048</v>
      </c>
      <c r="AY1155" s="73">
        <v>45356.230115740742</v>
      </c>
      <c r="AZ1155" t="s">
        <v>226</v>
      </c>
      <c r="BA1155" t="s">
        <v>553</v>
      </c>
      <c r="BB1155" t="s">
        <v>228</v>
      </c>
      <c r="BC1155" t="s">
        <v>229</v>
      </c>
      <c r="BD1155" t="s">
        <v>42</v>
      </c>
      <c r="BI1155" t="s">
        <v>233</v>
      </c>
      <c r="BJ1155" t="s">
        <v>0</v>
      </c>
      <c r="BK1155">
        <v>42063032</v>
      </c>
      <c r="BN1155" t="s">
        <v>45</v>
      </c>
      <c r="BR1155">
        <v>-10362</v>
      </c>
      <c r="BS1155">
        <v>42063048</v>
      </c>
      <c r="BT1155" s="73">
        <v>45356.230115740742</v>
      </c>
      <c r="BU1155" t="s">
        <v>226</v>
      </c>
      <c r="BV1155" t="s">
        <v>553</v>
      </c>
      <c r="BW1155" t="s">
        <v>228</v>
      </c>
      <c r="CH1155" t="s">
        <v>229</v>
      </c>
      <c r="CI1155" t="s">
        <v>42</v>
      </c>
      <c r="CJ1155" t="s">
        <v>226</v>
      </c>
      <c r="CK1155" t="s">
        <v>553</v>
      </c>
      <c r="CL1155" t="s">
        <v>228</v>
      </c>
      <c r="CM1155" t="s">
        <v>234</v>
      </c>
      <c r="CN1155" t="s">
        <v>45</v>
      </c>
      <c r="CO1155">
        <v>-10362</v>
      </c>
      <c r="CP1155">
        <v>42063048</v>
      </c>
      <c r="CQ1155" s="73">
        <v>45356.230115740742</v>
      </c>
      <c r="CR1155" t="s">
        <v>229</v>
      </c>
      <c r="CS1155" t="s">
        <v>42</v>
      </c>
      <c r="CU1155" t="s">
        <v>225</v>
      </c>
    </row>
    <row r="1156" spans="1:99">
      <c r="A1156" t="s">
        <v>99</v>
      </c>
      <c r="B1156" t="s">
        <v>98</v>
      </c>
      <c r="J1156" t="s">
        <v>225</v>
      </c>
      <c r="K1156" t="s">
        <v>225</v>
      </c>
      <c r="M1156" s="73">
        <v>45356.230115740742</v>
      </c>
      <c r="N1156">
        <v>42063047</v>
      </c>
      <c r="O1156">
        <v>-517.5</v>
      </c>
      <c r="P1156" t="s">
        <v>73</v>
      </c>
      <c r="Q1156">
        <v>-517.5</v>
      </c>
      <c r="R1156" t="s">
        <v>73</v>
      </c>
      <c r="U1156" t="s">
        <v>226</v>
      </c>
      <c r="V1156" t="s">
        <v>553</v>
      </c>
      <c r="W1156" t="s">
        <v>228</v>
      </c>
      <c r="X1156" t="s">
        <v>229</v>
      </c>
      <c r="Y1156" t="s">
        <v>99</v>
      </c>
      <c r="AD1156" t="s">
        <v>73</v>
      </c>
      <c r="AE1156">
        <v>-517.5</v>
      </c>
      <c r="AF1156">
        <v>42063047</v>
      </c>
      <c r="AG1156" s="73">
        <v>45356.230115740742</v>
      </c>
      <c r="AH1156" t="s">
        <v>226</v>
      </c>
      <c r="AI1156" t="s">
        <v>553</v>
      </c>
      <c r="AJ1156" t="s">
        <v>228</v>
      </c>
      <c r="AK1156" t="s">
        <v>229</v>
      </c>
      <c r="AL1156" t="s">
        <v>99</v>
      </c>
      <c r="AP1156" t="s">
        <v>230</v>
      </c>
      <c r="AQ1156" t="s">
        <v>231</v>
      </c>
      <c r="AT1156" t="s">
        <v>232</v>
      </c>
      <c r="AU1156">
        <v>-99</v>
      </c>
      <c r="AV1156" t="s">
        <v>73</v>
      </c>
      <c r="AW1156">
        <v>-517.5</v>
      </c>
      <c r="AX1156">
        <v>42063047</v>
      </c>
      <c r="AY1156" s="73">
        <v>45356.230115740742</v>
      </c>
      <c r="AZ1156" t="s">
        <v>226</v>
      </c>
      <c r="BA1156" t="s">
        <v>553</v>
      </c>
      <c r="BB1156" t="s">
        <v>228</v>
      </c>
      <c r="BC1156" t="s">
        <v>229</v>
      </c>
      <c r="BD1156" t="s">
        <v>99</v>
      </c>
      <c r="BI1156" t="s">
        <v>233</v>
      </c>
      <c r="BJ1156" t="s">
        <v>0</v>
      </c>
      <c r="BK1156">
        <v>42063032</v>
      </c>
      <c r="BN1156" t="s">
        <v>73</v>
      </c>
      <c r="BR1156">
        <v>-517.5</v>
      </c>
      <c r="BS1156">
        <v>42063047</v>
      </c>
      <c r="BT1156" s="73">
        <v>45356.230115740742</v>
      </c>
      <c r="BU1156" t="s">
        <v>226</v>
      </c>
      <c r="BV1156" t="s">
        <v>553</v>
      </c>
      <c r="BW1156" t="s">
        <v>228</v>
      </c>
      <c r="CH1156" t="s">
        <v>229</v>
      </c>
      <c r="CI1156" t="s">
        <v>99</v>
      </c>
      <c r="CJ1156" t="s">
        <v>226</v>
      </c>
      <c r="CK1156" t="s">
        <v>553</v>
      </c>
      <c r="CL1156" t="s">
        <v>228</v>
      </c>
      <c r="CM1156" t="s">
        <v>234</v>
      </c>
      <c r="CN1156" t="s">
        <v>73</v>
      </c>
      <c r="CO1156">
        <v>-517.5</v>
      </c>
      <c r="CP1156">
        <v>42063047</v>
      </c>
      <c r="CQ1156" s="73">
        <v>45356.230115740742</v>
      </c>
      <c r="CR1156" t="s">
        <v>229</v>
      </c>
      <c r="CS1156" t="s">
        <v>99</v>
      </c>
      <c r="CU1156" t="s">
        <v>225</v>
      </c>
    </row>
    <row r="1157" spans="1:99">
      <c r="A1157" t="s">
        <v>103</v>
      </c>
      <c r="B1157" t="s">
        <v>98</v>
      </c>
      <c r="J1157" t="s">
        <v>225</v>
      </c>
      <c r="K1157" t="s">
        <v>225</v>
      </c>
      <c r="M1157" s="73">
        <v>45356.230115740742</v>
      </c>
      <c r="N1157">
        <v>42063046</v>
      </c>
      <c r="O1157">
        <v>10350</v>
      </c>
      <c r="P1157" t="s">
        <v>104</v>
      </c>
      <c r="Q1157">
        <v>10350</v>
      </c>
      <c r="R1157" t="s">
        <v>104</v>
      </c>
      <c r="S1157">
        <v>517.5</v>
      </c>
      <c r="T1157" t="s">
        <v>73</v>
      </c>
      <c r="U1157" t="s">
        <v>226</v>
      </c>
      <c r="V1157" t="s">
        <v>553</v>
      </c>
      <c r="W1157" t="s">
        <v>235</v>
      </c>
      <c r="X1157" t="s">
        <v>229</v>
      </c>
      <c r="Y1157" t="s">
        <v>103</v>
      </c>
      <c r="AD1157" t="s">
        <v>104</v>
      </c>
      <c r="AE1157">
        <v>10350</v>
      </c>
      <c r="AF1157">
        <v>42063046</v>
      </c>
      <c r="AG1157" s="73">
        <v>45356.230115740742</v>
      </c>
      <c r="AH1157" t="s">
        <v>226</v>
      </c>
      <c r="AI1157" t="s">
        <v>553</v>
      </c>
      <c r="AJ1157" t="s">
        <v>235</v>
      </c>
      <c r="AK1157" t="s">
        <v>229</v>
      </c>
      <c r="AL1157" t="s">
        <v>103</v>
      </c>
      <c r="AP1157" t="s">
        <v>230</v>
      </c>
      <c r="AQ1157" t="s">
        <v>231</v>
      </c>
      <c r="AT1157" t="s">
        <v>232</v>
      </c>
      <c r="AU1157">
        <v>-99</v>
      </c>
      <c r="AV1157" t="s">
        <v>104</v>
      </c>
      <c r="AW1157">
        <v>10350</v>
      </c>
      <c r="AX1157">
        <v>42063046</v>
      </c>
      <c r="AY1157" s="73">
        <v>45356.230115740742</v>
      </c>
      <c r="AZ1157" t="s">
        <v>226</v>
      </c>
      <c r="BA1157" t="s">
        <v>553</v>
      </c>
      <c r="BB1157" t="s">
        <v>235</v>
      </c>
      <c r="BC1157" t="s">
        <v>229</v>
      </c>
      <c r="BD1157" t="s">
        <v>103</v>
      </c>
      <c r="BI1157" t="s">
        <v>233</v>
      </c>
      <c r="BJ1157" t="s">
        <v>0</v>
      </c>
      <c r="BK1157">
        <v>42063032</v>
      </c>
      <c r="BN1157" t="s">
        <v>104</v>
      </c>
      <c r="BO1157">
        <v>42063038</v>
      </c>
      <c r="BR1157">
        <v>10350</v>
      </c>
      <c r="BS1157">
        <v>42063046</v>
      </c>
      <c r="BT1157" s="73">
        <v>45356.230115740742</v>
      </c>
      <c r="BU1157" t="s">
        <v>226</v>
      </c>
      <c r="BV1157" t="s">
        <v>553</v>
      </c>
      <c r="BW1157" t="s">
        <v>235</v>
      </c>
      <c r="CH1157" t="s">
        <v>229</v>
      </c>
      <c r="CI1157" t="s">
        <v>103</v>
      </c>
      <c r="CJ1157" t="s">
        <v>226</v>
      </c>
      <c r="CK1157" t="s">
        <v>553</v>
      </c>
      <c r="CL1157" t="s">
        <v>235</v>
      </c>
      <c r="CM1157" t="s">
        <v>236</v>
      </c>
      <c r="CN1157" t="s">
        <v>104</v>
      </c>
      <c r="CO1157">
        <v>10350</v>
      </c>
      <c r="CP1157">
        <v>42063046</v>
      </c>
      <c r="CQ1157" s="73">
        <v>45356.230115740742</v>
      </c>
      <c r="CR1157" t="s">
        <v>229</v>
      </c>
      <c r="CS1157" t="s">
        <v>103</v>
      </c>
      <c r="CU1157" t="s">
        <v>225</v>
      </c>
    </row>
    <row r="1158" spans="1:99">
      <c r="A1158" t="s">
        <v>111</v>
      </c>
      <c r="B1158" t="s">
        <v>77</v>
      </c>
      <c r="J1158" t="s">
        <v>225</v>
      </c>
      <c r="K1158" t="s">
        <v>225</v>
      </c>
      <c r="M1158" s="73">
        <v>45356.230115740742</v>
      </c>
      <c r="N1158">
        <v>42063045</v>
      </c>
      <c r="O1158">
        <v>12</v>
      </c>
      <c r="P1158" t="s">
        <v>45</v>
      </c>
      <c r="Q1158">
        <v>12</v>
      </c>
      <c r="R1158" t="s">
        <v>45</v>
      </c>
      <c r="U1158" t="s">
        <v>226</v>
      </c>
      <c r="V1158" t="s">
        <v>553</v>
      </c>
      <c r="W1158" t="s">
        <v>237</v>
      </c>
      <c r="X1158" t="s">
        <v>229</v>
      </c>
      <c r="Y1158" t="s">
        <v>111</v>
      </c>
      <c r="AD1158" t="s">
        <v>45</v>
      </c>
      <c r="AE1158">
        <v>12</v>
      </c>
      <c r="AF1158">
        <v>42063045</v>
      </c>
      <c r="AG1158" s="73">
        <v>45356.230115740742</v>
      </c>
      <c r="AH1158" t="s">
        <v>226</v>
      </c>
      <c r="AI1158" t="s">
        <v>553</v>
      </c>
      <c r="AJ1158" t="s">
        <v>237</v>
      </c>
      <c r="AK1158" t="s">
        <v>229</v>
      </c>
      <c r="AL1158" t="s">
        <v>111</v>
      </c>
      <c r="AP1158" t="s">
        <v>230</v>
      </c>
      <c r="AQ1158" t="s">
        <v>231</v>
      </c>
      <c r="AT1158" t="s">
        <v>232</v>
      </c>
      <c r="AU1158">
        <v>-99</v>
      </c>
      <c r="AV1158" t="s">
        <v>45</v>
      </c>
      <c r="AW1158">
        <v>12</v>
      </c>
      <c r="AX1158">
        <v>42063045</v>
      </c>
      <c r="AY1158" s="73">
        <v>45356.230115740742</v>
      </c>
      <c r="AZ1158" t="s">
        <v>226</v>
      </c>
      <c r="BA1158" t="s">
        <v>553</v>
      </c>
      <c r="BB1158" t="s">
        <v>237</v>
      </c>
      <c r="BC1158" t="s">
        <v>229</v>
      </c>
      <c r="BD1158" t="s">
        <v>111</v>
      </c>
      <c r="BI1158" t="s">
        <v>233</v>
      </c>
      <c r="BJ1158" t="s">
        <v>0</v>
      </c>
      <c r="BK1158">
        <v>42063032</v>
      </c>
      <c r="BN1158" t="s">
        <v>45</v>
      </c>
      <c r="BO1158">
        <v>42063040</v>
      </c>
      <c r="BR1158">
        <v>12</v>
      </c>
      <c r="BS1158">
        <v>42063045</v>
      </c>
      <c r="BT1158" s="73">
        <v>45356.230115740742</v>
      </c>
      <c r="BU1158" t="s">
        <v>226</v>
      </c>
      <c r="BV1158" t="s">
        <v>553</v>
      </c>
      <c r="BW1158" t="s">
        <v>237</v>
      </c>
      <c r="CH1158" t="s">
        <v>229</v>
      </c>
      <c r="CI1158" t="s">
        <v>111</v>
      </c>
      <c r="CJ1158" t="s">
        <v>226</v>
      </c>
      <c r="CK1158" t="s">
        <v>553</v>
      </c>
      <c r="CL1158" t="s">
        <v>237</v>
      </c>
      <c r="CM1158" t="s">
        <v>236</v>
      </c>
      <c r="CN1158" t="s">
        <v>45</v>
      </c>
      <c r="CO1158">
        <v>12</v>
      </c>
      <c r="CP1158">
        <v>42063045</v>
      </c>
      <c r="CQ1158" s="73">
        <v>45356.230115740742</v>
      </c>
      <c r="CR1158" t="s">
        <v>229</v>
      </c>
      <c r="CS1158" t="s">
        <v>111</v>
      </c>
      <c r="CU1158" t="s">
        <v>225</v>
      </c>
    </row>
    <row r="1159" spans="1:99">
      <c r="A1159" t="s">
        <v>42</v>
      </c>
      <c r="B1159" t="s">
        <v>92</v>
      </c>
      <c r="J1159" t="s">
        <v>225</v>
      </c>
      <c r="K1159" t="s">
        <v>225</v>
      </c>
      <c r="M1159" s="73">
        <v>45356.228483796294</v>
      </c>
      <c r="N1159">
        <v>42063009</v>
      </c>
      <c r="O1159">
        <v>-6730</v>
      </c>
      <c r="P1159" t="s">
        <v>45</v>
      </c>
      <c r="Q1159">
        <v>-6730</v>
      </c>
      <c r="R1159" t="s">
        <v>45</v>
      </c>
      <c r="U1159" t="s">
        <v>226</v>
      </c>
      <c r="V1159" t="s">
        <v>554</v>
      </c>
      <c r="W1159" t="s">
        <v>228</v>
      </c>
      <c r="X1159" t="s">
        <v>229</v>
      </c>
      <c r="Y1159" t="s">
        <v>42</v>
      </c>
      <c r="AD1159" t="s">
        <v>45</v>
      </c>
      <c r="AE1159">
        <v>-6730</v>
      </c>
      <c r="AF1159">
        <v>42063009</v>
      </c>
      <c r="AG1159" s="73">
        <v>45356.228483796294</v>
      </c>
      <c r="AH1159" t="s">
        <v>226</v>
      </c>
      <c r="AI1159" t="s">
        <v>554</v>
      </c>
      <c r="AJ1159" t="s">
        <v>228</v>
      </c>
      <c r="AK1159" t="s">
        <v>229</v>
      </c>
      <c r="AL1159" t="s">
        <v>42</v>
      </c>
      <c r="AP1159" t="s">
        <v>230</v>
      </c>
      <c r="AQ1159" t="s">
        <v>231</v>
      </c>
      <c r="AT1159" t="s">
        <v>232</v>
      </c>
      <c r="AU1159">
        <v>-99</v>
      </c>
      <c r="AV1159" t="s">
        <v>45</v>
      </c>
      <c r="AW1159">
        <v>-6730</v>
      </c>
      <c r="AX1159">
        <v>42063009</v>
      </c>
      <c r="AY1159" s="73">
        <v>45356.228483796294</v>
      </c>
      <c r="AZ1159" t="s">
        <v>226</v>
      </c>
      <c r="BA1159" t="s">
        <v>554</v>
      </c>
      <c r="BB1159" t="s">
        <v>228</v>
      </c>
      <c r="BC1159" t="s">
        <v>229</v>
      </c>
      <c r="BD1159" t="s">
        <v>42</v>
      </c>
      <c r="BI1159" t="s">
        <v>233</v>
      </c>
      <c r="BJ1159" t="s">
        <v>0</v>
      </c>
      <c r="BK1159">
        <v>42062993</v>
      </c>
      <c r="BN1159" t="s">
        <v>45</v>
      </c>
      <c r="BR1159">
        <v>-6730</v>
      </c>
      <c r="BS1159">
        <v>42063009</v>
      </c>
      <c r="BT1159" s="73">
        <v>45356.228483796294</v>
      </c>
      <c r="BU1159" t="s">
        <v>226</v>
      </c>
      <c r="BV1159" t="s">
        <v>554</v>
      </c>
      <c r="BW1159" t="s">
        <v>228</v>
      </c>
      <c r="CH1159" t="s">
        <v>229</v>
      </c>
      <c r="CI1159" t="s">
        <v>42</v>
      </c>
      <c r="CJ1159" t="s">
        <v>226</v>
      </c>
      <c r="CK1159" t="s">
        <v>554</v>
      </c>
      <c r="CL1159" t="s">
        <v>228</v>
      </c>
      <c r="CM1159" t="s">
        <v>234</v>
      </c>
      <c r="CN1159" t="s">
        <v>45</v>
      </c>
      <c r="CO1159">
        <v>-6730</v>
      </c>
      <c r="CP1159">
        <v>42063009</v>
      </c>
      <c r="CQ1159" s="73">
        <v>45356.228483796294</v>
      </c>
      <c r="CR1159" t="s">
        <v>229</v>
      </c>
      <c r="CS1159" t="s">
        <v>42</v>
      </c>
      <c r="CU1159" t="s">
        <v>225</v>
      </c>
    </row>
    <row r="1160" spans="1:99">
      <c r="A1160" t="s">
        <v>99</v>
      </c>
      <c r="B1160" t="s">
        <v>98</v>
      </c>
      <c r="J1160" t="s">
        <v>225</v>
      </c>
      <c r="K1160" t="s">
        <v>225</v>
      </c>
      <c r="M1160" s="73">
        <v>45356.228483796294</v>
      </c>
      <c r="N1160">
        <v>42063008</v>
      </c>
      <c r="O1160">
        <v>-336</v>
      </c>
      <c r="P1160" t="s">
        <v>73</v>
      </c>
      <c r="Q1160">
        <v>-336</v>
      </c>
      <c r="R1160" t="s">
        <v>73</v>
      </c>
      <c r="U1160" t="s">
        <v>226</v>
      </c>
      <c r="V1160" t="s">
        <v>554</v>
      </c>
      <c r="W1160" t="s">
        <v>228</v>
      </c>
      <c r="X1160" t="s">
        <v>229</v>
      </c>
      <c r="Y1160" t="s">
        <v>99</v>
      </c>
      <c r="AD1160" t="s">
        <v>73</v>
      </c>
      <c r="AE1160">
        <v>-336</v>
      </c>
      <c r="AF1160">
        <v>42063008</v>
      </c>
      <c r="AG1160" s="73">
        <v>45356.228483796294</v>
      </c>
      <c r="AH1160" t="s">
        <v>226</v>
      </c>
      <c r="AI1160" t="s">
        <v>554</v>
      </c>
      <c r="AJ1160" t="s">
        <v>228</v>
      </c>
      <c r="AK1160" t="s">
        <v>229</v>
      </c>
      <c r="AL1160" t="s">
        <v>99</v>
      </c>
      <c r="AP1160" t="s">
        <v>230</v>
      </c>
      <c r="AQ1160" t="s">
        <v>231</v>
      </c>
      <c r="AT1160" t="s">
        <v>232</v>
      </c>
      <c r="AU1160">
        <v>-99</v>
      </c>
      <c r="AV1160" t="s">
        <v>73</v>
      </c>
      <c r="AW1160">
        <v>-336</v>
      </c>
      <c r="AX1160">
        <v>42063008</v>
      </c>
      <c r="AY1160" s="73">
        <v>45356.228483796294</v>
      </c>
      <c r="AZ1160" t="s">
        <v>226</v>
      </c>
      <c r="BA1160" t="s">
        <v>554</v>
      </c>
      <c r="BB1160" t="s">
        <v>228</v>
      </c>
      <c r="BC1160" t="s">
        <v>229</v>
      </c>
      <c r="BD1160" t="s">
        <v>99</v>
      </c>
      <c r="BI1160" t="s">
        <v>233</v>
      </c>
      <c r="BJ1160" t="s">
        <v>0</v>
      </c>
      <c r="BK1160">
        <v>42062993</v>
      </c>
      <c r="BN1160" t="s">
        <v>73</v>
      </c>
      <c r="BR1160">
        <v>-336</v>
      </c>
      <c r="BS1160">
        <v>42063008</v>
      </c>
      <c r="BT1160" s="73">
        <v>45356.228483796294</v>
      </c>
      <c r="BU1160" t="s">
        <v>226</v>
      </c>
      <c r="BV1160" t="s">
        <v>554</v>
      </c>
      <c r="BW1160" t="s">
        <v>228</v>
      </c>
      <c r="CH1160" t="s">
        <v>229</v>
      </c>
      <c r="CI1160" t="s">
        <v>99</v>
      </c>
      <c r="CJ1160" t="s">
        <v>226</v>
      </c>
      <c r="CK1160" t="s">
        <v>554</v>
      </c>
      <c r="CL1160" t="s">
        <v>228</v>
      </c>
      <c r="CM1160" t="s">
        <v>234</v>
      </c>
      <c r="CN1160" t="s">
        <v>73</v>
      </c>
      <c r="CO1160">
        <v>-336</v>
      </c>
      <c r="CP1160">
        <v>42063008</v>
      </c>
      <c r="CQ1160" s="73">
        <v>45356.228483796294</v>
      </c>
      <c r="CR1160" t="s">
        <v>229</v>
      </c>
      <c r="CS1160" t="s">
        <v>99</v>
      </c>
      <c r="CU1160" t="s">
        <v>225</v>
      </c>
    </row>
    <row r="1161" spans="1:99">
      <c r="A1161" t="s">
        <v>103</v>
      </c>
      <c r="B1161" t="s">
        <v>98</v>
      </c>
      <c r="J1161" t="s">
        <v>225</v>
      </c>
      <c r="K1161" t="s">
        <v>225</v>
      </c>
      <c r="M1161" s="73">
        <v>45356.228483796294</v>
      </c>
      <c r="N1161">
        <v>42063007</v>
      </c>
      <c r="O1161">
        <v>6720</v>
      </c>
      <c r="P1161" t="s">
        <v>104</v>
      </c>
      <c r="Q1161">
        <v>6720</v>
      </c>
      <c r="R1161" t="s">
        <v>104</v>
      </c>
      <c r="S1161">
        <v>336</v>
      </c>
      <c r="T1161" t="s">
        <v>73</v>
      </c>
      <c r="U1161" t="s">
        <v>226</v>
      </c>
      <c r="V1161" t="s">
        <v>554</v>
      </c>
      <c r="W1161" t="s">
        <v>235</v>
      </c>
      <c r="X1161" t="s">
        <v>229</v>
      </c>
      <c r="Y1161" t="s">
        <v>103</v>
      </c>
      <c r="AD1161" t="s">
        <v>104</v>
      </c>
      <c r="AE1161">
        <v>6720</v>
      </c>
      <c r="AF1161">
        <v>42063007</v>
      </c>
      <c r="AG1161" s="73">
        <v>45356.228483796294</v>
      </c>
      <c r="AH1161" t="s">
        <v>226</v>
      </c>
      <c r="AI1161" t="s">
        <v>554</v>
      </c>
      <c r="AJ1161" t="s">
        <v>235</v>
      </c>
      <c r="AK1161" t="s">
        <v>229</v>
      </c>
      <c r="AL1161" t="s">
        <v>103</v>
      </c>
      <c r="AP1161" t="s">
        <v>230</v>
      </c>
      <c r="AQ1161" t="s">
        <v>231</v>
      </c>
      <c r="AT1161" t="s">
        <v>232</v>
      </c>
      <c r="AU1161">
        <v>-99</v>
      </c>
      <c r="AV1161" t="s">
        <v>104</v>
      </c>
      <c r="AW1161">
        <v>6720</v>
      </c>
      <c r="AX1161">
        <v>42063007</v>
      </c>
      <c r="AY1161" s="73">
        <v>45356.228483796294</v>
      </c>
      <c r="AZ1161" t="s">
        <v>226</v>
      </c>
      <c r="BA1161" t="s">
        <v>554</v>
      </c>
      <c r="BB1161" t="s">
        <v>235</v>
      </c>
      <c r="BC1161" t="s">
        <v>229</v>
      </c>
      <c r="BD1161" t="s">
        <v>103</v>
      </c>
      <c r="BI1161" t="s">
        <v>233</v>
      </c>
      <c r="BJ1161" t="s">
        <v>0</v>
      </c>
      <c r="BK1161">
        <v>42062993</v>
      </c>
      <c r="BN1161" t="s">
        <v>104</v>
      </c>
      <c r="BO1161">
        <v>42062999</v>
      </c>
      <c r="BR1161">
        <v>6720</v>
      </c>
      <c r="BS1161">
        <v>42063007</v>
      </c>
      <c r="BT1161" s="73">
        <v>45356.228483796294</v>
      </c>
      <c r="BU1161" t="s">
        <v>226</v>
      </c>
      <c r="BV1161" t="s">
        <v>554</v>
      </c>
      <c r="BW1161" t="s">
        <v>235</v>
      </c>
      <c r="CH1161" t="s">
        <v>229</v>
      </c>
      <c r="CI1161" t="s">
        <v>103</v>
      </c>
      <c r="CJ1161" t="s">
        <v>226</v>
      </c>
      <c r="CK1161" t="s">
        <v>554</v>
      </c>
      <c r="CL1161" t="s">
        <v>235</v>
      </c>
      <c r="CM1161" t="s">
        <v>236</v>
      </c>
      <c r="CN1161" t="s">
        <v>104</v>
      </c>
      <c r="CO1161">
        <v>6720</v>
      </c>
      <c r="CP1161">
        <v>42063007</v>
      </c>
      <c r="CQ1161" s="73">
        <v>45356.228483796294</v>
      </c>
      <c r="CR1161" t="s">
        <v>229</v>
      </c>
      <c r="CS1161" t="s">
        <v>103</v>
      </c>
      <c r="CU1161" t="s">
        <v>225</v>
      </c>
    </row>
    <row r="1162" spans="1:99">
      <c r="A1162" t="s">
        <v>111</v>
      </c>
      <c r="B1162" t="s">
        <v>77</v>
      </c>
      <c r="J1162" t="s">
        <v>225</v>
      </c>
      <c r="K1162" t="s">
        <v>225</v>
      </c>
      <c r="M1162" s="73">
        <v>45356.228483796294</v>
      </c>
      <c r="N1162">
        <v>42063006</v>
      </c>
      <c r="O1162">
        <v>10</v>
      </c>
      <c r="P1162" t="s">
        <v>45</v>
      </c>
      <c r="Q1162">
        <v>10</v>
      </c>
      <c r="R1162" t="s">
        <v>45</v>
      </c>
      <c r="U1162" t="s">
        <v>226</v>
      </c>
      <c r="V1162" t="s">
        <v>554</v>
      </c>
      <c r="W1162" t="s">
        <v>237</v>
      </c>
      <c r="X1162" t="s">
        <v>229</v>
      </c>
      <c r="Y1162" t="s">
        <v>111</v>
      </c>
      <c r="AD1162" t="s">
        <v>45</v>
      </c>
      <c r="AE1162">
        <v>10</v>
      </c>
      <c r="AF1162">
        <v>42063006</v>
      </c>
      <c r="AG1162" s="73">
        <v>45356.228483796294</v>
      </c>
      <c r="AH1162" t="s">
        <v>226</v>
      </c>
      <c r="AI1162" t="s">
        <v>554</v>
      </c>
      <c r="AJ1162" t="s">
        <v>237</v>
      </c>
      <c r="AK1162" t="s">
        <v>229</v>
      </c>
      <c r="AL1162" t="s">
        <v>111</v>
      </c>
      <c r="AP1162" t="s">
        <v>230</v>
      </c>
      <c r="AQ1162" t="s">
        <v>231</v>
      </c>
      <c r="AT1162" t="s">
        <v>232</v>
      </c>
      <c r="AU1162">
        <v>-99</v>
      </c>
      <c r="AV1162" t="s">
        <v>45</v>
      </c>
      <c r="AW1162">
        <v>10</v>
      </c>
      <c r="AX1162">
        <v>42063006</v>
      </c>
      <c r="AY1162" s="73">
        <v>45356.228483796294</v>
      </c>
      <c r="AZ1162" t="s">
        <v>226</v>
      </c>
      <c r="BA1162" t="s">
        <v>554</v>
      </c>
      <c r="BB1162" t="s">
        <v>237</v>
      </c>
      <c r="BC1162" t="s">
        <v>229</v>
      </c>
      <c r="BD1162" t="s">
        <v>111</v>
      </c>
      <c r="BI1162" t="s">
        <v>233</v>
      </c>
      <c r="BJ1162" t="s">
        <v>0</v>
      </c>
      <c r="BK1162">
        <v>42062993</v>
      </c>
      <c r="BN1162" t="s">
        <v>45</v>
      </c>
      <c r="BO1162">
        <v>42063001</v>
      </c>
      <c r="BR1162">
        <v>10</v>
      </c>
      <c r="BS1162">
        <v>42063006</v>
      </c>
      <c r="BT1162" s="73">
        <v>45356.228483796294</v>
      </c>
      <c r="BU1162" t="s">
        <v>226</v>
      </c>
      <c r="BV1162" t="s">
        <v>554</v>
      </c>
      <c r="BW1162" t="s">
        <v>237</v>
      </c>
      <c r="CH1162" t="s">
        <v>229</v>
      </c>
      <c r="CI1162" t="s">
        <v>111</v>
      </c>
      <c r="CJ1162" t="s">
        <v>226</v>
      </c>
      <c r="CK1162" t="s">
        <v>554</v>
      </c>
      <c r="CL1162" t="s">
        <v>237</v>
      </c>
      <c r="CM1162" t="s">
        <v>236</v>
      </c>
      <c r="CN1162" t="s">
        <v>45</v>
      </c>
      <c r="CO1162">
        <v>10</v>
      </c>
      <c r="CP1162">
        <v>42063006</v>
      </c>
      <c r="CQ1162" s="73">
        <v>45356.228483796294</v>
      </c>
      <c r="CR1162" t="s">
        <v>229</v>
      </c>
      <c r="CS1162" t="s">
        <v>111</v>
      </c>
      <c r="CU1162" t="s">
        <v>225</v>
      </c>
    </row>
    <row r="1163" spans="1:99">
      <c r="A1163" t="s">
        <v>46</v>
      </c>
      <c r="B1163" t="s">
        <v>92</v>
      </c>
      <c r="J1163" t="s">
        <v>225</v>
      </c>
      <c r="K1163" t="s">
        <v>225</v>
      </c>
      <c r="M1163" s="73">
        <v>45356.227071759262</v>
      </c>
      <c r="N1163">
        <v>42062984</v>
      </c>
      <c r="O1163">
        <v>-100</v>
      </c>
      <c r="P1163" t="s">
        <v>45</v>
      </c>
      <c r="Q1163">
        <v>-100</v>
      </c>
      <c r="R1163" t="s">
        <v>45</v>
      </c>
      <c r="U1163" t="s">
        <v>226</v>
      </c>
      <c r="V1163" t="s">
        <v>555</v>
      </c>
      <c r="W1163" t="s">
        <v>228</v>
      </c>
      <c r="X1163" t="s">
        <v>229</v>
      </c>
      <c r="Y1163" t="s">
        <v>46</v>
      </c>
      <c r="AD1163" t="s">
        <v>45</v>
      </c>
      <c r="AE1163">
        <v>-100</v>
      </c>
      <c r="AF1163">
        <v>42062984</v>
      </c>
      <c r="AG1163" s="73">
        <v>45356.227071759262</v>
      </c>
      <c r="AH1163" t="s">
        <v>226</v>
      </c>
      <c r="AI1163" t="s">
        <v>555</v>
      </c>
      <c r="AJ1163" t="s">
        <v>228</v>
      </c>
      <c r="AK1163" t="s">
        <v>229</v>
      </c>
      <c r="AL1163" t="s">
        <v>46</v>
      </c>
      <c r="AP1163" t="s">
        <v>230</v>
      </c>
      <c r="AQ1163" t="s">
        <v>231</v>
      </c>
      <c r="AT1163" t="s">
        <v>232</v>
      </c>
      <c r="AU1163">
        <v>-99</v>
      </c>
      <c r="AV1163" t="s">
        <v>45</v>
      </c>
      <c r="AW1163">
        <v>-100</v>
      </c>
      <c r="AX1163">
        <v>42062984</v>
      </c>
      <c r="AY1163" s="73">
        <v>45356.227071759262</v>
      </c>
      <c r="AZ1163" t="s">
        <v>226</v>
      </c>
      <c r="BA1163" t="s">
        <v>555</v>
      </c>
      <c r="BB1163" t="s">
        <v>228</v>
      </c>
      <c r="BC1163" t="s">
        <v>229</v>
      </c>
      <c r="BD1163" t="s">
        <v>46</v>
      </c>
      <c r="BI1163" t="s">
        <v>233</v>
      </c>
      <c r="BJ1163" t="s">
        <v>0</v>
      </c>
      <c r="BK1163">
        <v>42062967</v>
      </c>
      <c r="BN1163" t="s">
        <v>45</v>
      </c>
      <c r="BR1163">
        <v>-100</v>
      </c>
      <c r="BS1163">
        <v>42062984</v>
      </c>
      <c r="BT1163" s="73">
        <v>45356.227071759262</v>
      </c>
      <c r="BU1163" t="s">
        <v>226</v>
      </c>
      <c r="BV1163" t="s">
        <v>555</v>
      </c>
      <c r="BW1163" t="s">
        <v>228</v>
      </c>
      <c r="CH1163" t="s">
        <v>229</v>
      </c>
      <c r="CI1163" t="s">
        <v>46</v>
      </c>
      <c r="CJ1163" t="s">
        <v>226</v>
      </c>
      <c r="CK1163" t="s">
        <v>555</v>
      </c>
      <c r="CL1163" t="s">
        <v>228</v>
      </c>
      <c r="CM1163" t="s">
        <v>234</v>
      </c>
      <c r="CN1163" t="s">
        <v>45</v>
      </c>
      <c r="CO1163">
        <v>-100</v>
      </c>
      <c r="CP1163">
        <v>42062984</v>
      </c>
      <c r="CQ1163" s="73">
        <v>45356.227071759262</v>
      </c>
      <c r="CR1163" t="s">
        <v>229</v>
      </c>
      <c r="CS1163" t="s">
        <v>46</v>
      </c>
      <c r="CU1163" t="s">
        <v>225</v>
      </c>
    </row>
    <row r="1164" spans="1:99">
      <c r="A1164" t="s">
        <v>93</v>
      </c>
      <c r="B1164" t="s">
        <v>98</v>
      </c>
      <c r="J1164" t="s">
        <v>225</v>
      </c>
      <c r="K1164" t="s">
        <v>225</v>
      </c>
      <c r="M1164" s="73">
        <v>45356.227071759262</v>
      </c>
      <c r="N1164">
        <v>42062983</v>
      </c>
      <c r="O1164">
        <v>-5</v>
      </c>
      <c r="P1164" t="s">
        <v>73</v>
      </c>
      <c r="Q1164">
        <v>-5</v>
      </c>
      <c r="R1164" t="s">
        <v>73</v>
      </c>
      <c r="U1164" t="s">
        <v>226</v>
      </c>
      <c r="V1164" t="s">
        <v>555</v>
      </c>
      <c r="W1164" t="s">
        <v>228</v>
      </c>
      <c r="X1164" t="s">
        <v>229</v>
      </c>
      <c r="Y1164" t="s">
        <v>93</v>
      </c>
      <c r="AD1164" t="s">
        <v>73</v>
      </c>
      <c r="AE1164">
        <v>-5</v>
      </c>
      <c r="AF1164">
        <v>42062983</v>
      </c>
      <c r="AG1164" s="73">
        <v>45356.227071759262</v>
      </c>
      <c r="AH1164" t="s">
        <v>226</v>
      </c>
      <c r="AI1164" t="s">
        <v>555</v>
      </c>
      <c r="AJ1164" t="s">
        <v>228</v>
      </c>
      <c r="AK1164" t="s">
        <v>229</v>
      </c>
      <c r="AL1164" t="s">
        <v>93</v>
      </c>
      <c r="AP1164" t="s">
        <v>230</v>
      </c>
      <c r="AQ1164" t="s">
        <v>231</v>
      </c>
      <c r="AT1164" t="s">
        <v>232</v>
      </c>
      <c r="AU1164">
        <v>-99</v>
      </c>
      <c r="AV1164" t="s">
        <v>73</v>
      </c>
      <c r="AW1164">
        <v>-5</v>
      </c>
      <c r="AX1164">
        <v>42062983</v>
      </c>
      <c r="AY1164" s="73">
        <v>45356.227071759262</v>
      </c>
      <c r="AZ1164" t="s">
        <v>226</v>
      </c>
      <c r="BA1164" t="s">
        <v>555</v>
      </c>
      <c r="BB1164" t="s">
        <v>228</v>
      </c>
      <c r="BC1164" t="s">
        <v>229</v>
      </c>
      <c r="BD1164" t="s">
        <v>93</v>
      </c>
      <c r="BI1164" t="s">
        <v>233</v>
      </c>
      <c r="BJ1164" t="s">
        <v>0</v>
      </c>
      <c r="BK1164">
        <v>42062967</v>
      </c>
      <c r="BN1164" t="s">
        <v>73</v>
      </c>
      <c r="BR1164">
        <v>-5</v>
      </c>
      <c r="BS1164">
        <v>42062983</v>
      </c>
      <c r="BT1164" s="73">
        <v>45356.227071759262</v>
      </c>
      <c r="BU1164" t="s">
        <v>226</v>
      </c>
      <c r="BV1164" t="s">
        <v>555</v>
      </c>
      <c r="BW1164" t="s">
        <v>228</v>
      </c>
      <c r="CH1164" t="s">
        <v>229</v>
      </c>
      <c r="CI1164" t="s">
        <v>93</v>
      </c>
      <c r="CJ1164" t="s">
        <v>226</v>
      </c>
      <c r="CK1164" t="s">
        <v>555</v>
      </c>
      <c r="CL1164" t="s">
        <v>228</v>
      </c>
      <c r="CM1164" t="s">
        <v>234</v>
      </c>
      <c r="CN1164" t="s">
        <v>73</v>
      </c>
      <c r="CO1164">
        <v>-5</v>
      </c>
      <c r="CP1164">
        <v>42062983</v>
      </c>
      <c r="CQ1164" s="73">
        <v>45356.227071759262</v>
      </c>
      <c r="CR1164" t="s">
        <v>229</v>
      </c>
      <c r="CS1164" t="s">
        <v>93</v>
      </c>
      <c r="CU1164" t="s">
        <v>225</v>
      </c>
    </row>
    <row r="1165" spans="1:99">
      <c r="A1165" t="s">
        <v>108</v>
      </c>
      <c r="B1165" t="s">
        <v>98</v>
      </c>
      <c r="J1165" t="s">
        <v>225</v>
      </c>
      <c r="K1165" t="s">
        <v>225</v>
      </c>
      <c r="M1165" s="73">
        <v>45356.227071759262</v>
      </c>
      <c r="N1165">
        <v>42062982</v>
      </c>
      <c r="O1165">
        <v>100</v>
      </c>
      <c r="P1165" t="s">
        <v>104</v>
      </c>
      <c r="Q1165">
        <v>100</v>
      </c>
      <c r="R1165" t="s">
        <v>104</v>
      </c>
      <c r="S1165">
        <v>5</v>
      </c>
      <c r="T1165" t="s">
        <v>73</v>
      </c>
      <c r="U1165" t="s">
        <v>226</v>
      </c>
      <c r="V1165" t="s">
        <v>555</v>
      </c>
      <c r="W1165" t="s">
        <v>235</v>
      </c>
      <c r="X1165" t="s">
        <v>229</v>
      </c>
      <c r="Y1165" t="s">
        <v>108</v>
      </c>
      <c r="AD1165" t="s">
        <v>104</v>
      </c>
      <c r="AE1165">
        <v>100</v>
      </c>
      <c r="AF1165">
        <v>42062982</v>
      </c>
      <c r="AG1165" s="73">
        <v>45356.227071759262</v>
      </c>
      <c r="AH1165" t="s">
        <v>226</v>
      </c>
      <c r="AI1165" t="s">
        <v>555</v>
      </c>
      <c r="AJ1165" t="s">
        <v>235</v>
      </c>
      <c r="AK1165" t="s">
        <v>229</v>
      </c>
      <c r="AL1165" t="s">
        <v>108</v>
      </c>
      <c r="AP1165" t="s">
        <v>230</v>
      </c>
      <c r="AQ1165" t="s">
        <v>231</v>
      </c>
      <c r="AT1165" t="s">
        <v>232</v>
      </c>
      <c r="AU1165">
        <v>-99</v>
      </c>
      <c r="AV1165" t="s">
        <v>104</v>
      </c>
      <c r="AW1165">
        <v>100</v>
      </c>
      <c r="AX1165">
        <v>42062982</v>
      </c>
      <c r="AY1165" s="73">
        <v>45356.227071759262</v>
      </c>
      <c r="AZ1165" t="s">
        <v>226</v>
      </c>
      <c r="BA1165" t="s">
        <v>555</v>
      </c>
      <c r="BB1165" t="s">
        <v>235</v>
      </c>
      <c r="BC1165" t="s">
        <v>229</v>
      </c>
      <c r="BD1165" t="s">
        <v>108</v>
      </c>
      <c r="BI1165" t="s">
        <v>233</v>
      </c>
      <c r="BJ1165" t="s">
        <v>0</v>
      </c>
      <c r="BK1165">
        <v>42062967</v>
      </c>
      <c r="BN1165" t="s">
        <v>104</v>
      </c>
      <c r="BO1165">
        <v>42062978</v>
      </c>
      <c r="BR1165">
        <v>100</v>
      </c>
      <c r="BS1165">
        <v>42062982</v>
      </c>
      <c r="BT1165" s="73">
        <v>45356.227071759262</v>
      </c>
      <c r="BU1165" t="s">
        <v>226</v>
      </c>
      <c r="BV1165" t="s">
        <v>555</v>
      </c>
      <c r="BW1165" t="s">
        <v>235</v>
      </c>
      <c r="CH1165" t="s">
        <v>229</v>
      </c>
      <c r="CI1165" t="s">
        <v>108</v>
      </c>
      <c r="CJ1165" t="s">
        <v>226</v>
      </c>
      <c r="CK1165" t="s">
        <v>555</v>
      </c>
      <c r="CL1165" t="s">
        <v>235</v>
      </c>
      <c r="CM1165" t="s">
        <v>236</v>
      </c>
      <c r="CN1165" t="s">
        <v>104</v>
      </c>
      <c r="CO1165">
        <v>100</v>
      </c>
      <c r="CP1165">
        <v>42062982</v>
      </c>
      <c r="CQ1165" s="73">
        <v>45356.227071759262</v>
      </c>
      <c r="CR1165" t="s">
        <v>229</v>
      </c>
      <c r="CS1165" t="s">
        <v>108</v>
      </c>
      <c r="CU1165" t="s">
        <v>225</v>
      </c>
    </row>
    <row r="1166" spans="1:99">
      <c r="A1166" t="s">
        <v>52</v>
      </c>
      <c r="B1166" t="s">
        <v>92</v>
      </c>
      <c r="J1166" t="s">
        <v>225</v>
      </c>
      <c r="K1166" t="s">
        <v>225</v>
      </c>
      <c r="M1166" s="73">
        <v>45356.224699074075</v>
      </c>
      <c r="N1166">
        <v>42062944</v>
      </c>
      <c r="O1166">
        <v>-3088</v>
      </c>
      <c r="P1166" t="s">
        <v>45</v>
      </c>
      <c r="Q1166">
        <v>-3088</v>
      </c>
      <c r="R1166" t="s">
        <v>45</v>
      </c>
      <c r="U1166" t="s">
        <v>226</v>
      </c>
      <c r="V1166" t="s">
        <v>556</v>
      </c>
      <c r="W1166" t="s">
        <v>228</v>
      </c>
      <c r="X1166" t="s">
        <v>229</v>
      </c>
      <c r="Y1166" t="s">
        <v>52</v>
      </c>
      <c r="AD1166" t="s">
        <v>45</v>
      </c>
      <c r="AE1166">
        <v>-3088</v>
      </c>
      <c r="AF1166">
        <v>42062944</v>
      </c>
      <c r="AG1166" s="73">
        <v>45356.224699074075</v>
      </c>
      <c r="AH1166" t="s">
        <v>226</v>
      </c>
      <c r="AI1166" t="s">
        <v>556</v>
      </c>
      <c r="AJ1166" t="s">
        <v>228</v>
      </c>
      <c r="AK1166" t="s">
        <v>229</v>
      </c>
      <c r="AL1166" t="s">
        <v>52</v>
      </c>
      <c r="AP1166" t="s">
        <v>230</v>
      </c>
      <c r="AQ1166" t="s">
        <v>231</v>
      </c>
      <c r="AT1166" t="s">
        <v>232</v>
      </c>
      <c r="AU1166">
        <v>-99</v>
      </c>
      <c r="AV1166" t="s">
        <v>45</v>
      </c>
      <c r="AW1166">
        <v>-3088</v>
      </c>
      <c r="AX1166">
        <v>42062944</v>
      </c>
      <c r="AY1166" s="73">
        <v>45356.224699074075</v>
      </c>
      <c r="AZ1166" t="s">
        <v>226</v>
      </c>
      <c r="BA1166" t="s">
        <v>556</v>
      </c>
      <c r="BB1166" t="s">
        <v>228</v>
      </c>
      <c r="BC1166" t="s">
        <v>229</v>
      </c>
      <c r="BD1166" t="s">
        <v>52</v>
      </c>
      <c r="BI1166" t="s">
        <v>233</v>
      </c>
      <c r="BJ1166" t="s">
        <v>0</v>
      </c>
      <c r="BK1166">
        <v>42062904</v>
      </c>
      <c r="BN1166" t="s">
        <v>45</v>
      </c>
      <c r="BR1166">
        <v>-3088</v>
      </c>
      <c r="BS1166">
        <v>42062944</v>
      </c>
      <c r="BT1166" s="73">
        <v>45356.224699074075</v>
      </c>
      <c r="BU1166" t="s">
        <v>226</v>
      </c>
      <c r="BV1166" t="s">
        <v>556</v>
      </c>
      <c r="BW1166" t="s">
        <v>228</v>
      </c>
      <c r="CH1166" t="s">
        <v>229</v>
      </c>
      <c r="CI1166" t="s">
        <v>52</v>
      </c>
      <c r="CJ1166" t="s">
        <v>226</v>
      </c>
      <c r="CK1166" t="s">
        <v>556</v>
      </c>
      <c r="CL1166" t="s">
        <v>228</v>
      </c>
      <c r="CM1166" t="s">
        <v>234</v>
      </c>
      <c r="CN1166" t="s">
        <v>45</v>
      </c>
      <c r="CO1166">
        <v>-3088</v>
      </c>
      <c r="CP1166">
        <v>42062944</v>
      </c>
      <c r="CQ1166" s="73">
        <v>45356.224699074075</v>
      </c>
      <c r="CR1166" t="s">
        <v>229</v>
      </c>
      <c r="CS1166" t="s">
        <v>52</v>
      </c>
      <c r="CU1166" t="s">
        <v>225</v>
      </c>
    </row>
    <row r="1167" spans="1:99">
      <c r="A1167" t="s">
        <v>101</v>
      </c>
      <c r="B1167" t="s">
        <v>98</v>
      </c>
      <c r="J1167" t="s">
        <v>225</v>
      </c>
      <c r="K1167" t="s">
        <v>225</v>
      </c>
      <c r="M1167" s="73">
        <v>45356.224699074075</v>
      </c>
      <c r="N1167">
        <v>42062943</v>
      </c>
      <c r="O1167">
        <v>-154</v>
      </c>
      <c r="P1167" t="s">
        <v>73</v>
      </c>
      <c r="Q1167">
        <v>-154</v>
      </c>
      <c r="R1167" t="s">
        <v>73</v>
      </c>
      <c r="U1167" t="s">
        <v>226</v>
      </c>
      <c r="V1167" t="s">
        <v>556</v>
      </c>
      <c r="W1167" t="s">
        <v>228</v>
      </c>
      <c r="X1167" t="s">
        <v>229</v>
      </c>
      <c r="Y1167" t="s">
        <v>101</v>
      </c>
      <c r="AD1167" t="s">
        <v>73</v>
      </c>
      <c r="AE1167">
        <v>-154</v>
      </c>
      <c r="AF1167">
        <v>42062943</v>
      </c>
      <c r="AG1167" s="73">
        <v>45356.224699074075</v>
      </c>
      <c r="AH1167" t="s">
        <v>226</v>
      </c>
      <c r="AI1167" t="s">
        <v>556</v>
      </c>
      <c r="AJ1167" t="s">
        <v>228</v>
      </c>
      <c r="AK1167" t="s">
        <v>229</v>
      </c>
      <c r="AL1167" t="s">
        <v>101</v>
      </c>
      <c r="AP1167" t="s">
        <v>230</v>
      </c>
      <c r="AQ1167" t="s">
        <v>231</v>
      </c>
      <c r="AT1167" t="s">
        <v>232</v>
      </c>
      <c r="AU1167">
        <v>-99</v>
      </c>
      <c r="AV1167" t="s">
        <v>73</v>
      </c>
      <c r="AW1167">
        <v>-154</v>
      </c>
      <c r="AX1167">
        <v>42062943</v>
      </c>
      <c r="AY1167" s="73">
        <v>45356.224699074075</v>
      </c>
      <c r="AZ1167" t="s">
        <v>226</v>
      </c>
      <c r="BA1167" t="s">
        <v>556</v>
      </c>
      <c r="BB1167" t="s">
        <v>228</v>
      </c>
      <c r="BC1167" t="s">
        <v>229</v>
      </c>
      <c r="BD1167" t="s">
        <v>101</v>
      </c>
      <c r="BI1167" t="s">
        <v>233</v>
      </c>
      <c r="BJ1167" t="s">
        <v>0</v>
      </c>
      <c r="BK1167">
        <v>42062904</v>
      </c>
      <c r="BN1167" t="s">
        <v>73</v>
      </c>
      <c r="BR1167">
        <v>-154</v>
      </c>
      <c r="BS1167">
        <v>42062943</v>
      </c>
      <c r="BT1167" s="73">
        <v>45356.224699074075</v>
      </c>
      <c r="BU1167" t="s">
        <v>226</v>
      </c>
      <c r="BV1167" t="s">
        <v>556</v>
      </c>
      <c r="BW1167" t="s">
        <v>228</v>
      </c>
      <c r="CH1167" t="s">
        <v>229</v>
      </c>
      <c r="CI1167" t="s">
        <v>101</v>
      </c>
      <c r="CJ1167" t="s">
        <v>226</v>
      </c>
      <c r="CK1167" t="s">
        <v>556</v>
      </c>
      <c r="CL1167" t="s">
        <v>228</v>
      </c>
      <c r="CM1167" t="s">
        <v>234</v>
      </c>
      <c r="CN1167" t="s">
        <v>73</v>
      </c>
      <c r="CO1167">
        <v>-154</v>
      </c>
      <c r="CP1167">
        <v>42062943</v>
      </c>
      <c r="CQ1167" s="73">
        <v>45356.224699074075</v>
      </c>
      <c r="CR1167" t="s">
        <v>229</v>
      </c>
      <c r="CS1167" t="s">
        <v>101</v>
      </c>
      <c r="CU1167" t="s">
        <v>225</v>
      </c>
    </row>
    <row r="1168" spans="1:99">
      <c r="A1168" t="s">
        <v>107</v>
      </c>
      <c r="B1168" t="s">
        <v>98</v>
      </c>
      <c r="J1168" t="s">
        <v>225</v>
      </c>
      <c r="K1168" t="s">
        <v>225</v>
      </c>
      <c r="M1168" s="73">
        <v>45356.224699074075</v>
      </c>
      <c r="N1168">
        <v>42062942</v>
      </c>
      <c r="O1168">
        <v>3080</v>
      </c>
      <c r="P1168" t="s">
        <v>104</v>
      </c>
      <c r="Q1168">
        <v>3080</v>
      </c>
      <c r="R1168" t="s">
        <v>104</v>
      </c>
      <c r="S1168">
        <v>154</v>
      </c>
      <c r="T1168" t="s">
        <v>73</v>
      </c>
      <c r="U1168" t="s">
        <v>226</v>
      </c>
      <c r="V1168" t="s">
        <v>556</v>
      </c>
      <c r="W1168" t="s">
        <v>235</v>
      </c>
      <c r="X1168" t="s">
        <v>229</v>
      </c>
      <c r="Y1168" t="s">
        <v>107</v>
      </c>
      <c r="AD1168" t="s">
        <v>104</v>
      </c>
      <c r="AE1168">
        <v>3080</v>
      </c>
      <c r="AF1168">
        <v>42062942</v>
      </c>
      <c r="AG1168" s="73">
        <v>45356.224699074075</v>
      </c>
      <c r="AH1168" t="s">
        <v>226</v>
      </c>
      <c r="AI1168" t="s">
        <v>556</v>
      </c>
      <c r="AJ1168" t="s">
        <v>235</v>
      </c>
      <c r="AK1168" t="s">
        <v>229</v>
      </c>
      <c r="AL1168" t="s">
        <v>107</v>
      </c>
      <c r="AP1168" t="s">
        <v>230</v>
      </c>
      <c r="AQ1168" t="s">
        <v>231</v>
      </c>
      <c r="AT1168" t="s">
        <v>232</v>
      </c>
      <c r="AU1168">
        <v>-99</v>
      </c>
      <c r="AV1168" t="s">
        <v>104</v>
      </c>
      <c r="AW1168">
        <v>3080</v>
      </c>
      <c r="AX1168">
        <v>42062942</v>
      </c>
      <c r="AY1168" s="73">
        <v>45356.224699074075</v>
      </c>
      <c r="AZ1168" t="s">
        <v>226</v>
      </c>
      <c r="BA1168" t="s">
        <v>556</v>
      </c>
      <c r="BB1168" t="s">
        <v>235</v>
      </c>
      <c r="BC1168" t="s">
        <v>229</v>
      </c>
      <c r="BD1168" t="s">
        <v>107</v>
      </c>
      <c r="BI1168" t="s">
        <v>233</v>
      </c>
      <c r="BJ1168" t="s">
        <v>0</v>
      </c>
      <c r="BK1168">
        <v>42062904</v>
      </c>
      <c r="BN1168" t="s">
        <v>104</v>
      </c>
      <c r="BO1168">
        <v>42062924</v>
      </c>
      <c r="BR1168">
        <v>3080</v>
      </c>
      <c r="BS1168">
        <v>42062942</v>
      </c>
      <c r="BT1168" s="73">
        <v>45356.224699074075</v>
      </c>
      <c r="BU1168" t="s">
        <v>226</v>
      </c>
      <c r="BV1168" t="s">
        <v>556</v>
      </c>
      <c r="BW1168" t="s">
        <v>235</v>
      </c>
      <c r="CH1168" t="s">
        <v>229</v>
      </c>
      <c r="CI1168" t="s">
        <v>107</v>
      </c>
      <c r="CJ1168" t="s">
        <v>226</v>
      </c>
      <c r="CK1168" t="s">
        <v>556</v>
      </c>
      <c r="CL1168" t="s">
        <v>235</v>
      </c>
      <c r="CM1168" t="s">
        <v>236</v>
      </c>
      <c r="CN1168" t="s">
        <v>104</v>
      </c>
      <c r="CO1168">
        <v>3080</v>
      </c>
      <c r="CP1168">
        <v>42062942</v>
      </c>
      <c r="CQ1168" s="73">
        <v>45356.224699074075</v>
      </c>
      <c r="CR1168" t="s">
        <v>229</v>
      </c>
      <c r="CS1168" t="s">
        <v>107</v>
      </c>
      <c r="CU1168" t="s">
        <v>225</v>
      </c>
    </row>
    <row r="1169" spans="1:99">
      <c r="A1169" t="s">
        <v>111</v>
      </c>
      <c r="B1169" t="s">
        <v>77</v>
      </c>
      <c r="J1169" t="s">
        <v>225</v>
      </c>
      <c r="K1169" t="s">
        <v>225</v>
      </c>
      <c r="M1169" s="73">
        <v>45356.224699074075</v>
      </c>
      <c r="N1169">
        <v>42062941</v>
      </c>
      <c r="O1169">
        <v>8</v>
      </c>
      <c r="P1169" t="s">
        <v>45</v>
      </c>
      <c r="Q1169">
        <v>8</v>
      </c>
      <c r="R1169" t="s">
        <v>45</v>
      </c>
      <c r="U1169" t="s">
        <v>226</v>
      </c>
      <c r="V1169" t="s">
        <v>556</v>
      </c>
      <c r="W1169" t="s">
        <v>237</v>
      </c>
      <c r="X1169" t="s">
        <v>229</v>
      </c>
      <c r="Y1169" t="s">
        <v>111</v>
      </c>
      <c r="AD1169" t="s">
        <v>45</v>
      </c>
      <c r="AE1169">
        <v>8</v>
      </c>
      <c r="AF1169">
        <v>42062941</v>
      </c>
      <c r="AG1169" s="73">
        <v>45356.224699074075</v>
      </c>
      <c r="AH1169" t="s">
        <v>226</v>
      </c>
      <c r="AI1169" t="s">
        <v>556</v>
      </c>
      <c r="AJ1169" t="s">
        <v>237</v>
      </c>
      <c r="AK1169" t="s">
        <v>229</v>
      </c>
      <c r="AL1169" t="s">
        <v>111</v>
      </c>
      <c r="AP1169" t="s">
        <v>230</v>
      </c>
      <c r="AQ1169" t="s">
        <v>231</v>
      </c>
      <c r="AT1169" t="s">
        <v>232</v>
      </c>
      <c r="AU1169">
        <v>-99</v>
      </c>
      <c r="AV1169" t="s">
        <v>45</v>
      </c>
      <c r="AW1169">
        <v>8</v>
      </c>
      <c r="AX1169">
        <v>42062941</v>
      </c>
      <c r="AY1169" s="73">
        <v>45356.224699074075</v>
      </c>
      <c r="AZ1169" t="s">
        <v>226</v>
      </c>
      <c r="BA1169" t="s">
        <v>556</v>
      </c>
      <c r="BB1169" t="s">
        <v>237</v>
      </c>
      <c r="BC1169" t="s">
        <v>229</v>
      </c>
      <c r="BD1169" t="s">
        <v>111</v>
      </c>
      <c r="BI1169" t="s">
        <v>233</v>
      </c>
      <c r="BJ1169" t="s">
        <v>0</v>
      </c>
      <c r="BK1169">
        <v>42062904</v>
      </c>
      <c r="BN1169" t="s">
        <v>45</v>
      </c>
      <c r="BO1169">
        <v>42062926</v>
      </c>
      <c r="BR1169">
        <v>8</v>
      </c>
      <c r="BS1169">
        <v>42062941</v>
      </c>
      <c r="BT1169" s="73">
        <v>45356.224699074075</v>
      </c>
      <c r="BU1169" t="s">
        <v>226</v>
      </c>
      <c r="BV1169" t="s">
        <v>556</v>
      </c>
      <c r="BW1169" t="s">
        <v>237</v>
      </c>
      <c r="CH1169" t="s">
        <v>229</v>
      </c>
      <c r="CI1169" t="s">
        <v>111</v>
      </c>
      <c r="CJ1169" t="s">
        <v>226</v>
      </c>
      <c r="CK1169" t="s">
        <v>556</v>
      </c>
      <c r="CL1169" t="s">
        <v>237</v>
      </c>
      <c r="CM1169" t="s">
        <v>236</v>
      </c>
      <c r="CN1169" t="s">
        <v>45</v>
      </c>
      <c r="CO1169">
        <v>8</v>
      </c>
      <c r="CP1169">
        <v>42062941</v>
      </c>
      <c r="CQ1169" s="73">
        <v>45356.224699074075</v>
      </c>
      <c r="CR1169" t="s">
        <v>229</v>
      </c>
      <c r="CS1169" t="s">
        <v>111</v>
      </c>
      <c r="CU1169" t="s">
        <v>225</v>
      </c>
    </row>
    <row r="1170" spans="1:99">
      <c r="A1170" t="s">
        <v>42</v>
      </c>
      <c r="B1170" t="s">
        <v>92</v>
      </c>
      <c r="J1170" t="s">
        <v>225</v>
      </c>
      <c r="K1170" t="s">
        <v>225</v>
      </c>
      <c r="M1170" s="73">
        <v>45355.630659722221</v>
      </c>
      <c r="N1170">
        <v>42048066</v>
      </c>
      <c r="O1170">
        <v>-3655</v>
      </c>
      <c r="P1170" t="s">
        <v>45</v>
      </c>
      <c r="Q1170">
        <v>-3655</v>
      </c>
      <c r="R1170" t="s">
        <v>45</v>
      </c>
      <c r="U1170" t="s">
        <v>226</v>
      </c>
      <c r="V1170" t="s">
        <v>557</v>
      </c>
      <c r="W1170" t="s">
        <v>228</v>
      </c>
      <c r="X1170" t="s">
        <v>229</v>
      </c>
      <c r="Y1170" t="s">
        <v>42</v>
      </c>
      <c r="AD1170" t="s">
        <v>45</v>
      </c>
      <c r="AE1170">
        <v>-3655</v>
      </c>
      <c r="AF1170">
        <v>42048066</v>
      </c>
      <c r="AG1170" s="73">
        <v>45355.630659722221</v>
      </c>
      <c r="AH1170" t="s">
        <v>226</v>
      </c>
      <c r="AI1170" t="s">
        <v>557</v>
      </c>
      <c r="AJ1170" t="s">
        <v>228</v>
      </c>
      <c r="AK1170" t="s">
        <v>229</v>
      </c>
      <c r="AL1170" t="s">
        <v>42</v>
      </c>
      <c r="AP1170" t="s">
        <v>230</v>
      </c>
      <c r="AQ1170" t="s">
        <v>231</v>
      </c>
      <c r="AT1170" t="s">
        <v>232</v>
      </c>
      <c r="AU1170">
        <v>-99</v>
      </c>
      <c r="AV1170" t="s">
        <v>45</v>
      </c>
      <c r="AW1170">
        <v>-3655</v>
      </c>
      <c r="AX1170">
        <v>42048066</v>
      </c>
      <c r="AY1170" s="73">
        <v>45355.630659722221</v>
      </c>
      <c r="AZ1170" t="s">
        <v>226</v>
      </c>
      <c r="BA1170" t="s">
        <v>557</v>
      </c>
      <c r="BB1170" t="s">
        <v>228</v>
      </c>
      <c r="BC1170" t="s">
        <v>229</v>
      </c>
      <c r="BD1170" t="s">
        <v>42</v>
      </c>
      <c r="BI1170" t="s">
        <v>233</v>
      </c>
      <c r="BJ1170" t="s">
        <v>0</v>
      </c>
      <c r="BK1170">
        <v>42047888</v>
      </c>
      <c r="BN1170" t="s">
        <v>45</v>
      </c>
      <c r="BR1170">
        <v>-3655</v>
      </c>
      <c r="BS1170">
        <v>42048066</v>
      </c>
      <c r="BT1170" s="73">
        <v>45355.630659722221</v>
      </c>
      <c r="BU1170" t="s">
        <v>226</v>
      </c>
      <c r="BV1170" t="s">
        <v>557</v>
      </c>
      <c r="BW1170" t="s">
        <v>228</v>
      </c>
      <c r="CH1170" t="s">
        <v>229</v>
      </c>
      <c r="CI1170" t="s">
        <v>42</v>
      </c>
      <c r="CJ1170" t="s">
        <v>226</v>
      </c>
      <c r="CK1170" t="s">
        <v>557</v>
      </c>
      <c r="CL1170" t="s">
        <v>228</v>
      </c>
      <c r="CM1170" t="s">
        <v>234</v>
      </c>
      <c r="CN1170" t="s">
        <v>45</v>
      </c>
      <c r="CO1170">
        <v>-3655</v>
      </c>
      <c r="CP1170">
        <v>42048066</v>
      </c>
      <c r="CQ1170" s="73">
        <v>45355.630659722221</v>
      </c>
      <c r="CR1170" t="s">
        <v>229</v>
      </c>
      <c r="CS1170" t="s">
        <v>42</v>
      </c>
      <c r="CU1170" t="s">
        <v>225</v>
      </c>
    </row>
    <row r="1171" spans="1:99">
      <c r="A1171" t="s">
        <v>99</v>
      </c>
      <c r="B1171" t="s">
        <v>98</v>
      </c>
      <c r="J1171" t="s">
        <v>225</v>
      </c>
      <c r="K1171" t="s">
        <v>225</v>
      </c>
      <c r="M1171" s="73">
        <v>45355.630659722221</v>
      </c>
      <c r="N1171">
        <v>42048065</v>
      </c>
      <c r="O1171">
        <v>-182.5</v>
      </c>
      <c r="P1171" t="s">
        <v>73</v>
      </c>
      <c r="Q1171">
        <v>-182.5</v>
      </c>
      <c r="R1171" t="s">
        <v>73</v>
      </c>
      <c r="U1171" t="s">
        <v>226</v>
      </c>
      <c r="V1171" t="s">
        <v>557</v>
      </c>
      <c r="W1171" t="s">
        <v>228</v>
      </c>
      <c r="X1171" t="s">
        <v>229</v>
      </c>
      <c r="Y1171" t="s">
        <v>99</v>
      </c>
      <c r="AD1171" t="s">
        <v>73</v>
      </c>
      <c r="AE1171">
        <v>-182.5</v>
      </c>
      <c r="AF1171">
        <v>42048065</v>
      </c>
      <c r="AG1171" s="73">
        <v>45355.630659722221</v>
      </c>
      <c r="AH1171" t="s">
        <v>226</v>
      </c>
      <c r="AI1171" t="s">
        <v>557</v>
      </c>
      <c r="AJ1171" t="s">
        <v>228</v>
      </c>
      <c r="AK1171" t="s">
        <v>229</v>
      </c>
      <c r="AL1171" t="s">
        <v>99</v>
      </c>
      <c r="AP1171" t="s">
        <v>230</v>
      </c>
      <c r="AQ1171" t="s">
        <v>231</v>
      </c>
      <c r="AT1171" t="s">
        <v>232</v>
      </c>
      <c r="AU1171">
        <v>-99</v>
      </c>
      <c r="AV1171" t="s">
        <v>73</v>
      </c>
      <c r="AW1171">
        <v>-182.5</v>
      </c>
      <c r="AX1171">
        <v>42048065</v>
      </c>
      <c r="AY1171" s="73">
        <v>45355.630659722221</v>
      </c>
      <c r="AZ1171" t="s">
        <v>226</v>
      </c>
      <c r="BA1171" t="s">
        <v>557</v>
      </c>
      <c r="BB1171" t="s">
        <v>228</v>
      </c>
      <c r="BC1171" t="s">
        <v>229</v>
      </c>
      <c r="BD1171" t="s">
        <v>99</v>
      </c>
      <c r="BI1171" t="s">
        <v>233</v>
      </c>
      <c r="BJ1171" t="s">
        <v>0</v>
      </c>
      <c r="BK1171">
        <v>42047888</v>
      </c>
      <c r="BN1171" t="s">
        <v>73</v>
      </c>
      <c r="BR1171">
        <v>-182.5</v>
      </c>
      <c r="BS1171">
        <v>42048065</v>
      </c>
      <c r="BT1171" s="73">
        <v>45355.630659722221</v>
      </c>
      <c r="BU1171" t="s">
        <v>226</v>
      </c>
      <c r="BV1171" t="s">
        <v>557</v>
      </c>
      <c r="BW1171" t="s">
        <v>228</v>
      </c>
      <c r="CH1171" t="s">
        <v>229</v>
      </c>
      <c r="CI1171" t="s">
        <v>99</v>
      </c>
      <c r="CJ1171" t="s">
        <v>226</v>
      </c>
      <c r="CK1171" t="s">
        <v>557</v>
      </c>
      <c r="CL1171" t="s">
        <v>228</v>
      </c>
      <c r="CM1171" t="s">
        <v>234</v>
      </c>
      <c r="CN1171" t="s">
        <v>73</v>
      </c>
      <c r="CO1171">
        <v>-182.5</v>
      </c>
      <c r="CP1171">
        <v>42048065</v>
      </c>
      <c r="CQ1171" s="73">
        <v>45355.630659722221</v>
      </c>
      <c r="CR1171" t="s">
        <v>229</v>
      </c>
      <c r="CS1171" t="s">
        <v>99</v>
      </c>
      <c r="CU1171" t="s">
        <v>225</v>
      </c>
    </row>
    <row r="1172" spans="1:99">
      <c r="A1172" t="s">
        <v>103</v>
      </c>
      <c r="B1172" t="s">
        <v>98</v>
      </c>
      <c r="J1172" t="s">
        <v>225</v>
      </c>
      <c r="K1172" t="s">
        <v>225</v>
      </c>
      <c r="M1172" s="73">
        <v>45355.630659722221</v>
      </c>
      <c r="N1172">
        <v>42048064</v>
      </c>
      <c r="O1172">
        <v>3650</v>
      </c>
      <c r="P1172" t="s">
        <v>104</v>
      </c>
      <c r="Q1172">
        <v>3650</v>
      </c>
      <c r="R1172" t="s">
        <v>104</v>
      </c>
      <c r="S1172">
        <v>182.5</v>
      </c>
      <c r="T1172" t="s">
        <v>73</v>
      </c>
      <c r="U1172" t="s">
        <v>226</v>
      </c>
      <c r="V1172" t="s">
        <v>557</v>
      </c>
      <c r="W1172" t="s">
        <v>235</v>
      </c>
      <c r="X1172" t="s">
        <v>229</v>
      </c>
      <c r="Y1172" t="s">
        <v>103</v>
      </c>
      <c r="AD1172" t="s">
        <v>104</v>
      </c>
      <c r="AE1172">
        <v>3650</v>
      </c>
      <c r="AF1172">
        <v>42048064</v>
      </c>
      <c r="AG1172" s="73">
        <v>45355.630659722221</v>
      </c>
      <c r="AH1172" t="s">
        <v>226</v>
      </c>
      <c r="AI1172" t="s">
        <v>557</v>
      </c>
      <c r="AJ1172" t="s">
        <v>235</v>
      </c>
      <c r="AK1172" t="s">
        <v>229</v>
      </c>
      <c r="AL1172" t="s">
        <v>103</v>
      </c>
      <c r="AP1172" t="s">
        <v>230</v>
      </c>
      <c r="AQ1172" t="s">
        <v>231</v>
      </c>
      <c r="AT1172" t="s">
        <v>232</v>
      </c>
      <c r="AU1172">
        <v>-99</v>
      </c>
      <c r="AV1172" t="s">
        <v>104</v>
      </c>
      <c r="AW1172">
        <v>3650</v>
      </c>
      <c r="AX1172">
        <v>42048064</v>
      </c>
      <c r="AY1172" s="73">
        <v>45355.630659722221</v>
      </c>
      <c r="AZ1172" t="s">
        <v>226</v>
      </c>
      <c r="BA1172" t="s">
        <v>557</v>
      </c>
      <c r="BB1172" t="s">
        <v>235</v>
      </c>
      <c r="BC1172" t="s">
        <v>229</v>
      </c>
      <c r="BD1172" t="s">
        <v>103</v>
      </c>
      <c r="BI1172" t="s">
        <v>233</v>
      </c>
      <c r="BJ1172" t="s">
        <v>0</v>
      </c>
      <c r="BK1172">
        <v>42047888</v>
      </c>
      <c r="BN1172" t="s">
        <v>104</v>
      </c>
      <c r="BO1172">
        <v>42047899</v>
      </c>
      <c r="BR1172">
        <v>3650</v>
      </c>
      <c r="BS1172">
        <v>42048064</v>
      </c>
      <c r="BT1172" s="73">
        <v>45355.630659722221</v>
      </c>
      <c r="BU1172" t="s">
        <v>226</v>
      </c>
      <c r="BV1172" t="s">
        <v>557</v>
      </c>
      <c r="BW1172" t="s">
        <v>235</v>
      </c>
      <c r="CH1172" t="s">
        <v>229</v>
      </c>
      <c r="CI1172" t="s">
        <v>103</v>
      </c>
      <c r="CJ1172" t="s">
        <v>226</v>
      </c>
      <c r="CK1172" t="s">
        <v>557</v>
      </c>
      <c r="CL1172" t="s">
        <v>235</v>
      </c>
      <c r="CM1172" t="s">
        <v>236</v>
      </c>
      <c r="CN1172" t="s">
        <v>104</v>
      </c>
      <c r="CO1172">
        <v>3650</v>
      </c>
      <c r="CP1172">
        <v>42048064</v>
      </c>
      <c r="CQ1172" s="73">
        <v>45355.630659722221</v>
      </c>
      <c r="CR1172" t="s">
        <v>229</v>
      </c>
      <c r="CS1172" t="s">
        <v>103</v>
      </c>
      <c r="CU1172" t="s">
        <v>225</v>
      </c>
    </row>
    <row r="1173" spans="1:99">
      <c r="A1173" t="s">
        <v>111</v>
      </c>
      <c r="B1173" t="s">
        <v>77</v>
      </c>
      <c r="J1173" t="s">
        <v>225</v>
      </c>
      <c r="K1173" t="s">
        <v>225</v>
      </c>
      <c r="M1173" s="73">
        <v>45355.630659722221</v>
      </c>
      <c r="N1173">
        <v>42048063</v>
      </c>
      <c r="O1173">
        <v>5</v>
      </c>
      <c r="P1173" t="s">
        <v>45</v>
      </c>
      <c r="Q1173">
        <v>5</v>
      </c>
      <c r="R1173" t="s">
        <v>45</v>
      </c>
      <c r="U1173" t="s">
        <v>226</v>
      </c>
      <c r="V1173" t="s">
        <v>557</v>
      </c>
      <c r="W1173" t="s">
        <v>237</v>
      </c>
      <c r="X1173" t="s">
        <v>229</v>
      </c>
      <c r="Y1173" t="s">
        <v>111</v>
      </c>
      <c r="AD1173" t="s">
        <v>45</v>
      </c>
      <c r="AE1173">
        <v>5</v>
      </c>
      <c r="AF1173">
        <v>42048063</v>
      </c>
      <c r="AG1173" s="73">
        <v>45355.630659722221</v>
      </c>
      <c r="AH1173" t="s">
        <v>226</v>
      </c>
      <c r="AI1173" t="s">
        <v>557</v>
      </c>
      <c r="AJ1173" t="s">
        <v>237</v>
      </c>
      <c r="AK1173" t="s">
        <v>229</v>
      </c>
      <c r="AL1173" t="s">
        <v>111</v>
      </c>
      <c r="AP1173" t="s">
        <v>230</v>
      </c>
      <c r="AQ1173" t="s">
        <v>231</v>
      </c>
      <c r="AT1173" t="s">
        <v>232</v>
      </c>
      <c r="AU1173">
        <v>-99</v>
      </c>
      <c r="AV1173" t="s">
        <v>45</v>
      </c>
      <c r="AW1173">
        <v>5</v>
      </c>
      <c r="AX1173">
        <v>42048063</v>
      </c>
      <c r="AY1173" s="73">
        <v>45355.630659722221</v>
      </c>
      <c r="AZ1173" t="s">
        <v>226</v>
      </c>
      <c r="BA1173" t="s">
        <v>557</v>
      </c>
      <c r="BB1173" t="s">
        <v>237</v>
      </c>
      <c r="BC1173" t="s">
        <v>229</v>
      </c>
      <c r="BD1173" t="s">
        <v>111</v>
      </c>
      <c r="BI1173" t="s">
        <v>233</v>
      </c>
      <c r="BJ1173" t="s">
        <v>0</v>
      </c>
      <c r="BK1173">
        <v>42047888</v>
      </c>
      <c r="BN1173" t="s">
        <v>45</v>
      </c>
      <c r="BO1173">
        <v>42048027</v>
      </c>
      <c r="BR1173">
        <v>5</v>
      </c>
      <c r="BS1173">
        <v>42048063</v>
      </c>
      <c r="BT1173" s="73">
        <v>45355.630659722221</v>
      </c>
      <c r="BU1173" t="s">
        <v>226</v>
      </c>
      <c r="BV1173" t="s">
        <v>557</v>
      </c>
      <c r="BW1173" t="s">
        <v>237</v>
      </c>
      <c r="CH1173" t="s">
        <v>229</v>
      </c>
      <c r="CI1173" t="s">
        <v>111</v>
      </c>
      <c r="CJ1173" t="s">
        <v>226</v>
      </c>
      <c r="CK1173" t="s">
        <v>557</v>
      </c>
      <c r="CL1173" t="s">
        <v>237</v>
      </c>
      <c r="CM1173" t="s">
        <v>236</v>
      </c>
      <c r="CN1173" t="s">
        <v>45</v>
      </c>
      <c r="CO1173">
        <v>5</v>
      </c>
      <c r="CP1173">
        <v>42048063</v>
      </c>
      <c r="CQ1173" s="73">
        <v>45355.630659722221</v>
      </c>
      <c r="CR1173" t="s">
        <v>229</v>
      </c>
      <c r="CS1173" t="s">
        <v>111</v>
      </c>
      <c r="CU1173" t="s">
        <v>225</v>
      </c>
    </row>
    <row r="1174" spans="1:99">
      <c r="A1174" t="s">
        <v>52</v>
      </c>
      <c r="B1174" t="s">
        <v>92</v>
      </c>
      <c r="J1174" t="s">
        <v>225</v>
      </c>
      <c r="K1174" t="s">
        <v>225</v>
      </c>
      <c r="M1174" s="73">
        <v>45355.629178240742</v>
      </c>
      <c r="N1174">
        <v>42047862</v>
      </c>
      <c r="O1174">
        <v>-350</v>
      </c>
      <c r="P1174" t="s">
        <v>45</v>
      </c>
      <c r="Q1174">
        <v>-350</v>
      </c>
      <c r="R1174" t="s">
        <v>45</v>
      </c>
      <c r="U1174" t="s">
        <v>226</v>
      </c>
      <c r="V1174" t="s">
        <v>558</v>
      </c>
      <c r="W1174" t="s">
        <v>228</v>
      </c>
      <c r="X1174" t="s">
        <v>229</v>
      </c>
      <c r="Y1174" t="s">
        <v>52</v>
      </c>
      <c r="AD1174" t="s">
        <v>45</v>
      </c>
      <c r="AE1174">
        <v>-350</v>
      </c>
      <c r="AF1174">
        <v>42047862</v>
      </c>
      <c r="AG1174" s="73">
        <v>45355.629178240742</v>
      </c>
      <c r="AH1174" t="s">
        <v>226</v>
      </c>
      <c r="AI1174" t="s">
        <v>558</v>
      </c>
      <c r="AJ1174" t="s">
        <v>228</v>
      </c>
      <c r="AK1174" t="s">
        <v>229</v>
      </c>
      <c r="AL1174" t="s">
        <v>52</v>
      </c>
      <c r="AP1174" t="s">
        <v>230</v>
      </c>
      <c r="AQ1174" t="s">
        <v>231</v>
      </c>
      <c r="AT1174" t="s">
        <v>232</v>
      </c>
      <c r="AU1174">
        <v>-99</v>
      </c>
      <c r="AV1174" t="s">
        <v>45</v>
      </c>
      <c r="AW1174">
        <v>-350</v>
      </c>
      <c r="AX1174">
        <v>42047862</v>
      </c>
      <c r="AY1174" s="73">
        <v>45355.629178240742</v>
      </c>
      <c r="AZ1174" t="s">
        <v>226</v>
      </c>
      <c r="BA1174" t="s">
        <v>558</v>
      </c>
      <c r="BB1174" t="s">
        <v>228</v>
      </c>
      <c r="BC1174" t="s">
        <v>229</v>
      </c>
      <c r="BD1174" t="s">
        <v>52</v>
      </c>
      <c r="BI1174" t="s">
        <v>233</v>
      </c>
      <c r="BJ1174" t="s">
        <v>0</v>
      </c>
      <c r="BK1174">
        <v>42047850</v>
      </c>
      <c r="BN1174" t="s">
        <v>45</v>
      </c>
      <c r="BR1174">
        <v>-350</v>
      </c>
      <c r="BS1174">
        <v>42047862</v>
      </c>
      <c r="BT1174" s="73">
        <v>45355.629178240742</v>
      </c>
      <c r="BU1174" t="s">
        <v>226</v>
      </c>
      <c r="BV1174" t="s">
        <v>558</v>
      </c>
      <c r="BW1174" t="s">
        <v>228</v>
      </c>
      <c r="CH1174" t="s">
        <v>229</v>
      </c>
      <c r="CI1174" t="s">
        <v>52</v>
      </c>
      <c r="CJ1174" t="s">
        <v>226</v>
      </c>
      <c r="CK1174" t="s">
        <v>558</v>
      </c>
      <c r="CL1174" t="s">
        <v>228</v>
      </c>
      <c r="CM1174" t="s">
        <v>234</v>
      </c>
      <c r="CN1174" t="s">
        <v>45</v>
      </c>
      <c r="CO1174">
        <v>-350</v>
      </c>
      <c r="CP1174">
        <v>42047862</v>
      </c>
      <c r="CQ1174" s="73">
        <v>45355.629178240742</v>
      </c>
      <c r="CR1174" t="s">
        <v>229</v>
      </c>
      <c r="CS1174" t="s">
        <v>52</v>
      </c>
      <c r="CU1174" t="s">
        <v>225</v>
      </c>
    </row>
    <row r="1175" spans="1:99">
      <c r="A1175" t="s">
        <v>101</v>
      </c>
      <c r="B1175" t="s">
        <v>98</v>
      </c>
      <c r="J1175" t="s">
        <v>225</v>
      </c>
      <c r="K1175" t="s">
        <v>225</v>
      </c>
      <c r="M1175" s="73">
        <v>45355.629178240742</v>
      </c>
      <c r="N1175">
        <v>42047861</v>
      </c>
      <c r="O1175">
        <v>-17.5</v>
      </c>
      <c r="P1175" t="s">
        <v>73</v>
      </c>
      <c r="Q1175">
        <v>-17.5</v>
      </c>
      <c r="R1175" t="s">
        <v>73</v>
      </c>
      <c r="U1175" t="s">
        <v>226</v>
      </c>
      <c r="V1175" t="s">
        <v>558</v>
      </c>
      <c r="W1175" t="s">
        <v>228</v>
      </c>
      <c r="X1175" t="s">
        <v>229</v>
      </c>
      <c r="Y1175" t="s">
        <v>101</v>
      </c>
      <c r="AD1175" t="s">
        <v>73</v>
      </c>
      <c r="AE1175">
        <v>-17.5</v>
      </c>
      <c r="AF1175">
        <v>42047861</v>
      </c>
      <c r="AG1175" s="73">
        <v>45355.629178240742</v>
      </c>
      <c r="AH1175" t="s">
        <v>226</v>
      </c>
      <c r="AI1175" t="s">
        <v>558</v>
      </c>
      <c r="AJ1175" t="s">
        <v>228</v>
      </c>
      <c r="AK1175" t="s">
        <v>229</v>
      </c>
      <c r="AL1175" t="s">
        <v>101</v>
      </c>
      <c r="AP1175" t="s">
        <v>230</v>
      </c>
      <c r="AQ1175" t="s">
        <v>231</v>
      </c>
      <c r="AT1175" t="s">
        <v>232</v>
      </c>
      <c r="AU1175">
        <v>-99</v>
      </c>
      <c r="AV1175" t="s">
        <v>73</v>
      </c>
      <c r="AW1175">
        <v>-17.5</v>
      </c>
      <c r="AX1175">
        <v>42047861</v>
      </c>
      <c r="AY1175" s="73">
        <v>45355.629178240742</v>
      </c>
      <c r="AZ1175" t="s">
        <v>226</v>
      </c>
      <c r="BA1175" t="s">
        <v>558</v>
      </c>
      <c r="BB1175" t="s">
        <v>228</v>
      </c>
      <c r="BC1175" t="s">
        <v>229</v>
      </c>
      <c r="BD1175" t="s">
        <v>101</v>
      </c>
      <c r="BI1175" t="s">
        <v>233</v>
      </c>
      <c r="BJ1175" t="s">
        <v>0</v>
      </c>
      <c r="BK1175">
        <v>42047850</v>
      </c>
      <c r="BN1175" t="s">
        <v>73</v>
      </c>
      <c r="BR1175">
        <v>-17.5</v>
      </c>
      <c r="BS1175">
        <v>42047861</v>
      </c>
      <c r="BT1175" s="73">
        <v>45355.629178240742</v>
      </c>
      <c r="BU1175" t="s">
        <v>226</v>
      </c>
      <c r="BV1175" t="s">
        <v>558</v>
      </c>
      <c r="BW1175" t="s">
        <v>228</v>
      </c>
      <c r="CH1175" t="s">
        <v>229</v>
      </c>
      <c r="CI1175" t="s">
        <v>101</v>
      </c>
      <c r="CJ1175" t="s">
        <v>226</v>
      </c>
      <c r="CK1175" t="s">
        <v>558</v>
      </c>
      <c r="CL1175" t="s">
        <v>228</v>
      </c>
      <c r="CM1175" t="s">
        <v>234</v>
      </c>
      <c r="CN1175" t="s">
        <v>73</v>
      </c>
      <c r="CO1175">
        <v>-17.5</v>
      </c>
      <c r="CP1175">
        <v>42047861</v>
      </c>
      <c r="CQ1175" s="73">
        <v>45355.629178240742</v>
      </c>
      <c r="CR1175" t="s">
        <v>229</v>
      </c>
      <c r="CS1175" t="s">
        <v>101</v>
      </c>
      <c r="CU1175" t="s">
        <v>225</v>
      </c>
    </row>
    <row r="1176" spans="1:99">
      <c r="A1176" t="s">
        <v>107</v>
      </c>
      <c r="B1176" t="s">
        <v>98</v>
      </c>
      <c r="J1176" t="s">
        <v>225</v>
      </c>
      <c r="K1176" t="s">
        <v>225</v>
      </c>
      <c r="M1176" s="73">
        <v>45355.629178240742</v>
      </c>
      <c r="N1176">
        <v>42047860</v>
      </c>
      <c r="O1176">
        <v>350</v>
      </c>
      <c r="P1176" t="s">
        <v>104</v>
      </c>
      <c r="Q1176">
        <v>350</v>
      </c>
      <c r="R1176" t="s">
        <v>104</v>
      </c>
      <c r="S1176">
        <v>17.5</v>
      </c>
      <c r="T1176" t="s">
        <v>73</v>
      </c>
      <c r="U1176" t="s">
        <v>226</v>
      </c>
      <c r="V1176" t="s">
        <v>558</v>
      </c>
      <c r="W1176" t="s">
        <v>235</v>
      </c>
      <c r="X1176" t="s">
        <v>229</v>
      </c>
      <c r="Y1176" t="s">
        <v>107</v>
      </c>
      <c r="AD1176" t="s">
        <v>104</v>
      </c>
      <c r="AE1176">
        <v>350</v>
      </c>
      <c r="AF1176">
        <v>42047860</v>
      </c>
      <c r="AG1176" s="73">
        <v>45355.629178240742</v>
      </c>
      <c r="AH1176" t="s">
        <v>226</v>
      </c>
      <c r="AI1176" t="s">
        <v>558</v>
      </c>
      <c r="AJ1176" t="s">
        <v>235</v>
      </c>
      <c r="AK1176" t="s">
        <v>229</v>
      </c>
      <c r="AL1176" t="s">
        <v>107</v>
      </c>
      <c r="AP1176" t="s">
        <v>230</v>
      </c>
      <c r="AQ1176" t="s">
        <v>231</v>
      </c>
      <c r="AT1176" t="s">
        <v>232</v>
      </c>
      <c r="AU1176">
        <v>-99</v>
      </c>
      <c r="AV1176" t="s">
        <v>104</v>
      </c>
      <c r="AW1176">
        <v>350</v>
      </c>
      <c r="AX1176">
        <v>42047860</v>
      </c>
      <c r="AY1176" s="73">
        <v>45355.629178240742</v>
      </c>
      <c r="AZ1176" t="s">
        <v>226</v>
      </c>
      <c r="BA1176" t="s">
        <v>558</v>
      </c>
      <c r="BB1176" t="s">
        <v>235</v>
      </c>
      <c r="BC1176" t="s">
        <v>229</v>
      </c>
      <c r="BD1176" t="s">
        <v>107</v>
      </c>
      <c r="BI1176" t="s">
        <v>233</v>
      </c>
      <c r="BJ1176" t="s">
        <v>0</v>
      </c>
      <c r="BK1176">
        <v>42047850</v>
      </c>
      <c r="BN1176" t="s">
        <v>104</v>
      </c>
      <c r="BO1176">
        <v>42047856</v>
      </c>
      <c r="BR1176">
        <v>350</v>
      </c>
      <c r="BS1176">
        <v>42047860</v>
      </c>
      <c r="BT1176" s="73">
        <v>45355.629178240742</v>
      </c>
      <c r="BU1176" t="s">
        <v>226</v>
      </c>
      <c r="BV1176" t="s">
        <v>558</v>
      </c>
      <c r="BW1176" t="s">
        <v>235</v>
      </c>
      <c r="CH1176" t="s">
        <v>229</v>
      </c>
      <c r="CI1176" t="s">
        <v>107</v>
      </c>
      <c r="CJ1176" t="s">
        <v>226</v>
      </c>
      <c r="CK1176" t="s">
        <v>558</v>
      </c>
      <c r="CL1176" t="s">
        <v>235</v>
      </c>
      <c r="CM1176" t="s">
        <v>236</v>
      </c>
      <c r="CN1176" t="s">
        <v>104</v>
      </c>
      <c r="CO1176">
        <v>350</v>
      </c>
      <c r="CP1176">
        <v>42047860</v>
      </c>
      <c r="CQ1176" s="73">
        <v>45355.629178240742</v>
      </c>
      <c r="CR1176" t="s">
        <v>229</v>
      </c>
      <c r="CS1176" t="s">
        <v>107</v>
      </c>
      <c r="CU1176" t="s">
        <v>225</v>
      </c>
    </row>
    <row r="1177" spans="1:99">
      <c r="A1177" t="s">
        <v>42</v>
      </c>
      <c r="B1177" t="s">
        <v>92</v>
      </c>
      <c r="J1177" t="s">
        <v>225</v>
      </c>
      <c r="K1177" t="s">
        <v>225</v>
      </c>
      <c r="M1177" s="73">
        <v>45355.625115740739</v>
      </c>
      <c r="N1177">
        <v>42047775</v>
      </c>
      <c r="O1177">
        <v>-750</v>
      </c>
      <c r="P1177" t="s">
        <v>45</v>
      </c>
      <c r="Q1177">
        <v>-750</v>
      </c>
      <c r="R1177" t="s">
        <v>45</v>
      </c>
      <c r="U1177" t="s">
        <v>226</v>
      </c>
      <c r="V1177" t="s">
        <v>559</v>
      </c>
      <c r="W1177" t="s">
        <v>228</v>
      </c>
      <c r="X1177" t="s">
        <v>229</v>
      </c>
      <c r="Y1177" t="s">
        <v>42</v>
      </c>
      <c r="AD1177" t="s">
        <v>45</v>
      </c>
      <c r="AE1177">
        <v>-750</v>
      </c>
      <c r="AF1177">
        <v>42047775</v>
      </c>
      <c r="AG1177" s="73">
        <v>45355.625115740739</v>
      </c>
      <c r="AH1177" t="s">
        <v>226</v>
      </c>
      <c r="AI1177" t="s">
        <v>559</v>
      </c>
      <c r="AJ1177" t="s">
        <v>228</v>
      </c>
      <c r="AK1177" t="s">
        <v>229</v>
      </c>
      <c r="AL1177" t="s">
        <v>42</v>
      </c>
      <c r="AP1177" t="s">
        <v>230</v>
      </c>
      <c r="AQ1177" t="s">
        <v>231</v>
      </c>
      <c r="AT1177" t="s">
        <v>232</v>
      </c>
      <c r="AU1177">
        <v>-99</v>
      </c>
      <c r="AV1177" t="s">
        <v>45</v>
      </c>
      <c r="AW1177">
        <v>-750</v>
      </c>
      <c r="AX1177">
        <v>42047775</v>
      </c>
      <c r="AY1177" s="73">
        <v>45355.625115740739</v>
      </c>
      <c r="AZ1177" t="s">
        <v>226</v>
      </c>
      <c r="BA1177" t="s">
        <v>559</v>
      </c>
      <c r="BB1177" t="s">
        <v>228</v>
      </c>
      <c r="BC1177" t="s">
        <v>229</v>
      </c>
      <c r="BD1177" t="s">
        <v>42</v>
      </c>
      <c r="BI1177" t="s">
        <v>233</v>
      </c>
      <c r="BJ1177" t="s">
        <v>0</v>
      </c>
      <c r="BK1177">
        <v>42047745</v>
      </c>
      <c r="BN1177" t="s">
        <v>45</v>
      </c>
      <c r="BR1177">
        <v>-750</v>
      </c>
      <c r="BS1177">
        <v>42047775</v>
      </c>
      <c r="BT1177" s="73">
        <v>45355.625115740739</v>
      </c>
      <c r="BU1177" t="s">
        <v>226</v>
      </c>
      <c r="BV1177" t="s">
        <v>559</v>
      </c>
      <c r="BW1177" t="s">
        <v>228</v>
      </c>
      <c r="CH1177" t="s">
        <v>229</v>
      </c>
      <c r="CI1177" t="s">
        <v>42</v>
      </c>
      <c r="CJ1177" t="s">
        <v>226</v>
      </c>
      <c r="CK1177" t="s">
        <v>559</v>
      </c>
      <c r="CL1177" t="s">
        <v>228</v>
      </c>
      <c r="CM1177" t="s">
        <v>234</v>
      </c>
      <c r="CN1177" t="s">
        <v>45</v>
      </c>
      <c r="CO1177">
        <v>-750</v>
      </c>
      <c r="CP1177">
        <v>42047775</v>
      </c>
      <c r="CQ1177" s="73">
        <v>45355.625115740739</v>
      </c>
      <c r="CR1177" t="s">
        <v>229</v>
      </c>
      <c r="CS1177" t="s">
        <v>42</v>
      </c>
      <c r="CU1177" t="s">
        <v>225</v>
      </c>
    </row>
    <row r="1178" spans="1:99">
      <c r="A1178" t="s">
        <v>99</v>
      </c>
      <c r="B1178" t="s">
        <v>98</v>
      </c>
      <c r="J1178" t="s">
        <v>225</v>
      </c>
      <c r="K1178" t="s">
        <v>225</v>
      </c>
      <c r="M1178" s="73">
        <v>45355.625115740739</v>
      </c>
      <c r="N1178">
        <v>42047774</v>
      </c>
      <c r="O1178">
        <v>-37.5</v>
      </c>
      <c r="P1178" t="s">
        <v>73</v>
      </c>
      <c r="Q1178">
        <v>-37.5</v>
      </c>
      <c r="R1178" t="s">
        <v>73</v>
      </c>
      <c r="U1178" t="s">
        <v>226</v>
      </c>
      <c r="V1178" t="s">
        <v>559</v>
      </c>
      <c r="W1178" t="s">
        <v>228</v>
      </c>
      <c r="X1178" t="s">
        <v>229</v>
      </c>
      <c r="Y1178" t="s">
        <v>99</v>
      </c>
      <c r="AD1178" t="s">
        <v>73</v>
      </c>
      <c r="AE1178">
        <v>-37.5</v>
      </c>
      <c r="AF1178">
        <v>42047774</v>
      </c>
      <c r="AG1178" s="73">
        <v>45355.625115740739</v>
      </c>
      <c r="AH1178" t="s">
        <v>226</v>
      </c>
      <c r="AI1178" t="s">
        <v>559</v>
      </c>
      <c r="AJ1178" t="s">
        <v>228</v>
      </c>
      <c r="AK1178" t="s">
        <v>229</v>
      </c>
      <c r="AL1178" t="s">
        <v>99</v>
      </c>
      <c r="AP1178" t="s">
        <v>230</v>
      </c>
      <c r="AQ1178" t="s">
        <v>231</v>
      </c>
      <c r="AT1178" t="s">
        <v>232</v>
      </c>
      <c r="AU1178">
        <v>-99</v>
      </c>
      <c r="AV1178" t="s">
        <v>73</v>
      </c>
      <c r="AW1178">
        <v>-37.5</v>
      </c>
      <c r="AX1178">
        <v>42047774</v>
      </c>
      <c r="AY1178" s="73">
        <v>45355.625115740739</v>
      </c>
      <c r="AZ1178" t="s">
        <v>226</v>
      </c>
      <c r="BA1178" t="s">
        <v>559</v>
      </c>
      <c r="BB1178" t="s">
        <v>228</v>
      </c>
      <c r="BC1178" t="s">
        <v>229</v>
      </c>
      <c r="BD1178" t="s">
        <v>99</v>
      </c>
      <c r="BI1178" t="s">
        <v>233</v>
      </c>
      <c r="BJ1178" t="s">
        <v>0</v>
      </c>
      <c r="BK1178">
        <v>42047745</v>
      </c>
      <c r="BN1178" t="s">
        <v>73</v>
      </c>
      <c r="BR1178">
        <v>-37.5</v>
      </c>
      <c r="BS1178">
        <v>42047774</v>
      </c>
      <c r="BT1178" s="73">
        <v>45355.625115740739</v>
      </c>
      <c r="BU1178" t="s">
        <v>226</v>
      </c>
      <c r="BV1178" t="s">
        <v>559</v>
      </c>
      <c r="BW1178" t="s">
        <v>228</v>
      </c>
      <c r="CH1178" t="s">
        <v>229</v>
      </c>
      <c r="CI1178" t="s">
        <v>99</v>
      </c>
      <c r="CJ1178" t="s">
        <v>226</v>
      </c>
      <c r="CK1178" t="s">
        <v>559</v>
      </c>
      <c r="CL1178" t="s">
        <v>228</v>
      </c>
      <c r="CM1178" t="s">
        <v>234</v>
      </c>
      <c r="CN1178" t="s">
        <v>73</v>
      </c>
      <c r="CO1178">
        <v>-37.5</v>
      </c>
      <c r="CP1178">
        <v>42047774</v>
      </c>
      <c r="CQ1178" s="73">
        <v>45355.625115740739</v>
      </c>
      <c r="CR1178" t="s">
        <v>229</v>
      </c>
      <c r="CS1178" t="s">
        <v>99</v>
      </c>
      <c r="CU1178" t="s">
        <v>225</v>
      </c>
    </row>
    <row r="1179" spans="1:99">
      <c r="A1179" t="s">
        <v>103</v>
      </c>
      <c r="B1179" t="s">
        <v>98</v>
      </c>
      <c r="J1179" t="s">
        <v>225</v>
      </c>
      <c r="K1179" t="s">
        <v>225</v>
      </c>
      <c r="M1179" s="73">
        <v>45355.625115740739</v>
      </c>
      <c r="N1179">
        <v>42047773</v>
      </c>
      <c r="O1179">
        <v>750</v>
      </c>
      <c r="P1179" t="s">
        <v>104</v>
      </c>
      <c r="Q1179">
        <v>750</v>
      </c>
      <c r="R1179" t="s">
        <v>104</v>
      </c>
      <c r="S1179">
        <v>37.5</v>
      </c>
      <c r="T1179" t="s">
        <v>73</v>
      </c>
      <c r="U1179" t="s">
        <v>226</v>
      </c>
      <c r="V1179" t="s">
        <v>559</v>
      </c>
      <c r="W1179" t="s">
        <v>235</v>
      </c>
      <c r="X1179" t="s">
        <v>229</v>
      </c>
      <c r="Y1179" t="s">
        <v>103</v>
      </c>
      <c r="AD1179" t="s">
        <v>104</v>
      </c>
      <c r="AE1179">
        <v>750</v>
      </c>
      <c r="AF1179">
        <v>42047773</v>
      </c>
      <c r="AG1179" s="73">
        <v>45355.625115740739</v>
      </c>
      <c r="AH1179" t="s">
        <v>226</v>
      </c>
      <c r="AI1179" t="s">
        <v>559</v>
      </c>
      <c r="AJ1179" t="s">
        <v>235</v>
      </c>
      <c r="AK1179" t="s">
        <v>229</v>
      </c>
      <c r="AL1179" t="s">
        <v>103</v>
      </c>
      <c r="AP1179" t="s">
        <v>230</v>
      </c>
      <c r="AQ1179" t="s">
        <v>231</v>
      </c>
      <c r="AT1179" t="s">
        <v>232</v>
      </c>
      <c r="AU1179">
        <v>-99</v>
      </c>
      <c r="AV1179" t="s">
        <v>104</v>
      </c>
      <c r="AW1179">
        <v>750</v>
      </c>
      <c r="AX1179">
        <v>42047773</v>
      </c>
      <c r="AY1179" s="73">
        <v>45355.625115740739</v>
      </c>
      <c r="AZ1179" t="s">
        <v>226</v>
      </c>
      <c r="BA1179" t="s">
        <v>559</v>
      </c>
      <c r="BB1179" t="s">
        <v>235</v>
      </c>
      <c r="BC1179" t="s">
        <v>229</v>
      </c>
      <c r="BD1179" t="s">
        <v>103</v>
      </c>
      <c r="BI1179" t="s">
        <v>233</v>
      </c>
      <c r="BJ1179" t="s">
        <v>0</v>
      </c>
      <c r="BK1179">
        <v>42047745</v>
      </c>
      <c r="BN1179" t="s">
        <v>104</v>
      </c>
      <c r="BO1179">
        <v>42047758</v>
      </c>
      <c r="BR1179">
        <v>750</v>
      </c>
      <c r="BS1179">
        <v>42047773</v>
      </c>
      <c r="BT1179" s="73">
        <v>45355.625115740739</v>
      </c>
      <c r="BU1179" t="s">
        <v>226</v>
      </c>
      <c r="BV1179" t="s">
        <v>559</v>
      </c>
      <c r="BW1179" t="s">
        <v>235</v>
      </c>
      <c r="CH1179" t="s">
        <v>229</v>
      </c>
      <c r="CI1179" t="s">
        <v>103</v>
      </c>
      <c r="CJ1179" t="s">
        <v>226</v>
      </c>
      <c r="CK1179" t="s">
        <v>559</v>
      </c>
      <c r="CL1179" t="s">
        <v>235</v>
      </c>
      <c r="CM1179" t="s">
        <v>236</v>
      </c>
      <c r="CN1179" t="s">
        <v>104</v>
      </c>
      <c r="CO1179">
        <v>750</v>
      </c>
      <c r="CP1179">
        <v>42047773</v>
      </c>
      <c r="CQ1179" s="73">
        <v>45355.625115740739</v>
      </c>
      <c r="CR1179" t="s">
        <v>229</v>
      </c>
      <c r="CS1179" t="s">
        <v>103</v>
      </c>
      <c r="CU1179" t="s">
        <v>225</v>
      </c>
    </row>
    <row r="1180" spans="1:99">
      <c r="A1180" t="s">
        <v>46</v>
      </c>
      <c r="B1180" t="s">
        <v>92</v>
      </c>
      <c r="J1180" t="s">
        <v>225</v>
      </c>
      <c r="K1180" t="s">
        <v>225</v>
      </c>
      <c r="M1180" s="73">
        <v>45355.619444444441</v>
      </c>
      <c r="N1180">
        <v>42054891</v>
      </c>
      <c r="O1180">
        <v>-450</v>
      </c>
      <c r="P1180" t="s">
        <v>45</v>
      </c>
      <c r="Q1180">
        <v>-450</v>
      </c>
      <c r="R1180" t="s">
        <v>45</v>
      </c>
      <c r="U1180" t="s">
        <v>226</v>
      </c>
      <c r="V1180" t="s">
        <v>560</v>
      </c>
      <c r="W1180" t="s">
        <v>228</v>
      </c>
      <c r="X1180" t="s">
        <v>229</v>
      </c>
      <c r="Y1180" t="s">
        <v>46</v>
      </c>
      <c r="AD1180" t="s">
        <v>45</v>
      </c>
      <c r="AE1180">
        <v>-450</v>
      </c>
      <c r="AF1180">
        <v>42054891</v>
      </c>
      <c r="AG1180" s="73">
        <v>45355.619444444441</v>
      </c>
      <c r="AH1180" t="s">
        <v>226</v>
      </c>
      <c r="AI1180" t="s">
        <v>560</v>
      </c>
      <c r="AJ1180" t="s">
        <v>228</v>
      </c>
      <c r="AK1180" t="s">
        <v>229</v>
      </c>
      <c r="AL1180" t="s">
        <v>46</v>
      </c>
      <c r="AP1180" t="s">
        <v>230</v>
      </c>
      <c r="AQ1180" t="s">
        <v>231</v>
      </c>
      <c r="AT1180" t="s">
        <v>232</v>
      </c>
      <c r="AU1180">
        <v>-99</v>
      </c>
      <c r="AV1180" t="s">
        <v>45</v>
      </c>
      <c r="AW1180">
        <v>-450</v>
      </c>
      <c r="AX1180">
        <v>42054891</v>
      </c>
      <c r="AY1180" s="73">
        <v>45355.619444444441</v>
      </c>
      <c r="AZ1180" t="s">
        <v>226</v>
      </c>
      <c r="BA1180" t="s">
        <v>560</v>
      </c>
      <c r="BB1180" t="s">
        <v>228</v>
      </c>
      <c r="BC1180" t="s">
        <v>229</v>
      </c>
      <c r="BD1180" t="s">
        <v>46</v>
      </c>
      <c r="BI1180" t="s">
        <v>233</v>
      </c>
      <c r="BJ1180" t="s">
        <v>0</v>
      </c>
      <c r="BK1180">
        <v>42054867</v>
      </c>
      <c r="BN1180" t="s">
        <v>45</v>
      </c>
      <c r="BR1180">
        <v>-450</v>
      </c>
      <c r="BS1180">
        <v>42054891</v>
      </c>
      <c r="BT1180" s="73">
        <v>45355.619444444441</v>
      </c>
      <c r="BU1180" t="s">
        <v>226</v>
      </c>
      <c r="BV1180" t="s">
        <v>560</v>
      </c>
      <c r="BW1180" t="s">
        <v>228</v>
      </c>
      <c r="CH1180" t="s">
        <v>229</v>
      </c>
      <c r="CI1180" t="s">
        <v>46</v>
      </c>
      <c r="CJ1180" t="s">
        <v>226</v>
      </c>
      <c r="CK1180" t="s">
        <v>560</v>
      </c>
      <c r="CL1180" t="s">
        <v>228</v>
      </c>
      <c r="CM1180" t="s">
        <v>234</v>
      </c>
      <c r="CN1180" t="s">
        <v>45</v>
      </c>
      <c r="CO1180">
        <v>-450</v>
      </c>
      <c r="CP1180">
        <v>42054891</v>
      </c>
      <c r="CQ1180" s="73">
        <v>45355.619444444441</v>
      </c>
      <c r="CR1180" t="s">
        <v>229</v>
      </c>
      <c r="CS1180" t="s">
        <v>46</v>
      </c>
      <c r="CU1180" t="s">
        <v>225</v>
      </c>
    </row>
    <row r="1181" spans="1:99">
      <c r="A1181" t="s">
        <v>93</v>
      </c>
      <c r="B1181" t="s">
        <v>98</v>
      </c>
      <c r="J1181" t="s">
        <v>225</v>
      </c>
      <c r="K1181" t="s">
        <v>225</v>
      </c>
      <c r="M1181" s="73">
        <v>45355.619444444441</v>
      </c>
      <c r="N1181">
        <v>42054890</v>
      </c>
      <c r="O1181">
        <v>-22.5</v>
      </c>
      <c r="P1181" t="s">
        <v>73</v>
      </c>
      <c r="Q1181">
        <v>-22.5</v>
      </c>
      <c r="R1181" t="s">
        <v>73</v>
      </c>
      <c r="U1181" t="s">
        <v>226</v>
      </c>
      <c r="V1181" t="s">
        <v>560</v>
      </c>
      <c r="W1181" t="s">
        <v>228</v>
      </c>
      <c r="X1181" t="s">
        <v>229</v>
      </c>
      <c r="Y1181" t="s">
        <v>93</v>
      </c>
      <c r="AD1181" t="s">
        <v>73</v>
      </c>
      <c r="AE1181">
        <v>-22.5</v>
      </c>
      <c r="AF1181">
        <v>42054890</v>
      </c>
      <c r="AG1181" s="73">
        <v>45355.619444444441</v>
      </c>
      <c r="AH1181" t="s">
        <v>226</v>
      </c>
      <c r="AI1181" t="s">
        <v>560</v>
      </c>
      <c r="AJ1181" t="s">
        <v>228</v>
      </c>
      <c r="AK1181" t="s">
        <v>229</v>
      </c>
      <c r="AL1181" t="s">
        <v>93</v>
      </c>
      <c r="AP1181" t="s">
        <v>230</v>
      </c>
      <c r="AQ1181" t="s">
        <v>231</v>
      </c>
      <c r="AT1181" t="s">
        <v>232</v>
      </c>
      <c r="AU1181">
        <v>-99</v>
      </c>
      <c r="AV1181" t="s">
        <v>73</v>
      </c>
      <c r="AW1181">
        <v>-22.5</v>
      </c>
      <c r="AX1181">
        <v>42054890</v>
      </c>
      <c r="AY1181" s="73">
        <v>45355.619444444441</v>
      </c>
      <c r="AZ1181" t="s">
        <v>226</v>
      </c>
      <c r="BA1181" t="s">
        <v>560</v>
      </c>
      <c r="BB1181" t="s">
        <v>228</v>
      </c>
      <c r="BC1181" t="s">
        <v>229</v>
      </c>
      <c r="BD1181" t="s">
        <v>93</v>
      </c>
      <c r="BI1181" t="s">
        <v>233</v>
      </c>
      <c r="BJ1181" t="s">
        <v>0</v>
      </c>
      <c r="BK1181">
        <v>42054867</v>
      </c>
      <c r="BN1181" t="s">
        <v>73</v>
      </c>
      <c r="BR1181">
        <v>-22.5</v>
      </c>
      <c r="BS1181">
        <v>42054890</v>
      </c>
      <c r="BT1181" s="73">
        <v>45355.619444444441</v>
      </c>
      <c r="BU1181" t="s">
        <v>226</v>
      </c>
      <c r="BV1181" t="s">
        <v>560</v>
      </c>
      <c r="BW1181" t="s">
        <v>228</v>
      </c>
      <c r="CH1181" t="s">
        <v>229</v>
      </c>
      <c r="CI1181" t="s">
        <v>93</v>
      </c>
      <c r="CJ1181" t="s">
        <v>226</v>
      </c>
      <c r="CK1181" t="s">
        <v>560</v>
      </c>
      <c r="CL1181" t="s">
        <v>228</v>
      </c>
      <c r="CM1181" t="s">
        <v>234</v>
      </c>
      <c r="CN1181" t="s">
        <v>73</v>
      </c>
      <c r="CO1181">
        <v>-22.5</v>
      </c>
      <c r="CP1181">
        <v>42054890</v>
      </c>
      <c r="CQ1181" s="73">
        <v>45355.619444444441</v>
      </c>
      <c r="CR1181" t="s">
        <v>229</v>
      </c>
      <c r="CS1181" t="s">
        <v>93</v>
      </c>
      <c r="CU1181" t="s">
        <v>225</v>
      </c>
    </row>
    <row r="1182" spans="1:99">
      <c r="A1182" t="s">
        <v>108</v>
      </c>
      <c r="B1182" t="s">
        <v>98</v>
      </c>
      <c r="J1182" t="s">
        <v>225</v>
      </c>
      <c r="K1182" t="s">
        <v>225</v>
      </c>
      <c r="M1182" s="73">
        <v>45355.619444444441</v>
      </c>
      <c r="N1182">
        <v>42054889</v>
      </c>
      <c r="O1182">
        <v>450</v>
      </c>
      <c r="P1182" t="s">
        <v>104</v>
      </c>
      <c r="Q1182">
        <v>450</v>
      </c>
      <c r="R1182" t="s">
        <v>104</v>
      </c>
      <c r="S1182">
        <v>22.5</v>
      </c>
      <c r="T1182" t="s">
        <v>73</v>
      </c>
      <c r="U1182" t="s">
        <v>226</v>
      </c>
      <c r="V1182" t="s">
        <v>560</v>
      </c>
      <c r="W1182" t="s">
        <v>235</v>
      </c>
      <c r="X1182" t="s">
        <v>229</v>
      </c>
      <c r="Y1182" t="s">
        <v>108</v>
      </c>
      <c r="AD1182" t="s">
        <v>104</v>
      </c>
      <c r="AE1182">
        <v>450</v>
      </c>
      <c r="AF1182">
        <v>42054889</v>
      </c>
      <c r="AG1182" s="73">
        <v>45355.619444444441</v>
      </c>
      <c r="AH1182" t="s">
        <v>226</v>
      </c>
      <c r="AI1182" t="s">
        <v>560</v>
      </c>
      <c r="AJ1182" t="s">
        <v>235</v>
      </c>
      <c r="AK1182" t="s">
        <v>229</v>
      </c>
      <c r="AL1182" t="s">
        <v>108</v>
      </c>
      <c r="AP1182" t="s">
        <v>230</v>
      </c>
      <c r="AQ1182" t="s">
        <v>231</v>
      </c>
      <c r="AT1182" t="s">
        <v>232</v>
      </c>
      <c r="AU1182">
        <v>-99</v>
      </c>
      <c r="AV1182" t="s">
        <v>104</v>
      </c>
      <c r="AW1182">
        <v>450</v>
      </c>
      <c r="AX1182">
        <v>42054889</v>
      </c>
      <c r="AY1182" s="73">
        <v>45355.619444444441</v>
      </c>
      <c r="AZ1182" t="s">
        <v>226</v>
      </c>
      <c r="BA1182" t="s">
        <v>560</v>
      </c>
      <c r="BB1182" t="s">
        <v>235</v>
      </c>
      <c r="BC1182" t="s">
        <v>229</v>
      </c>
      <c r="BD1182" t="s">
        <v>108</v>
      </c>
      <c r="BI1182" t="s">
        <v>233</v>
      </c>
      <c r="BJ1182" t="s">
        <v>0</v>
      </c>
      <c r="BK1182">
        <v>42054867</v>
      </c>
      <c r="BN1182" t="s">
        <v>104</v>
      </c>
      <c r="BO1182">
        <v>42054885</v>
      </c>
      <c r="BR1182">
        <v>450</v>
      </c>
      <c r="BS1182">
        <v>42054889</v>
      </c>
      <c r="BT1182" s="73">
        <v>45355.619444444441</v>
      </c>
      <c r="BU1182" t="s">
        <v>226</v>
      </c>
      <c r="BV1182" t="s">
        <v>560</v>
      </c>
      <c r="BW1182" t="s">
        <v>235</v>
      </c>
      <c r="CH1182" t="s">
        <v>229</v>
      </c>
      <c r="CI1182" t="s">
        <v>108</v>
      </c>
      <c r="CJ1182" t="s">
        <v>226</v>
      </c>
      <c r="CK1182" t="s">
        <v>560</v>
      </c>
      <c r="CL1182" t="s">
        <v>235</v>
      </c>
      <c r="CM1182" t="s">
        <v>236</v>
      </c>
      <c r="CN1182" t="s">
        <v>104</v>
      </c>
      <c r="CO1182">
        <v>450</v>
      </c>
      <c r="CP1182">
        <v>42054889</v>
      </c>
      <c r="CQ1182" s="73">
        <v>45355.619444444441</v>
      </c>
      <c r="CR1182" t="s">
        <v>229</v>
      </c>
      <c r="CS1182" t="s">
        <v>108</v>
      </c>
      <c r="CU1182" t="s">
        <v>225</v>
      </c>
    </row>
    <row r="1183" spans="1:99">
      <c r="A1183" t="s">
        <v>42</v>
      </c>
      <c r="B1183" t="s">
        <v>92</v>
      </c>
      <c r="J1183" t="s">
        <v>225</v>
      </c>
      <c r="K1183" t="s">
        <v>225</v>
      </c>
      <c r="M1183" s="73">
        <v>45355.613888888889</v>
      </c>
      <c r="N1183">
        <v>42055810</v>
      </c>
      <c r="O1183">
        <v>-9163</v>
      </c>
      <c r="P1183" t="s">
        <v>45</v>
      </c>
      <c r="Q1183">
        <v>-9163</v>
      </c>
      <c r="R1183" t="s">
        <v>45</v>
      </c>
      <c r="U1183" t="s">
        <v>226</v>
      </c>
      <c r="V1183" t="s">
        <v>561</v>
      </c>
      <c r="W1183" t="s">
        <v>228</v>
      </c>
      <c r="X1183" t="s">
        <v>229</v>
      </c>
      <c r="Y1183" t="s">
        <v>42</v>
      </c>
      <c r="AD1183" t="s">
        <v>45</v>
      </c>
      <c r="AE1183">
        <v>-9163</v>
      </c>
      <c r="AF1183">
        <v>42055810</v>
      </c>
      <c r="AG1183" s="73">
        <v>45355.613888888889</v>
      </c>
      <c r="AH1183" t="s">
        <v>226</v>
      </c>
      <c r="AI1183" t="s">
        <v>561</v>
      </c>
      <c r="AJ1183" t="s">
        <v>228</v>
      </c>
      <c r="AK1183" t="s">
        <v>229</v>
      </c>
      <c r="AL1183" t="s">
        <v>42</v>
      </c>
      <c r="AP1183" t="s">
        <v>230</v>
      </c>
      <c r="AQ1183" t="s">
        <v>231</v>
      </c>
      <c r="AT1183" t="s">
        <v>232</v>
      </c>
      <c r="AU1183">
        <v>-99</v>
      </c>
      <c r="AV1183" t="s">
        <v>45</v>
      </c>
      <c r="AW1183">
        <v>-9163</v>
      </c>
      <c r="AX1183">
        <v>42055810</v>
      </c>
      <c r="AY1183" s="73">
        <v>45355.613888888889</v>
      </c>
      <c r="AZ1183" t="s">
        <v>226</v>
      </c>
      <c r="BA1183" t="s">
        <v>561</v>
      </c>
      <c r="BB1183" t="s">
        <v>228</v>
      </c>
      <c r="BC1183" t="s">
        <v>229</v>
      </c>
      <c r="BD1183" t="s">
        <v>42</v>
      </c>
      <c r="BI1183" t="s">
        <v>233</v>
      </c>
      <c r="BJ1183" t="s">
        <v>0</v>
      </c>
      <c r="BK1183">
        <v>42055794</v>
      </c>
      <c r="BN1183" t="s">
        <v>45</v>
      </c>
      <c r="BR1183">
        <v>-9163</v>
      </c>
      <c r="BS1183">
        <v>42055810</v>
      </c>
      <c r="BT1183" s="73">
        <v>45355.613888888889</v>
      </c>
      <c r="BU1183" t="s">
        <v>226</v>
      </c>
      <c r="BV1183" t="s">
        <v>561</v>
      </c>
      <c r="BW1183" t="s">
        <v>228</v>
      </c>
      <c r="CH1183" t="s">
        <v>229</v>
      </c>
      <c r="CI1183" t="s">
        <v>42</v>
      </c>
      <c r="CJ1183" t="s">
        <v>226</v>
      </c>
      <c r="CK1183" t="s">
        <v>561</v>
      </c>
      <c r="CL1183" t="s">
        <v>228</v>
      </c>
      <c r="CM1183" t="s">
        <v>234</v>
      </c>
      <c r="CN1183" t="s">
        <v>45</v>
      </c>
      <c r="CO1183">
        <v>-9163</v>
      </c>
      <c r="CP1183">
        <v>42055810</v>
      </c>
      <c r="CQ1183" s="73">
        <v>45355.613888888889</v>
      </c>
      <c r="CR1183" t="s">
        <v>229</v>
      </c>
      <c r="CS1183" t="s">
        <v>42</v>
      </c>
      <c r="CU1183" t="s">
        <v>225</v>
      </c>
    </row>
    <row r="1184" spans="1:99">
      <c r="A1184" t="s">
        <v>99</v>
      </c>
      <c r="B1184" t="s">
        <v>98</v>
      </c>
      <c r="J1184" t="s">
        <v>225</v>
      </c>
      <c r="K1184" t="s">
        <v>225</v>
      </c>
      <c r="M1184" s="73">
        <v>45355.613888888889</v>
      </c>
      <c r="N1184">
        <v>42055809</v>
      </c>
      <c r="O1184">
        <v>-457.5</v>
      </c>
      <c r="P1184" t="s">
        <v>73</v>
      </c>
      <c r="Q1184">
        <v>-457.5</v>
      </c>
      <c r="R1184" t="s">
        <v>73</v>
      </c>
      <c r="U1184" t="s">
        <v>226</v>
      </c>
      <c r="V1184" t="s">
        <v>561</v>
      </c>
      <c r="W1184" t="s">
        <v>228</v>
      </c>
      <c r="X1184" t="s">
        <v>229</v>
      </c>
      <c r="Y1184" t="s">
        <v>99</v>
      </c>
      <c r="AD1184" t="s">
        <v>73</v>
      </c>
      <c r="AE1184">
        <v>-457.5</v>
      </c>
      <c r="AF1184">
        <v>42055809</v>
      </c>
      <c r="AG1184" s="73">
        <v>45355.613888888889</v>
      </c>
      <c r="AH1184" t="s">
        <v>226</v>
      </c>
      <c r="AI1184" t="s">
        <v>561</v>
      </c>
      <c r="AJ1184" t="s">
        <v>228</v>
      </c>
      <c r="AK1184" t="s">
        <v>229</v>
      </c>
      <c r="AL1184" t="s">
        <v>99</v>
      </c>
      <c r="AP1184" t="s">
        <v>230</v>
      </c>
      <c r="AQ1184" t="s">
        <v>231</v>
      </c>
      <c r="AT1184" t="s">
        <v>232</v>
      </c>
      <c r="AU1184">
        <v>-99</v>
      </c>
      <c r="AV1184" t="s">
        <v>73</v>
      </c>
      <c r="AW1184">
        <v>-457.5</v>
      </c>
      <c r="AX1184">
        <v>42055809</v>
      </c>
      <c r="AY1184" s="73">
        <v>45355.613888888889</v>
      </c>
      <c r="AZ1184" t="s">
        <v>226</v>
      </c>
      <c r="BA1184" t="s">
        <v>561</v>
      </c>
      <c r="BB1184" t="s">
        <v>228</v>
      </c>
      <c r="BC1184" t="s">
        <v>229</v>
      </c>
      <c r="BD1184" t="s">
        <v>99</v>
      </c>
      <c r="BI1184" t="s">
        <v>233</v>
      </c>
      <c r="BJ1184" t="s">
        <v>0</v>
      </c>
      <c r="BK1184">
        <v>42055794</v>
      </c>
      <c r="BN1184" t="s">
        <v>73</v>
      </c>
      <c r="BR1184">
        <v>-457.5</v>
      </c>
      <c r="BS1184">
        <v>42055809</v>
      </c>
      <c r="BT1184" s="73">
        <v>45355.613888888889</v>
      </c>
      <c r="BU1184" t="s">
        <v>226</v>
      </c>
      <c r="BV1184" t="s">
        <v>561</v>
      </c>
      <c r="BW1184" t="s">
        <v>228</v>
      </c>
      <c r="CH1184" t="s">
        <v>229</v>
      </c>
      <c r="CI1184" t="s">
        <v>99</v>
      </c>
      <c r="CJ1184" t="s">
        <v>226</v>
      </c>
      <c r="CK1184" t="s">
        <v>561</v>
      </c>
      <c r="CL1184" t="s">
        <v>228</v>
      </c>
      <c r="CM1184" t="s">
        <v>234</v>
      </c>
      <c r="CN1184" t="s">
        <v>73</v>
      </c>
      <c r="CO1184">
        <v>-457.5</v>
      </c>
      <c r="CP1184">
        <v>42055809</v>
      </c>
      <c r="CQ1184" s="73">
        <v>45355.613888888889</v>
      </c>
      <c r="CR1184" t="s">
        <v>229</v>
      </c>
      <c r="CS1184" t="s">
        <v>99</v>
      </c>
      <c r="CU1184" t="s">
        <v>225</v>
      </c>
    </row>
    <row r="1185" spans="1:99">
      <c r="A1185" t="s">
        <v>103</v>
      </c>
      <c r="B1185" t="s">
        <v>98</v>
      </c>
      <c r="J1185" t="s">
        <v>225</v>
      </c>
      <c r="K1185" t="s">
        <v>225</v>
      </c>
      <c r="M1185" s="73">
        <v>45355.613888888889</v>
      </c>
      <c r="N1185">
        <v>42055808</v>
      </c>
      <c r="O1185">
        <v>9150</v>
      </c>
      <c r="P1185" t="s">
        <v>104</v>
      </c>
      <c r="Q1185">
        <v>9150</v>
      </c>
      <c r="R1185" t="s">
        <v>104</v>
      </c>
      <c r="S1185">
        <v>457.5</v>
      </c>
      <c r="T1185" t="s">
        <v>73</v>
      </c>
      <c r="U1185" t="s">
        <v>226</v>
      </c>
      <c r="V1185" t="s">
        <v>561</v>
      </c>
      <c r="W1185" t="s">
        <v>235</v>
      </c>
      <c r="X1185" t="s">
        <v>229</v>
      </c>
      <c r="Y1185" t="s">
        <v>103</v>
      </c>
      <c r="AD1185" t="s">
        <v>104</v>
      </c>
      <c r="AE1185">
        <v>9150</v>
      </c>
      <c r="AF1185">
        <v>42055808</v>
      </c>
      <c r="AG1185" s="73">
        <v>45355.613888888889</v>
      </c>
      <c r="AH1185" t="s">
        <v>226</v>
      </c>
      <c r="AI1185" t="s">
        <v>561</v>
      </c>
      <c r="AJ1185" t="s">
        <v>235</v>
      </c>
      <c r="AK1185" t="s">
        <v>229</v>
      </c>
      <c r="AL1185" t="s">
        <v>103</v>
      </c>
      <c r="AP1185" t="s">
        <v>230</v>
      </c>
      <c r="AQ1185" t="s">
        <v>231</v>
      </c>
      <c r="AT1185" t="s">
        <v>232</v>
      </c>
      <c r="AU1185">
        <v>-99</v>
      </c>
      <c r="AV1185" t="s">
        <v>104</v>
      </c>
      <c r="AW1185">
        <v>9150</v>
      </c>
      <c r="AX1185">
        <v>42055808</v>
      </c>
      <c r="AY1185" s="73">
        <v>45355.613888888889</v>
      </c>
      <c r="AZ1185" t="s">
        <v>226</v>
      </c>
      <c r="BA1185" t="s">
        <v>561</v>
      </c>
      <c r="BB1185" t="s">
        <v>235</v>
      </c>
      <c r="BC1185" t="s">
        <v>229</v>
      </c>
      <c r="BD1185" t="s">
        <v>103</v>
      </c>
      <c r="BI1185" t="s">
        <v>233</v>
      </c>
      <c r="BJ1185" t="s">
        <v>0</v>
      </c>
      <c r="BK1185">
        <v>42055794</v>
      </c>
      <c r="BN1185" t="s">
        <v>104</v>
      </c>
      <c r="BO1185">
        <v>42055800</v>
      </c>
      <c r="BR1185">
        <v>9150</v>
      </c>
      <c r="BS1185">
        <v>42055808</v>
      </c>
      <c r="BT1185" s="73">
        <v>45355.613888888889</v>
      </c>
      <c r="BU1185" t="s">
        <v>226</v>
      </c>
      <c r="BV1185" t="s">
        <v>561</v>
      </c>
      <c r="BW1185" t="s">
        <v>235</v>
      </c>
      <c r="CH1185" t="s">
        <v>229</v>
      </c>
      <c r="CI1185" t="s">
        <v>103</v>
      </c>
      <c r="CJ1185" t="s">
        <v>226</v>
      </c>
      <c r="CK1185" t="s">
        <v>561</v>
      </c>
      <c r="CL1185" t="s">
        <v>235</v>
      </c>
      <c r="CM1185" t="s">
        <v>236</v>
      </c>
      <c r="CN1185" t="s">
        <v>104</v>
      </c>
      <c r="CO1185">
        <v>9150</v>
      </c>
      <c r="CP1185">
        <v>42055808</v>
      </c>
      <c r="CQ1185" s="73">
        <v>45355.613888888889</v>
      </c>
      <c r="CR1185" t="s">
        <v>229</v>
      </c>
      <c r="CS1185" t="s">
        <v>103</v>
      </c>
      <c r="CU1185" t="s">
        <v>225</v>
      </c>
    </row>
    <row r="1186" spans="1:99">
      <c r="A1186" t="s">
        <v>111</v>
      </c>
      <c r="B1186" t="s">
        <v>77</v>
      </c>
      <c r="J1186" t="s">
        <v>225</v>
      </c>
      <c r="K1186" t="s">
        <v>225</v>
      </c>
      <c r="M1186" s="73">
        <v>45355.613888888889</v>
      </c>
      <c r="N1186">
        <v>42055807</v>
      </c>
      <c r="O1186">
        <v>13</v>
      </c>
      <c r="P1186" t="s">
        <v>45</v>
      </c>
      <c r="Q1186">
        <v>13</v>
      </c>
      <c r="R1186" t="s">
        <v>45</v>
      </c>
      <c r="U1186" t="s">
        <v>226</v>
      </c>
      <c r="V1186" t="s">
        <v>561</v>
      </c>
      <c r="W1186" t="s">
        <v>237</v>
      </c>
      <c r="X1186" t="s">
        <v>229</v>
      </c>
      <c r="Y1186" t="s">
        <v>111</v>
      </c>
      <c r="AD1186" t="s">
        <v>45</v>
      </c>
      <c r="AE1186">
        <v>13</v>
      </c>
      <c r="AF1186">
        <v>42055807</v>
      </c>
      <c r="AG1186" s="73">
        <v>45355.613888888889</v>
      </c>
      <c r="AH1186" t="s">
        <v>226</v>
      </c>
      <c r="AI1186" t="s">
        <v>561</v>
      </c>
      <c r="AJ1186" t="s">
        <v>237</v>
      </c>
      <c r="AK1186" t="s">
        <v>229</v>
      </c>
      <c r="AL1186" t="s">
        <v>111</v>
      </c>
      <c r="AP1186" t="s">
        <v>230</v>
      </c>
      <c r="AQ1186" t="s">
        <v>231</v>
      </c>
      <c r="AT1186" t="s">
        <v>232</v>
      </c>
      <c r="AU1186">
        <v>-99</v>
      </c>
      <c r="AV1186" t="s">
        <v>45</v>
      </c>
      <c r="AW1186">
        <v>13</v>
      </c>
      <c r="AX1186">
        <v>42055807</v>
      </c>
      <c r="AY1186" s="73">
        <v>45355.613888888889</v>
      </c>
      <c r="AZ1186" t="s">
        <v>226</v>
      </c>
      <c r="BA1186" t="s">
        <v>561</v>
      </c>
      <c r="BB1186" t="s">
        <v>237</v>
      </c>
      <c r="BC1186" t="s">
        <v>229</v>
      </c>
      <c r="BD1186" t="s">
        <v>111</v>
      </c>
      <c r="BI1186" t="s">
        <v>233</v>
      </c>
      <c r="BJ1186" t="s">
        <v>0</v>
      </c>
      <c r="BK1186">
        <v>42055794</v>
      </c>
      <c r="BN1186" t="s">
        <v>45</v>
      </c>
      <c r="BO1186">
        <v>42055802</v>
      </c>
      <c r="BR1186">
        <v>13</v>
      </c>
      <c r="BS1186">
        <v>42055807</v>
      </c>
      <c r="BT1186" s="73">
        <v>45355.613888888889</v>
      </c>
      <c r="BU1186" t="s">
        <v>226</v>
      </c>
      <c r="BV1186" t="s">
        <v>561</v>
      </c>
      <c r="BW1186" t="s">
        <v>237</v>
      </c>
      <c r="CH1186" t="s">
        <v>229</v>
      </c>
      <c r="CI1186" t="s">
        <v>111</v>
      </c>
      <c r="CJ1186" t="s">
        <v>226</v>
      </c>
      <c r="CK1186" t="s">
        <v>561</v>
      </c>
      <c r="CL1186" t="s">
        <v>237</v>
      </c>
      <c r="CM1186" t="s">
        <v>236</v>
      </c>
      <c r="CN1186" t="s">
        <v>45</v>
      </c>
      <c r="CO1186">
        <v>13</v>
      </c>
      <c r="CP1186">
        <v>42055807</v>
      </c>
      <c r="CQ1186" s="73">
        <v>45355.613888888889</v>
      </c>
      <c r="CR1186" t="s">
        <v>229</v>
      </c>
      <c r="CS1186" t="s">
        <v>111</v>
      </c>
      <c r="CU1186" t="s">
        <v>225</v>
      </c>
    </row>
    <row r="1187" spans="1:99">
      <c r="A1187" t="s">
        <v>52</v>
      </c>
      <c r="B1187" t="s">
        <v>92</v>
      </c>
      <c r="J1187" t="s">
        <v>225</v>
      </c>
      <c r="K1187" t="s">
        <v>225</v>
      </c>
      <c r="M1187" s="73">
        <v>45355.609027777777</v>
      </c>
      <c r="N1187">
        <v>42055720</v>
      </c>
      <c r="O1187">
        <v>-1501</v>
      </c>
      <c r="P1187" t="s">
        <v>45</v>
      </c>
      <c r="Q1187">
        <v>-1501</v>
      </c>
      <c r="R1187" t="s">
        <v>45</v>
      </c>
      <c r="U1187" t="s">
        <v>226</v>
      </c>
      <c r="V1187" t="s">
        <v>562</v>
      </c>
      <c r="W1187" t="s">
        <v>228</v>
      </c>
      <c r="X1187" t="s">
        <v>229</v>
      </c>
      <c r="Y1187" t="s">
        <v>52</v>
      </c>
      <c r="AD1187" t="s">
        <v>45</v>
      </c>
      <c r="AE1187">
        <v>-1501</v>
      </c>
      <c r="AF1187">
        <v>42055720</v>
      </c>
      <c r="AG1187" s="73">
        <v>45355.609027777777</v>
      </c>
      <c r="AH1187" t="s">
        <v>226</v>
      </c>
      <c r="AI1187" t="s">
        <v>562</v>
      </c>
      <c r="AJ1187" t="s">
        <v>228</v>
      </c>
      <c r="AK1187" t="s">
        <v>229</v>
      </c>
      <c r="AL1187" t="s">
        <v>52</v>
      </c>
      <c r="AP1187" t="s">
        <v>230</v>
      </c>
      <c r="AQ1187" t="s">
        <v>231</v>
      </c>
      <c r="AT1187" t="s">
        <v>232</v>
      </c>
      <c r="AU1187">
        <v>-99</v>
      </c>
      <c r="AV1187" t="s">
        <v>45</v>
      </c>
      <c r="AW1187">
        <v>-1501</v>
      </c>
      <c r="AX1187">
        <v>42055720</v>
      </c>
      <c r="AY1187" s="73">
        <v>45355.609027777777</v>
      </c>
      <c r="AZ1187" t="s">
        <v>226</v>
      </c>
      <c r="BA1187" t="s">
        <v>562</v>
      </c>
      <c r="BB1187" t="s">
        <v>228</v>
      </c>
      <c r="BC1187" t="s">
        <v>229</v>
      </c>
      <c r="BD1187" t="s">
        <v>52</v>
      </c>
      <c r="BI1187" t="s">
        <v>233</v>
      </c>
      <c r="BJ1187" t="s">
        <v>0</v>
      </c>
      <c r="BK1187">
        <v>42055704</v>
      </c>
      <c r="BN1187" t="s">
        <v>45</v>
      </c>
      <c r="BR1187">
        <v>-1501</v>
      </c>
      <c r="BS1187">
        <v>42055720</v>
      </c>
      <c r="BT1187" s="73">
        <v>45355.609027777777</v>
      </c>
      <c r="BU1187" t="s">
        <v>226</v>
      </c>
      <c r="BV1187" t="s">
        <v>562</v>
      </c>
      <c r="BW1187" t="s">
        <v>228</v>
      </c>
      <c r="CH1187" t="s">
        <v>229</v>
      </c>
      <c r="CI1187" t="s">
        <v>52</v>
      </c>
      <c r="CJ1187" t="s">
        <v>226</v>
      </c>
      <c r="CK1187" t="s">
        <v>562</v>
      </c>
      <c r="CL1187" t="s">
        <v>228</v>
      </c>
      <c r="CM1187" t="s">
        <v>234</v>
      </c>
      <c r="CN1187" t="s">
        <v>45</v>
      </c>
      <c r="CO1187">
        <v>-1501</v>
      </c>
      <c r="CP1187">
        <v>42055720</v>
      </c>
      <c r="CQ1187" s="73">
        <v>45355.609027777777</v>
      </c>
      <c r="CR1187" t="s">
        <v>229</v>
      </c>
      <c r="CS1187" t="s">
        <v>52</v>
      </c>
      <c r="CU1187" t="s">
        <v>225</v>
      </c>
    </row>
    <row r="1188" spans="1:99">
      <c r="A1188" t="s">
        <v>101</v>
      </c>
      <c r="B1188" t="s">
        <v>98</v>
      </c>
      <c r="J1188" t="s">
        <v>225</v>
      </c>
      <c r="K1188" t="s">
        <v>225</v>
      </c>
      <c r="M1188" s="73">
        <v>45355.609027777777</v>
      </c>
      <c r="N1188">
        <v>42055719</v>
      </c>
      <c r="O1188">
        <v>-75</v>
      </c>
      <c r="P1188" t="s">
        <v>73</v>
      </c>
      <c r="Q1188">
        <v>-75</v>
      </c>
      <c r="R1188" t="s">
        <v>73</v>
      </c>
      <c r="U1188" t="s">
        <v>226</v>
      </c>
      <c r="V1188" t="s">
        <v>562</v>
      </c>
      <c r="W1188" t="s">
        <v>228</v>
      </c>
      <c r="X1188" t="s">
        <v>229</v>
      </c>
      <c r="Y1188" t="s">
        <v>101</v>
      </c>
      <c r="AD1188" t="s">
        <v>73</v>
      </c>
      <c r="AE1188">
        <v>-75</v>
      </c>
      <c r="AF1188">
        <v>42055719</v>
      </c>
      <c r="AG1188" s="73">
        <v>45355.609027777777</v>
      </c>
      <c r="AH1188" t="s">
        <v>226</v>
      </c>
      <c r="AI1188" t="s">
        <v>562</v>
      </c>
      <c r="AJ1188" t="s">
        <v>228</v>
      </c>
      <c r="AK1188" t="s">
        <v>229</v>
      </c>
      <c r="AL1188" t="s">
        <v>101</v>
      </c>
      <c r="AP1188" t="s">
        <v>230</v>
      </c>
      <c r="AQ1188" t="s">
        <v>231</v>
      </c>
      <c r="AT1188" t="s">
        <v>232</v>
      </c>
      <c r="AU1188">
        <v>-99</v>
      </c>
      <c r="AV1188" t="s">
        <v>73</v>
      </c>
      <c r="AW1188">
        <v>-75</v>
      </c>
      <c r="AX1188">
        <v>42055719</v>
      </c>
      <c r="AY1188" s="73">
        <v>45355.609027777777</v>
      </c>
      <c r="AZ1188" t="s">
        <v>226</v>
      </c>
      <c r="BA1188" t="s">
        <v>562</v>
      </c>
      <c r="BB1188" t="s">
        <v>228</v>
      </c>
      <c r="BC1188" t="s">
        <v>229</v>
      </c>
      <c r="BD1188" t="s">
        <v>101</v>
      </c>
      <c r="BI1188" t="s">
        <v>233</v>
      </c>
      <c r="BJ1188" t="s">
        <v>0</v>
      </c>
      <c r="BK1188">
        <v>42055704</v>
      </c>
      <c r="BN1188" t="s">
        <v>73</v>
      </c>
      <c r="BR1188">
        <v>-75</v>
      </c>
      <c r="BS1188">
        <v>42055719</v>
      </c>
      <c r="BT1188" s="73">
        <v>45355.609027777777</v>
      </c>
      <c r="BU1188" t="s">
        <v>226</v>
      </c>
      <c r="BV1188" t="s">
        <v>562</v>
      </c>
      <c r="BW1188" t="s">
        <v>228</v>
      </c>
      <c r="CH1188" t="s">
        <v>229</v>
      </c>
      <c r="CI1188" t="s">
        <v>101</v>
      </c>
      <c r="CJ1188" t="s">
        <v>226</v>
      </c>
      <c r="CK1188" t="s">
        <v>562</v>
      </c>
      <c r="CL1188" t="s">
        <v>228</v>
      </c>
      <c r="CM1188" t="s">
        <v>234</v>
      </c>
      <c r="CN1188" t="s">
        <v>73</v>
      </c>
      <c r="CO1188">
        <v>-75</v>
      </c>
      <c r="CP1188">
        <v>42055719</v>
      </c>
      <c r="CQ1188" s="73">
        <v>45355.609027777777</v>
      </c>
      <c r="CR1188" t="s">
        <v>229</v>
      </c>
      <c r="CS1188" t="s">
        <v>101</v>
      </c>
      <c r="CU1188" t="s">
        <v>225</v>
      </c>
    </row>
    <row r="1189" spans="1:99">
      <c r="A1189" t="s">
        <v>107</v>
      </c>
      <c r="B1189" t="s">
        <v>98</v>
      </c>
      <c r="J1189" t="s">
        <v>225</v>
      </c>
      <c r="K1189" t="s">
        <v>225</v>
      </c>
      <c r="M1189" s="73">
        <v>45355.609027777777</v>
      </c>
      <c r="N1189">
        <v>42055718</v>
      </c>
      <c r="O1189">
        <v>1500</v>
      </c>
      <c r="P1189" t="s">
        <v>104</v>
      </c>
      <c r="Q1189">
        <v>1500</v>
      </c>
      <c r="R1189" t="s">
        <v>104</v>
      </c>
      <c r="S1189">
        <v>75</v>
      </c>
      <c r="T1189" t="s">
        <v>73</v>
      </c>
      <c r="U1189" t="s">
        <v>226</v>
      </c>
      <c r="V1189" t="s">
        <v>562</v>
      </c>
      <c r="W1189" t="s">
        <v>235</v>
      </c>
      <c r="X1189" t="s">
        <v>229</v>
      </c>
      <c r="Y1189" t="s">
        <v>107</v>
      </c>
      <c r="AD1189" t="s">
        <v>104</v>
      </c>
      <c r="AE1189">
        <v>1500</v>
      </c>
      <c r="AF1189">
        <v>42055718</v>
      </c>
      <c r="AG1189" s="73">
        <v>45355.609027777777</v>
      </c>
      <c r="AH1189" t="s">
        <v>226</v>
      </c>
      <c r="AI1189" t="s">
        <v>562</v>
      </c>
      <c r="AJ1189" t="s">
        <v>235</v>
      </c>
      <c r="AK1189" t="s">
        <v>229</v>
      </c>
      <c r="AL1189" t="s">
        <v>107</v>
      </c>
      <c r="AP1189" t="s">
        <v>230</v>
      </c>
      <c r="AQ1189" t="s">
        <v>231</v>
      </c>
      <c r="AT1189" t="s">
        <v>232</v>
      </c>
      <c r="AU1189">
        <v>-99</v>
      </c>
      <c r="AV1189" t="s">
        <v>104</v>
      </c>
      <c r="AW1189">
        <v>1500</v>
      </c>
      <c r="AX1189">
        <v>42055718</v>
      </c>
      <c r="AY1189" s="73">
        <v>45355.609027777777</v>
      </c>
      <c r="AZ1189" t="s">
        <v>226</v>
      </c>
      <c r="BA1189" t="s">
        <v>562</v>
      </c>
      <c r="BB1189" t="s">
        <v>235</v>
      </c>
      <c r="BC1189" t="s">
        <v>229</v>
      </c>
      <c r="BD1189" t="s">
        <v>107</v>
      </c>
      <c r="BI1189" t="s">
        <v>233</v>
      </c>
      <c r="BJ1189" t="s">
        <v>0</v>
      </c>
      <c r="BK1189">
        <v>42055704</v>
      </c>
      <c r="BN1189" t="s">
        <v>104</v>
      </c>
      <c r="BO1189">
        <v>42055710</v>
      </c>
      <c r="BR1189">
        <v>1500</v>
      </c>
      <c r="BS1189">
        <v>42055718</v>
      </c>
      <c r="BT1189" s="73">
        <v>45355.609027777777</v>
      </c>
      <c r="BU1189" t="s">
        <v>226</v>
      </c>
      <c r="BV1189" t="s">
        <v>562</v>
      </c>
      <c r="BW1189" t="s">
        <v>235</v>
      </c>
      <c r="CH1189" t="s">
        <v>229</v>
      </c>
      <c r="CI1189" t="s">
        <v>107</v>
      </c>
      <c r="CJ1189" t="s">
        <v>226</v>
      </c>
      <c r="CK1189" t="s">
        <v>562</v>
      </c>
      <c r="CL1189" t="s">
        <v>235</v>
      </c>
      <c r="CM1189" t="s">
        <v>236</v>
      </c>
      <c r="CN1189" t="s">
        <v>104</v>
      </c>
      <c r="CO1189">
        <v>1500</v>
      </c>
      <c r="CP1189">
        <v>42055718</v>
      </c>
      <c r="CQ1189" s="73">
        <v>45355.609027777777</v>
      </c>
      <c r="CR1189" t="s">
        <v>229</v>
      </c>
      <c r="CS1189" t="s">
        <v>107</v>
      </c>
      <c r="CU1189" t="s">
        <v>225</v>
      </c>
    </row>
    <row r="1190" spans="1:99">
      <c r="A1190" t="s">
        <v>111</v>
      </c>
      <c r="B1190" t="s">
        <v>77</v>
      </c>
      <c r="J1190" t="s">
        <v>225</v>
      </c>
      <c r="K1190" t="s">
        <v>225</v>
      </c>
      <c r="M1190" s="73">
        <v>45355.609027777777</v>
      </c>
      <c r="N1190">
        <v>42055717</v>
      </c>
      <c r="O1190">
        <v>1</v>
      </c>
      <c r="P1190" t="s">
        <v>45</v>
      </c>
      <c r="Q1190">
        <v>1</v>
      </c>
      <c r="R1190" t="s">
        <v>45</v>
      </c>
      <c r="U1190" t="s">
        <v>226</v>
      </c>
      <c r="V1190" t="s">
        <v>562</v>
      </c>
      <c r="W1190" t="s">
        <v>237</v>
      </c>
      <c r="X1190" t="s">
        <v>229</v>
      </c>
      <c r="Y1190" t="s">
        <v>111</v>
      </c>
      <c r="AD1190" t="s">
        <v>45</v>
      </c>
      <c r="AE1190">
        <v>1</v>
      </c>
      <c r="AF1190">
        <v>42055717</v>
      </c>
      <c r="AG1190" s="73">
        <v>45355.609027777777</v>
      </c>
      <c r="AH1190" t="s">
        <v>226</v>
      </c>
      <c r="AI1190" t="s">
        <v>562</v>
      </c>
      <c r="AJ1190" t="s">
        <v>237</v>
      </c>
      <c r="AK1190" t="s">
        <v>229</v>
      </c>
      <c r="AL1190" t="s">
        <v>111</v>
      </c>
      <c r="AP1190" t="s">
        <v>230</v>
      </c>
      <c r="AQ1190" t="s">
        <v>231</v>
      </c>
      <c r="AT1190" t="s">
        <v>232</v>
      </c>
      <c r="AU1190">
        <v>-99</v>
      </c>
      <c r="AV1190" t="s">
        <v>45</v>
      </c>
      <c r="AW1190">
        <v>1</v>
      </c>
      <c r="AX1190">
        <v>42055717</v>
      </c>
      <c r="AY1190" s="73">
        <v>45355.609027777777</v>
      </c>
      <c r="AZ1190" t="s">
        <v>226</v>
      </c>
      <c r="BA1190" t="s">
        <v>562</v>
      </c>
      <c r="BB1190" t="s">
        <v>237</v>
      </c>
      <c r="BC1190" t="s">
        <v>229</v>
      </c>
      <c r="BD1190" t="s">
        <v>111</v>
      </c>
      <c r="BI1190" t="s">
        <v>233</v>
      </c>
      <c r="BJ1190" t="s">
        <v>0</v>
      </c>
      <c r="BK1190">
        <v>42055704</v>
      </c>
      <c r="BN1190" t="s">
        <v>45</v>
      </c>
      <c r="BO1190">
        <v>42055712</v>
      </c>
      <c r="BR1190">
        <v>1</v>
      </c>
      <c r="BS1190">
        <v>42055717</v>
      </c>
      <c r="BT1190" s="73">
        <v>45355.609027777777</v>
      </c>
      <c r="BU1190" t="s">
        <v>226</v>
      </c>
      <c r="BV1190" t="s">
        <v>562</v>
      </c>
      <c r="BW1190" t="s">
        <v>237</v>
      </c>
      <c r="CH1190" t="s">
        <v>229</v>
      </c>
      <c r="CI1190" t="s">
        <v>111</v>
      </c>
      <c r="CJ1190" t="s">
        <v>226</v>
      </c>
      <c r="CK1190" t="s">
        <v>562</v>
      </c>
      <c r="CL1190" t="s">
        <v>237</v>
      </c>
      <c r="CM1190" t="s">
        <v>236</v>
      </c>
      <c r="CN1190" t="s">
        <v>45</v>
      </c>
      <c r="CO1190">
        <v>1</v>
      </c>
      <c r="CP1190">
        <v>42055717</v>
      </c>
      <c r="CQ1190" s="73">
        <v>45355.609027777777</v>
      </c>
      <c r="CR1190" t="s">
        <v>229</v>
      </c>
      <c r="CS1190" t="s">
        <v>111</v>
      </c>
      <c r="CU1190" t="s">
        <v>225</v>
      </c>
    </row>
    <row r="1191" spans="1:99">
      <c r="A1191" t="s">
        <v>42</v>
      </c>
      <c r="B1191" t="s">
        <v>92</v>
      </c>
      <c r="J1191" t="s">
        <v>225</v>
      </c>
      <c r="K1191" t="s">
        <v>225</v>
      </c>
      <c r="M1191" s="73">
        <v>45355.607638888891</v>
      </c>
      <c r="N1191">
        <v>42055683</v>
      </c>
      <c r="O1191">
        <v>-2503</v>
      </c>
      <c r="P1191" t="s">
        <v>45</v>
      </c>
      <c r="Q1191">
        <v>-2503</v>
      </c>
      <c r="R1191" t="s">
        <v>45</v>
      </c>
      <c r="U1191" t="s">
        <v>226</v>
      </c>
      <c r="V1191" t="s">
        <v>563</v>
      </c>
      <c r="W1191" t="s">
        <v>228</v>
      </c>
      <c r="X1191" t="s">
        <v>229</v>
      </c>
      <c r="Y1191" t="s">
        <v>42</v>
      </c>
      <c r="AD1191" t="s">
        <v>45</v>
      </c>
      <c r="AE1191">
        <v>-2503</v>
      </c>
      <c r="AF1191">
        <v>42055683</v>
      </c>
      <c r="AG1191" s="73">
        <v>45355.607638888891</v>
      </c>
      <c r="AH1191" t="s">
        <v>226</v>
      </c>
      <c r="AI1191" t="s">
        <v>563</v>
      </c>
      <c r="AJ1191" t="s">
        <v>228</v>
      </c>
      <c r="AK1191" t="s">
        <v>229</v>
      </c>
      <c r="AL1191" t="s">
        <v>42</v>
      </c>
      <c r="AP1191" t="s">
        <v>230</v>
      </c>
      <c r="AQ1191" t="s">
        <v>231</v>
      </c>
      <c r="AT1191" t="s">
        <v>232</v>
      </c>
      <c r="AU1191">
        <v>-99</v>
      </c>
      <c r="AV1191" t="s">
        <v>45</v>
      </c>
      <c r="AW1191">
        <v>-2503</v>
      </c>
      <c r="AX1191">
        <v>42055683</v>
      </c>
      <c r="AY1191" s="73">
        <v>45355.607638888891</v>
      </c>
      <c r="AZ1191" t="s">
        <v>226</v>
      </c>
      <c r="BA1191" t="s">
        <v>563</v>
      </c>
      <c r="BB1191" t="s">
        <v>228</v>
      </c>
      <c r="BC1191" t="s">
        <v>229</v>
      </c>
      <c r="BD1191" t="s">
        <v>42</v>
      </c>
      <c r="BI1191" t="s">
        <v>233</v>
      </c>
      <c r="BJ1191" t="s">
        <v>0</v>
      </c>
      <c r="BK1191">
        <v>42055660</v>
      </c>
      <c r="BN1191" t="s">
        <v>45</v>
      </c>
      <c r="BR1191">
        <v>-2503</v>
      </c>
      <c r="BS1191">
        <v>42055683</v>
      </c>
      <c r="BT1191" s="73">
        <v>45355.607638888891</v>
      </c>
      <c r="BU1191" t="s">
        <v>226</v>
      </c>
      <c r="BV1191" t="s">
        <v>563</v>
      </c>
      <c r="BW1191" t="s">
        <v>228</v>
      </c>
      <c r="CH1191" t="s">
        <v>229</v>
      </c>
      <c r="CI1191" t="s">
        <v>42</v>
      </c>
      <c r="CJ1191" t="s">
        <v>226</v>
      </c>
      <c r="CK1191" t="s">
        <v>563</v>
      </c>
      <c r="CL1191" t="s">
        <v>228</v>
      </c>
      <c r="CM1191" t="s">
        <v>234</v>
      </c>
      <c r="CN1191" t="s">
        <v>45</v>
      </c>
      <c r="CO1191">
        <v>-2503</v>
      </c>
      <c r="CP1191">
        <v>42055683</v>
      </c>
      <c r="CQ1191" s="73">
        <v>45355.607638888891</v>
      </c>
      <c r="CR1191" t="s">
        <v>229</v>
      </c>
      <c r="CS1191" t="s">
        <v>42</v>
      </c>
      <c r="CU1191" t="s">
        <v>225</v>
      </c>
    </row>
    <row r="1192" spans="1:99">
      <c r="A1192" t="s">
        <v>99</v>
      </c>
      <c r="B1192" t="s">
        <v>98</v>
      </c>
      <c r="J1192" t="s">
        <v>225</v>
      </c>
      <c r="K1192" t="s">
        <v>225</v>
      </c>
      <c r="M1192" s="73">
        <v>45355.607638888891</v>
      </c>
      <c r="N1192">
        <v>42055682</v>
      </c>
      <c r="O1192">
        <v>-125</v>
      </c>
      <c r="P1192" t="s">
        <v>73</v>
      </c>
      <c r="Q1192">
        <v>-125</v>
      </c>
      <c r="R1192" t="s">
        <v>73</v>
      </c>
      <c r="U1192" t="s">
        <v>226</v>
      </c>
      <c r="V1192" t="s">
        <v>563</v>
      </c>
      <c r="W1192" t="s">
        <v>228</v>
      </c>
      <c r="X1192" t="s">
        <v>229</v>
      </c>
      <c r="Y1192" t="s">
        <v>99</v>
      </c>
      <c r="AD1192" t="s">
        <v>73</v>
      </c>
      <c r="AE1192">
        <v>-125</v>
      </c>
      <c r="AF1192">
        <v>42055682</v>
      </c>
      <c r="AG1192" s="73">
        <v>45355.607638888891</v>
      </c>
      <c r="AH1192" t="s">
        <v>226</v>
      </c>
      <c r="AI1192" t="s">
        <v>563</v>
      </c>
      <c r="AJ1192" t="s">
        <v>228</v>
      </c>
      <c r="AK1192" t="s">
        <v>229</v>
      </c>
      <c r="AL1192" t="s">
        <v>99</v>
      </c>
      <c r="AP1192" t="s">
        <v>230</v>
      </c>
      <c r="AQ1192" t="s">
        <v>231</v>
      </c>
      <c r="AT1192" t="s">
        <v>232</v>
      </c>
      <c r="AU1192">
        <v>-99</v>
      </c>
      <c r="AV1192" t="s">
        <v>73</v>
      </c>
      <c r="AW1192">
        <v>-125</v>
      </c>
      <c r="AX1192">
        <v>42055682</v>
      </c>
      <c r="AY1192" s="73">
        <v>45355.607638888891</v>
      </c>
      <c r="AZ1192" t="s">
        <v>226</v>
      </c>
      <c r="BA1192" t="s">
        <v>563</v>
      </c>
      <c r="BB1192" t="s">
        <v>228</v>
      </c>
      <c r="BC1192" t="s">
        <v>229</v>
      </c>
      <c r="BD1192" t="s">
        <v>99</v>
      </c>
      <c r="BI1192" t="s">
        <v>233</v>
      </c>
      <c r="BJ1192" t="s">
        <v>0</v>
      </c>
      <c r="BK1192">
        <v>42055660</v>
      </c>
      <c r="BN1192" t="s">
        <v>73</v>
      </c>
      <c r="BR1192">
        <v>-125</v>
      </c>
      <c r="BS1192">
        <v>42055682</v>
      </c>
      <c r="BT1192" s="73">
        <v>45355.607638888891</v>
      </c>
      <c r="BU1192" t="s">
        <v>226</v>
      </c>
      <c r="BV1192" t="s">
        <v>563</v>
      </c>
      <c r="BW1192" t="s">
        <v>228</v>
      </c>
      <c r="CH1192" t="s">
        <v>229</v>
      </c>
      <c r="CI1192" t="s">
        <v>99</v>
      </c>
      <c r="CJ1192" t="s">
        <v>226</v>
      </c>
      <c r="CK1192" t="s">
        <v>563</v>
      </c>
      <c r="CL1192" t="s">
        <v>228</v>
      </c>
      <c r="CM1192" t="s">
        <v>234</v>
      </c>
      <c r="CN1192" t="s">
        <v>73</v>
      </c>
      <c r="CO1192">
        <v>-125</v>
      </c>
      <c r="CP1192">
        <v>42055682</v>
      </c>
      <c r="CQ1192" s="73">
        <v>45355.607638888891</v>
      </c>
      <c r="CR1192" t="s">
        <v>229</v>
      </c>
      <c r="CS1192" t="s">
        <v>99</v>
      </c>
      <c r="CU1192" t="s">
        <v>225</v>
      </c>
    </row>
    <row r="1193" spans="1:99">
      <c r="A1193" t="s">
        <v>103</v>
      </c>
      <c r="B1193" t="s">
        <v>98</v>
      </c>
      <c r="J1193" t="s">
        <v>225</v>
      </c>
      <c r="K1193" t="s">
        <v>225</v>
      </c>
      <c r="M1193" s="73">
        <v>45355.607638888891</v>
      </c>
      <c r="N1193">
        <v>42055681</v>
      </c>
      <c r="O1193">
        <v>2500</v>
      </c>
      <c r="P1193" t="s">
        <v>104</v>
      </c>
      <c r="Q1193">
        <v>2500</v>
      </c>
      <c r="R1193" t="s">
        <v>104</v>
      </c>
      <c r="S1193">
        <v>125</v>
      </c>
      <c r="T1193" t="s">
        <v>73</v>
      </c>
      <c r="U1193" t="s">
        <v>226</v>
      </c>
      <c r="V1193" t="s">
        <v>563</v>
      </c>
      <c r="W1193" t="s">
        <v>235</v>
      </c>
      <c r="X1193" t="s">
        <v>229</v>
      </c>
      <c r="Y1193" t="s">
        <v>103</v>
      </c>
      <c r="AD1193" t="s">
        <v>104</v>
      </c>
      <c r="AE1193">
        <v>2500</v>
      </c>
      <c r="AF1193">
        <v>42055681</v>
      </c>
      <c r="AG1193" s="73">
        <v>45355.607638888891</v>
      </c>
      <c r="AH1193" t="s">
        <v>226</v>
      </c>
      <c r="AI1193" t="s">
        <v>563</v>
      </c>
      <c r="AJ1193" t="s">
        <v>235</v>
      </c>
      <c r="AK1193" t="s">
        <v>229</v>
      </c>
      <c r="AL1193" t="s">
        <v>103</v>
      </c>
      <c r="AP1193" t="s">
        <v>230</v>
      </c>
      <c r="AQ1193" t="s">
        <v>231</v>
      </c>
      <c r="AT1193" t="s">
        <v>232</v>
      </c>
      <c r="AU1193">
        <v>-99</v>
      </c>
      <c r="AV1193" t="s">
        <v>104</v>
      </c>
      <c r="AW1193">
        <v>2500</v>
      </c>
      <c r="AX1193">
        <v>42055681</v>
      </c>
      <c r="AY1193" s="73">
        <v>45355.607638888891</v>
      </c>
      <c r="AZ1193" t="s">
        <v>226</v>
      </c>
      <c r="BA1193" t="s">
        <v>563</v>
      </c>
      <c r="BB1193" t="s">
        <v>235</v>
      </c>
      <c r="BC1193" t="s">
        <v>229</v>
      </c>
      <c r="BD1193" t="s">
        <v>103</v>
      </c>
      <c r="BI1193" t="s">
        <v>233</v>
      </c>
      <c r="BJ1193" t="s">
        <v>0</v>
      </c>
      <c r="BK1193">
        <v>42055660</v>
      </c>
      <c r="BN1193" t="s">
        <v>104</v>
      </c>
      <c r="BO1193">
        <v>42055666</v>
      </c>
      <c r="BR1193">
        <v>2500</v>
      </c>
      <c r="BS1193">
        <v>42055681</v>
      </c>
      <c r="BT1193" s="73">
        <v>45355.607638888891</v>
      </c>
      <c r="BU1193" t="s">
        <v>226</v>
      </c>
      <c r="BV1193" t="s">
        <v>563</v>
      </c>
      <c r="BW1193" t="s">
        <v>235</v>
      </c>
      <c r="CH1193" t="s">
        <v>229</v>
      </c>
      <c r="CI1193" t="s">
        <v>103</v>
      </c>
      <c r="CJ1193" t="s">
        <v>226</v>
      </c>
      <c r="CK1193" t="s">
        <v>563</v>
      </c>
      <c r="CL1193" t="s">
        <v>235</v>
      </c>
      <c r="CM1193" t="s">
        <v>236</v>
      </c>
      <c r="CN1193" t="s">
        <v>104</v>
      </c>
      <c r="CO1193">
        <v>2500</v>
      </c>
      <c r="CP1193">
        <v>42055681</v>
      </c>
      <c r="CQ1193" s="73">
        <v>45355.607638888891</v>
      </c>
      <c r="CR1193" t="s">
        <v>229</v>
      </c>
      <c r="CS1193" t="s">
        <v>103</v>
      </c>
      <c r="CU1193" t="s">
        <v>225</v>
      </c>
    </row>
    <row r="1194" spans="1:99">
      <c r="A1194" t="s">
        <v>111</v>
      </c>
      <c r="B1194" t="s">
        <v>77</v>
      </c>
      <c r="J1194" t="s">
        <v>225</v>
      </c>
      <c r="K1194" t="s">
        <v>225</v>
      </c>
      <c r="M1194" s="73">
        <v>45355.607638888891</v>
      </c>
      <c r="N1194">
        <v>42055680</v>
      </c>
      <c r="O1194">
        <v>3</v>
      </c>
      <c r="P1194" t="s">
        <v>45</v>
      </c>
      <c r="Q1194">
        <v>3</v>
      </c>
      <c r="R1194" t="s">
        <v>45</v>
      </c>
      <c r="U1194" t="s">
        <v>226</v>
      </c>
      <c r="V1194" t="s">
        <v>563</v>
      </c>
      <c r="W1194" t="s">
        <v>237</v>
      </c>
      <c r="X1194" t="s">
        <v>229</v>
      </c>
      <c r="Y1194" t="s">
        <v>111</v>
      </c>
      <c r="AD1194" t="s">
        <v>45</v>
      </c>
      <c r="AE1194">
        <v>3</v>
      </c>
      <c r="AF1194">
        <v>42055680</v>
      </c>
      <c r="AG1194" s="73">
        <v>45355.607638888891</v>
      </c>
      <c r="AH1194" t="s">
        <v>226</v>
      </c>
      <c r="AI1194" t="s">
        <v>563</v>
      </c>
      <c r="AJ1194" t="s">
        <v>237</v>
      </c>
      <c r="AK1194" t="s">
        <v>229</v>
      </c>
      <c r="AL1194" t="s">
        <v>111</v>
      </c>
      <c r="AP1194" t="s">
        <v>230</v>
      </c>
      <c r="AQ1194" t="s">
        <v>231</v>
      </c>
      <c r="AT1194" t="s">
        <v>232</v>
      </c>
      <c r="AU1194">
        <v>-99</v>
      </c>
      <c r="AV1194" t="s">
        <v>45</v>
      </c>
      <c r="AW1194">
        <v>3</v>
      </c>
      <c r="AX1194">
        <v>42055680</v>
      </c>
      <c r="AY1194" s="73">
        <v>45355.607638888891</v>
      </c>
      <c r="AZ1194" t="s">
        <v>226</v>
      </c>
      <c r="BA1194" t="s">
        <v>563</v>
      </c>
      <c r="BB1194" t="s">
        <v>237</v>
      </c>
      <c r="BC1194" t="s">
        <v>229</v>
      </c>
      <c r="BD1194" t="s">
        <v>111</v>
      </c>
      <c r="BI1194" t="s">
        <v>233</v>
      </c>
      <c r="BJ1194" t="s">
        <v>0</v>
      </c>
      <c r="BK1194">
        <v>42055660</v>
      </c>
      <c r="BN1194" t="s">
        <v>45</v>
      </c>
      <c r="BO1194">
        <v>42055673</v>
      </c>
      <c r="BR1194">
        <v>3</v>
      </c>
      <c r="BS1194">
        <v>42055680</v>
      </c>
      <c r="BT1194" s="73">
        <v>45355.607638888891</v>
      </c>
      <c r="BU1194" t="s">
        <v>226</v>
      </c>
      <c r="BV1194" t="s">
        <v>563</v>
      </c>
      <c r="BW1194" t="s">
        <v>237</v>
      </c>
      <c r="CH1194" t="s">
        <v>229</v>
      </c>
      <c r="CI1194" t="s">
        <v>111</v>
      </c>
      <c r="CJ1194" t="s">
        <v>226</v>
      </c>
      <c r="CK1194" t="s">
        <v>563</v>
      </c>
      <c r="CL1194" t="s">
        <v>237</v>
      </c>
      <c r="CM1194" t="s">
        <v>236</v>
      </c>
      <c r="CN1194" t="s">
        <v>45</v>
      </c>
      <c r="CO1194">
        <v>3</v>
      </c>
      <c r="CP1194">
        <v>42055680</v>
      </c>
      <c r="CQ1194" s="73">
        <v>45355.607638888891</v>
      </c>
      <c r="CR1194" t="s">
        <v>229</v>
      </c>
      <c r="CS1194" t="s">
        <v>111</v>
      </c>
      <c r="CU1194" t="s">
        <v>225</v>
      </c>
    </row>
    <row r="1195" spans="1:99">
      <c r="A1195" t="s">
        <v>52</v>
      </c>
      <c r="B1195" t="s">
        <v>92</v>
      </c>
      <c r="J1195" t="s">
        <v>225</v>
      </c>
      <c r="K1195" t="s">
        <v>225</v>
      </c>
      <c r="M1195" s="73">
        <v>45354.943055555559</v>
      </c>
      <c r="N1195">
        <v>42040609</v>
      </c>
      <c r="O1195">
        <v>-3461</v>
      </c>
      <c r="P1195" t="s">
        <v>45</v>
      </c>
      <c r="Q1195">
        <v>-3461</v>
      </c>
      <c r="R1195" t="s">
        <v>45</v>
      </c>
      <c r="U1195" t="s">
        <v>226</v>
      </c>
      <c r="V1195" t="s">
        <v>227</v>
      </c>
      <c r="W1195" t="s">
        <v>228</v>
      </c>
      <c r="X1195" t="s">
        <v>229</v>
      </c>
      <c r="Y1195" t="s">
        <v>52</v>
      </c>
      <c r="AD1195" t="s">
        <v>45</v>
      </c>
      <c r="AE1195">
        <v>-3461</v>
      </c>
      <c r="AF1195">
        <v>42040609</v>
      </c>
      <c r="AG1195" s="73">
        <v>45354.943055555559</v>
      </c>
      <c r="AH1195" t="s">
        <v>226</v>
      </c>
      <c r="AI1195" t="s">
        <v>227</v>
      </c>
      <c r="AJ1195" t="s">
        <v>228</v>
      </c>
      <c r="AK1195" t="s">
        <v>229</v>
      </c>
      <c r="AL1195" t="s">
        <v>52</v>
      </c>
      <c r="AP1195" t="s">
        <v>230</v>
      </c>
      <c r="AQ1195" t="s">
        <v>231</v>
      </c>
      <c r="AT1195" t="s">
        <v>232</v>
      </c>
      <c r="AU1195">
        <v>-99</v>
      </c>
      <c r="AV1195" t="s">
        <v>45</v>
      </c>
      <c r="AW1195">
        <v>-3461</v>
      </c>
      <c r="AX1195">
        <v>42040609</v>
      </c>
      <c r="AY1195" s="73">
        <v>45354.943055555559</v>
      </c>
      <c r="AZ1195" t="s">
        <v>226</v>
      </c>
      <c r="BA1195" t="s">
        <v>227</v>
      </c>
      <c r="BB1195" t="s">
        <v>228</v>
      </c>
      <c r="BC1195" t="s">
        <v>229</v>
      </c>
      <c r="BD1195" t="s">
        <v>52</v>
      </c>
      <c r="BI1195" t="s">
        <v>233</v>
      </c>
      <c r="BJ1195" t="s">
        <v>0</v>
      </c>
      <c r="BK1195">
        <v>42040586</v>
      </c>
      <c r="BN1195" t="s">
        <v>45</v>
      </c>
      <c r="BR1195">
        <v>-3461</v>
      </c>
      <c r="BS1195">
        <v>42040609</v>
      </c>
      <c r="BT1195" s="73">
        <v>45354.943055555559</v>
      </c>
      <c r="BU1195" t="s">
        <v>226</v>
      </c>
      <c r="BV1195" t="s">
        <v>227</v>
      </c>
      <c r="BW1195" t="s">
        <v>228</v>
      </c>
      <c r="CH1195" t="s">
        <v>229</v>
      </c>
      <c r="CI1195" t="s">
        <v>52</v>
      </c>
      <c r="CJ1195" t="s">
        <v>226</v>
      </c>
      <c r="CK1195" t="s">
        <v>227</v>
      </c>
      <c r="CL1195" t="s">
        <v>228</v>
      </c>
      <c r="CM1195" t="s">
        <v>234</v>
      </c>
      <c r="CN1195" t="s">
        <v>45</v>
      </c>
      <c r="CO1195">
        <v>-3461</v>
      </c>
      <c r="CP1195">
        <v>42040609</v>
      </c>
      <c r="CQ1195" s="73">
        <v>45354.943055555559</v>
      </c>
      <c r="CR1195" t="s">
        <v>229</v>
      </c>
      <c r="CS1195" t="s">
        <v>52</v>
      </c>
      <c r="CU1195" t="s">
        <v>225</v>
      </c>
    </row>
    <row r="1196" spans="1:99">
      <c r="A1196" t="s">
        <v>101</v>
      </c>
      <c r="B1196" t="s">
        <v>98</v>
      </c>
      <c r="J1196" t="s">
        <v>225</v>
      </c>
      <c r="K1196" t="s">
        <v>225</v>
      </c>
      <c r="M1196" s="73">
        <v>45354.943055555559</v>
      </c>
      <c r="N1196">
        <v>42040608</v>
      </c>
      <c r="O1196">
        <v>-172.5</v>
      </c>
      <c r="P1196" t="s">
        <v>73</v>
      </c>
      <c r="Q1196">
        <v>-172.5</v>
      </c>
      <c r="R1196" t="s">
        <v>73</v>
      </c>
      <c r="U1196" t="s">
        <v>226</v>
      </c>
      <c r="V1196" t="s">
        <v>227</v>
      </c>
      <c r="W1196" t="s">
        <v>228</v>
      </c>
      <c r="X1196" t="s">
        <v>229</v>
      </c>
      <c r="Y1196" t="s">
        <v>101</v>
      </c>
      <c r="AD1196" t="s">
        <v>73</v>
      </c>
      <c r="AE1196">
        <v>-172.5</v>
      </c>
      <c r="AF1196">
        <v>42040608</v>
      </c>
      <c r="AG1196" s="73">
        <v>45354.943055555559</v>
      </c>
      <c r="AH1196" t="s">
        <v>226</v>
      </c>
      <c r="AI1196" t="s">
        <v>227</v>
      </c>
      <c r="AJ1196" t="s">
        <v>228</v>
      </c>
      <c r="AK1196" t="s">
        <v>229</v>
      </c>
      <c r="AL1196" t="s">
        <v>101</v>
      </c>
      <c r="AP1196" t="s">
        <v>230</v>
      </c>
      <c r="AQ1196" t="s">
        <v>231</v>
      </c>
      <c r="AT1196" t="s">
        <v>232</v>
      </c>
      <c r="AU1196">
        <v>-99</v>
      </c>
      <c r="AV1196" t="s">
        <v>73</v>
      </c>
      <c r="AW1196">
        <v>-172.5</v>
      </c>
      <c r="AX1196">
        <v>42040608</v>
      </c>
      <c r="AY1196" s="73">
        <v>45354.943055555559</v>
      </c>
      <c r="AZ1196" t="s">
        <v>226</v>
      </c>
      <c r="BA1196" t="s">
        <v>227</v>
      </c>
      <c r="BB1196" t="s">
        <v>228</v>
      </c>
      <c r="BC1196" t="s">
        <v>229</v>
      </c>
      <c r="BD1196" t="s">
        <v>101</v>
      </c>
      <c r="BI1196" t="s">
        <v>233</v>
      </c>
      <c r="BJ1196" t="s">
        <v>0</v>
      </c>
      <c r="BK1196">
        <v>42040586</v>
      </c>
      <c r="BN1196" t="s">
        <v>73</v>
      </c>
      <c r="BR1196">
        <v>-172.5</v>
      </c>
      <c r="BS1196">
        <v>42040608</v>
      </c>
      <c r="BT1196" s="73">
        <v>45354.943055555559</v>
      </c>
      <c r="BU1196" t="s">
        <v>226</v>
      </c>
      <c r="BV1196" t="s">
        <v>227</v>
      </c>
      <c r="BW1196" t="s">
        <v>228</v>
      </c>
      <c r="CH1196" t="s">
        <v>229</v>
      </c>
      <c r="CI1196" t="s">
        <v>101</v>
      </c>
      <c r="CJ1196" t="s">
        <v>226</v>
      </c>
      <c r="CK1196" t="s">
        <v>227</v>
      </c>
      <c r="CL1196" t="s">
        <v>228</v>
      </c>
      <c r="CM1196" t="s">
        <v>234</v>
      </c>
      <c r="CN1196" t="s">
        <v>73</v>
      </c>
      <c r="CO1196">
        <v>-172.5</v>
      </c>
      <c r="CP1196">
        <v>42040608</v>
      </c>
      <c r="CQ1196" s="73">
        <v>45354.943055555559</v>
      </c>
      <c r="CR1196" t="s">
        <v>229</v>
      </c>
      <c r="CS1196" t="s">
        <v>101</v>
      </c>
      <c r="CU1196" t="s">
        <v>225</v>
      </c>
    </row>
    <row r="1197" spans="1:99">
      <c r="A1197" t="s">
        <v>107</v>
      </c>
      <c r="B1197" t="s">
        <v>98</v>
      </c>
      <c r="J1197" t="s">
        <v>225</v>
      </c>
      <c r="K1197" t="s">
        <v>225</v>
      </c>
      <c r="M1197" s="73">
        <v>45354.943055555559</v>
      </c>
      <c r="N1197">
        <v>42040607</v>
      </c>
      <c r="O1197">
        <v>3450</v>
      </c>
      <c r="P1197" t="s">
        <v>104</v>
      </c>
      <c r="Q1197">
        <v>3450</v>
      </c>
      <c r="R1197" t="s">
        <v>104</v>
      </c>
      <c r="S1197">
        <v>172.5</v>
      </c>
      <c r="T1197" t="s">
        <v>73</v>
      </c>
      <c r="U1197" t="s">
        <v>226</v>
      </c>
      <c r="V1197" t="s">
        <v>227</v>
      </c>
      <c r="W1197" t="s">
        <v>235</v>
      </c>
      <c r="X1197" t="s">
        <v>229</v>
      </c>
      <c r="Y1197" t="s">
        <v>107</v>
      </c>
      <c r="AD1197" t="s">
        <v>104</v>
      </c>
      <c r="AE1197">
        <v>3450</v>
      </c>
      <c r="AF1197">
        <v>42040607</v>
      </c>
      <c r="AG1197" s="73">
        <v>45354.943055555559</v>
      </c>
      <c r="AH1197" t="s">
        <v>226</v>
      </c>
      <c r="AI1197" t="s">
        <v>227</v>
      </c>
      <c r="AJ1197" t="s">
        <v>235</v>
      </c>
      <c r="AK1197" t="s">
        <v>229</v>
      </c>
      <c r="AL1197" t="s">
        <v>107</v>
      </c>
      <c r="AP1197" t="s">
        <v>230</v>
      </c>
      <c r="AQ1197" t="s">
        <v>231</v>
      </c>
      <c r="AT1197" t="s">
        <v>232</v>
      </c>
      <c r="AU1197">
        <v>-99</v>
      </c>
      <c r="AV1197" t="s">
        <v>104</v>
      </c>
      <c r="AW1197">
        <v>3450</v>
      </c>
      <c r="AX1197">
        <v>42040607</v>
      </c>
      <c r="AY1197" s="73">
        <v>45354.943055555559</v>
      </c>
      <c r="AZ1197" t="s">
        <v>226</v>
      </c>
      <c r="BA1197" t="s">
        <v>227</v>
      </c>
      <c r="BB1197" t="s">
        <v>235</v>
      </c>
      <c r="BC1197" t="s">
        <v>229</v>
      </c>
      <c r="BD1197" t="s">
        <v>107</v>
      </c>
      <c r="BI1197" t="s">
        <v>233</v>
      </c>
      <c r="BJ1197" t="s">
        <v>0</v>
      </c>
      <c r="BK1197">
        <v>42040586</v>
      </c>
      <c r="BN1197" t="s">
        <v>104</v>
      </c>
      <c r="BO1197">
        <v>42040599</v>
      </c>
      <c r="BR1197">
        <v>3450</v>
      </c>
      <c r="BS1197">
        <v>42040607</v>
      </c>
      <c r="BT1197" s="73">
        <v>45354.943055555559</v>
      </c>
      <c r="BU1197" t="s">
        <v>226</v>
      </c>
      <c r="BV1197" t="s">
        <v>227</v>
      </c>
      <c r="BW1197" t="s">
        <v>235</v>
      </c>
      <c r="CH1197" t="s">
        <v>229</v>
      </c>
      <c r="CI1197" t="s">
        <v>107</v>
      </c>
      <c r="CJ1197" t="s">
        <v>226</v>
      </c>
      <c r="CK1197" t="s">
        <v>227</v>
      </c>
      <c r="CL1197" t="s">
        <v>235</v>
      </c>
      <c r="CM1197" t="s">
        <v>236</v>
      </c>
      <c r="CN1197" t="s">
        <v>104</v>
      </c>
      <c r="CO1197">
        <v>3450</v>
      </c>
      <c r="CP1197">
        <v>42040607</v>
      </c>
      <c r="CQ1197" s="73">
        <v>45354.943055555559</v>
      </c>
      <c r="CR1197" t="s">
        <v>229</v>
      </c>
      <c r="CS1197" t="s">
        <v>107</v>
      </c>
      <c r="CU1197" t="s">
        <v>225</v>
      </c>
    </row>
    <row r="1198" spans="1:99">
      <c r="A1198" t="s">
        <v>111</v>
      </c>
      <c r="B1198" t="s">
        <v>77</v>
      </c>
      <c r="J1198" t="s">
        <v>225</v>
      </c>
      <c r="K1198" t="s">
        <v>225</v>
      </c>
      <c r="M1198" s="73">
        <v>45354.943055555559</v>
      </c>
      <c r="N1198">
        <v>42040606</v>
      </c>
      <c r="O1198">
        <v>11</v>
      </c>
      <c r="P1198" t="s">
        <v>45</v>
      </c>
      <c r="Q1198">
        <v>11</v>
      </c>
      <c r="R1198" t="s">
        <v>45</v>
      </c>
      <c r="U1198" t="s">
        <v>226</v>
      </c>
      <c r="V1198" t="s">
        <v>227</v>
      </c>
      <c r="W1198" t="s">
        <v>237</v>
      </c>
      <c r="X1198" t="s">
        <v>229</v>
      </c>
      <c r="Y1198" t="s">
        <v>111</v>
      </c>
      <c r="AD1198" t="s">
        <v>45</v>
      </c>
      <c r="AE1198">
        <v>11</v>
      </c>
      <c r="AF1198">
        <v>42040606</v>
      </c>
      <c r="AG1198" s="73">
        <v>45354.943055555559</v>
      </c>
      <c r="AH1198" t="s">
        <v>226</v>
      </c>
      <c r="AI1198" t="s">
        <v>227</v>
      </c>
      <c r="AJ1198" t="s">
        <v>237</v>
      </c>
      <c r="AK1198" t="s">
        <v>229</v>
      </c>
      <c r="AL1198" t="s">
        <v>111</v>
      </c>
      <c r="AP1198" t="s">
        <v>230</v>
      </c>
      <c r="AQ1198" t="s">
        <v>231</v>
      </c>
      <c r="AT1198" t="s">
        <v>232</v>
      </c>
      <c r="AU1198">
        <v>-99</v>
      </c>
      <c r="AV1198" t="s">
        <v>45</v>
      </c>
      <c r="AW1198">
        <v>11</v>
      </c>
      <c r="AX1198">
        <v>42040606</v>
      </c>
      <c r="AY1198" s="73">
        <v>45354.943055555559</v>
      </c>
      <c r="AZ1198" t="s">
        <v>226</v>
      </c>
      <c r="BA1198" t="s">
        <v>227</v>
      </c>
      <c r="BB1198" t="s">
        <v>237</v>
      </c>
      <c r="BC1198" t="s">
        <v>229</v>
      </c>
      <c r="BD1198" t="s">
        <v>111</v>
      </c>
      <c r="BI1198" t="s">
        <v>233</v>
      </c>
      <c r="BJ1198" t="s">
        <v>0</v>
      </c>
      <c r="BK1198">
        <v>42040586</v>
      </c>
      <c r="BN1198" t="s">
        <v>45</v>
      </c>
      <c r="BO1198">
        <v>42040601</v>
      </c>
      <c r="BR1198">
        <v>11</v>
      </c>
      <c r="BS1198">
        <v>42040606</v>
      </c>
      <c r="BT1198" s="73">
        <v>45354.943055555559</v>
      </c>
      <c r="BU1198" t="s">
        <v>226</v>
      </c>
      <c r="BV1198" t="s">
        <v>227</v>
      </c>
      <c r="BW1198" t="s">
        <v>237</v>
      </c>
      <c r="CH1198" t="s">
        <v>229</v>
      </c>
      <c r="CI1198" t="s">
        <v>111</v>
      </c>
      <c r="CJ1198" t="s">
        <v>226</v>
      </c>
      <c r="CK1198" t="s">
        <v>227</v>
      </c>
      <c r="CL1198" t="s">
        <v>237</v>
      </c>
      <c r="CM1198" t="s">
        <v>236</v>
      </c>
      <c r="CN1198" t="s">
        <v>45</v>
      </c>
      <c r="CO1198">
        <v>11</v>
      </c>
      <c r="CP1198">
        <v>42040606</v>
      </c>
      <c r="CQ1198" s="73">
        <v>45354.943055555559</v>
      </c>
      <c r="CR1198" t="s">
        <v>229</v>
      </c>
      <c r="CS1198" t="s">
        <v>111</v>
      </c>
      <c r="CU1198" t="s">
        <v>225</v>
      </c>
    </row>
    <row r="1199" spans="1:99">
      <c r="A1199" t="s">
        <v>42</v>
      </c>
      <c r="B1199" t="s">
        <v>92</v>
      </c>
      <c r="J1199" t="s">
        <v>225</v>
      </c>
      <c r="K1199" t="s">
        <v>225</v>
      </c>
      <c r="M1199" s="73">
        <v>45354.927777777775</v>
      </c>
      <c r="N1199">
        <v>42040984</v>
      </c>
      <c r="O1199">
        <v>-9712</v>
      </c>
      <c r="P1199" t="s">
        <v>45</v>
      </c>
      <c r="Q1199">
        <v>-9712</v>
      </c>
      <c r="R1199" t="s">
        <v>45</v>
      </c>
      <c r="U1199" t="s">
        <v>226</v>
      </c>
      <c r="V1199" t="s">
        <v>238</v>
      </c>
      <c r="W1199" t="s">
        <v>228</v>
      </c>
      <c r="X1199" t="s">
        <v>229</v>
      </c>
      <c r="Y1199" t="s">
        <v>42</v>
      </c>
      <c r="AD1199" t="s">
        <v>45</v>
      </c>
      <c r="AE1199">
        <v>-9712</v>
      </c>
      <c r="AF1199">
        <v>42040984</v>
      </c>
      <c r="AG1199" s="73">
        <v>45354.927777777775</v>
      </c>
      <c r="AH1199" t="s">
        <v>226</v>
      </c>
      <c r="AI1199" t="s">
        <v>238</v>
      </c>
      <c r="AJ1199" t="s">
        <v>228</v>
      </c>
      <c r="AK1199" t="s">
        <v>229</v>
      </c>
      <c r="AL1199" t="s">
        <v>42</v>
      </c>
      <c r="AP1199" t="s">
        <v>230</v>
      </c>
      <c r="AQ1199" t="s">
        <v>231</v>
      </c>
      <c r="AT1199" t="s">
        <v>232</v>
      </c>
      <c r="AU1199">
        <v>-99</v>
      </c>
      <c r="AV1199" t="s">
        <v>45</v>
      </c>
      <c r="AW1199">
        <v>-9712</v>
      </c>
      <c r="AX1199">
        <v>42040984</v>
      </c>
      <c r="AY1199" s="73">
        <v>45354.927777777775</v>
      </c>
      <c r="AZ1199" t="s">
        <v>226</v>
      </c>
      <c r="BA1199" t="s">
        <v>238</v>
      </c>
      <c r="BB1199" t="s">
        <v>228</v>
      </c>
      <c r="BC1199" t="s">
        <v>229</v>
      </c>
      <c r="BD1199" t="s">
        <v>42</v>
      </c>
      <c r="BI1199" t="s">
        <v>233</v>
      </c>
      <c r="BJ1199" t="s">
        <v>0</v>
      </c>
      <c r="BK1199">
        <v>42040968</v>
      </c>
      <c r="BN1199" t="s">
        <v>45</v>
      </c>
      <c r="BR1199">
        <v>-9712</v>
      </c>
      <c r="BS1199">
        <v>42040984</v>
      </c>
      <c r="BT1199" s="73">
        <v>45354.927777777775</v>
      </c>
      <c r="BU1199" t="s">
        <v>226</v>
      </c>
      <c r="BV1199" t="s">
        <v>238</v>
      </c>
      <c r="BW1199" t="s">
        <v>228</v>
      </c>
      <c r="CH1199" t="s">
        <v>229</v>
      </c>
      <c r="CI1199" t="s">
        <v>42</v>
      </c>
      <c r="CJ1199" t="s">
        <v>226</v>
      </c>
      <c r="CK1199" t="s">
        <v>238</v>
      </c>
      <c r="CL1199" t="s">
        <v>228</v>
      </c>
      <c r="CM1199" t="s">
        <v>234</v>
      </c>
      <c r="CN1199" t="s">
        <v>45</v>
      </c>
      <c r="CO1199">
        <v>-9712</v>
      </c>
      <c r="CP1199">
        <v>42040984</v>
      </c>
      <c r="CQ1199" s="73">
        <v>45354.927777777775</v>
      </c>
      <c r="CR1199" t="s">
        <v>229</v>
      </c>
      <c r="CS1199" t="s">
        <v>42</v>
      </c>
      <c r="CU1199" t="s">
        <v>225</v>
      </c>
    </row>
    <row r="1200" spans="1:99">
      <c r="A1200" t="s">
        <v>99</v>
      </c>
      <c r="B1200" t="s">
        <v>98</v>
      </c>
      <c r="J1200" t="s">
        <v>225</v>
      </c>
      <c r="K1200" t="s">
        <v>225</v>
      </c>
      <c r="M1200" s="73">
        <v>45354.927777777775</v>
      </c>
      <c r="N1200">
        <v>42040983</v>
      </c>
      <c r="O1200">
        <v>-485</v>
      </c>
      <c r="P1200" t="s">
        <v>73</v>
      </c>
      <c r="Q1200">
        <v>-485</v>
      </c>
      <c r="R1200" t="s">
        <v>73</v>
      </c>
      <c r="U1200" t="s">
        <v>226</v>
      </c>
      <c r="V1200" t="s">
        <v>238</v>
      </c>
      <c r="W1200" t="s">
        <v>228</v>
      </c>
      <c r="X1200" t="s">
        <v>229</v>
      </c>
      <c r="Y1200" t="s">
        <v>99</v>
      </c>
      <c r="AD1200" t="s">
        <v>73</v>
      </c>
      <c r="AE1200">
        <v>-485</v>
      </c>
      <c r="AF1200">
        <v>42040983</v>
      </c>
      <c r="AG1200" s="73">
        <v>45354.927777777775</v>
      </c>
      <c r="AH1200" t="s">
        <v>226</v>
      </c>
      <c r="AI1200" t="s">
        <v>238</v>
      </c>
      <c r="AJ1200" t="s">
        <v>228</v>
      </c>
      <c r="AK1200" t="s">
        <v>229</v>
      </c>
      <c r="AL1200" t="s">
        <v>99</v>
      </c>
      <c r="AP1200" t="s">
        <v>230</v>
      </c>
      <c r="AQ1200" t="s">
        <v>231</v>
      </c>
      <c r="AT1200" t="s">
        <v>232</v>
      </c>
      <c r="AU1200">
        <v>-99</v>
      </c>
      <c r="AV1200" t="s">
        <v>73</v>
      </c>
      <c r="AW1200">
        <v>-485</v>
      </c>
      <c r="AX1200">
        <v>42040983</v>
      </c>
      <c r="AY1200" s="73">
        <v>45354.927777777775</v>
      </c>
      <c r="AZ1200" t="s">
        <v>226</v>
      </c>
      <c r="BA1200" t="s">
        <v>238</v>
      </c>
      <c r="BB1200" t="s">
        <v>228</v>
      </c>
      <c r="BC1200" t="s">
        <v>229</v>
      </c>
      <c r="BD1200" t="s">
        <v>99</v>
      </c>
      <c r="BI1200" t="s">
        <v>233</v>
      </c>
      <c r="BJ1200" t="s">
        <v>0</v>
      </c>
      <c r="BK1200">
        <v>42040968</v>
      </c>
      <c r="BN1200" t="s">
        <v>73</v>
      </c>
      <c r="BR1200">
        <v>-485</v>
      </c>
      <c r="BS1200">
        <v>42040983</v>
      </c>
      <c r="BT1200" s="73">
        <v>45354.927777777775</v>
      </c>
      <c r="BU1200" t="s">
        <v>226</v>
      </c>
      <c r="BV1200" t="s">
        <v>238</v>
      </c>
      <c r="BW1200" t="s">
        <v>228</v>
      </c>
      <c r="CH1200" t="s">
        <v>229</v>
      </c>
      <c r="CI1200" t="s">
        <v>99</v>
      </c>
      <c r="CJ1200" t="s">
        <v>226</v>
      </c>
      <c r="CK1200" t="s">
        <v>238</v>
      </c>
      <c r="CL1200" t="s">
        <v>228</v>
      </c>
      <c r="CM1200" t="s">
        <v>234</v>
      </c>
      <c r="CN1200" t="s">
        <v>73</v>
      </c>
      <c r="CO1200">
        <v>-485</v>
      </c>
      <c r="CP1200">
        <v>42040983</v>
      </c>
      <c r="CQ1200" s="73">
        <v>45354.927777777775</v>
      </c>
      <c r="CR1200" t="s">
        <v>229</v>
      </c>
      <c r="CS1200" t="s">
        <v>99</v>
      </c>
      <c r="CU1200" t="s">
        <v>225</v>
      </c>
    </row>
    <row r="1201" spans="1:99">
      <c r="A1201" t="s">
        <v>103</v>
      </c>
      <c r="B1201" t="s">
        <v>98</v>
      </c>
      <c r="J1201" t="s">
        <v>225</v>
      </c>
      <c r="K1201" t="s">
        <v>225</v>
      </c>
      <c r="M1201" s="73">
        <v>45354.927777777775</v>
      </c>
      <c r="N1201">
        <v>42040982</v>
      </c>
      <c r="O1201">
        <v>9700</v>
      </c>
      <c r="P1201" t="s">
        <v>104</v>
      </c>
      <c r="Q1201">
        <v>9700</v>
      </c>
      <c r="R1201" t="s">
        <v>104</v>
      </c>
      <c r="S1201">
        <v>485</v>
      </c>
      <c r="T1201" t="s">
        <v>73</v>
      </c>
      <c r="U1201" t="s">
        <v>226</v>
      </c>
      <c r="V1201" t="s">
        <v>238</v>
      </c>
      <c r="W1201" t="s">
        <v>235</v>
      </c>
      <c r="X1201" t="s">
        <v>229</v>
      </c>
      <c r="Y1201" t="s">
        <v>103</v>
      </c>
      <c r="AD1201" t="s">
        <v>104</v>
      </c>
      <c r="AE1201">
        <v>9700</v>
      </c>
      <c r="AF1201">
        <v>42040982</v>
      </c>
      <c r="AG1201" s="73">
        <v>45354.927777777775</v>
      </c>
      <c r="AH1201" t="s">
        <v>226</v>
      </c>
      <c r="AI1201" t="s">
        <v>238</v>
      </c>
      <c r="AJ1201" t="s">
        <v>235</v>
      </c>
      <c r="AK1201" t="s">
        <v>229</v>
      </c>
      <c r="AL1201" t="s">
        <v>103</v>
      </c>
      <c r="AP1201" t="s">
        <v>230</v>
      </c>
      <c r="AQ1201" t="s">
        <v>231</v>
      </c>
      <c r="AT1201" t="s">
        <v>232</v>
      </c>
      <c r="AU1201">
        <v>-99</v>
      </c>
      <c r="AV1201" t="s">
        <v>104</v>
      </c>
      <c r="AW1201">
        <v>9700</v>
      </c>
      <c r="AX1201">
        <v>42040982</v>
      </c>
      <c r="AY1201" s="73">
        <v>45354.927777777775</v>
      </c>
      <c r="AZ1201" t="s">
        <v>226</v>
      </c>
      <c r="BA1201" t="s">
        <v>238</v>
      </c>
      <c r="BB1201" t="s">
        <v>235</v>
      </c>
      <c r="BC1201" t="s">
        <v>229</v>
      </c>
      <c r="BD1201" t="s">
        <v>103</v>
      </c>
      <c r="BI1201" t="s">
        <v>233</v>
      </c>
      <c r="BJ1201" t="s">
        <v>0</v>
      </c>
      <c r="BK1201">
        <v>42040968</v>
      </c>
      <c r="BN1201" t="s">
        <v>104</v>
      </c>
      <c r="BO1201">
        <v>42040974</v>
      </c>
      <c r="BR1201">
        <v>9700</v>
      </c>
      <c r="BS1201">
        <v>42040982</v>
      </c>
      <c r="BT1201" s="73">
        <v>45354.927777777775</v>
      </c>
      <c r="BU1201" t="s">
        <v>226</v>
      </c>
      <c r="BV1201" t="s">
        <v>238</v>
      </c>
      <c r="BW1201" t="s">
        <v>235</v>
      </c>
      <c r="CH1201" t="s">
        <v>229</v>
      </c>
      <c r="CI1201" t="s">
        <v>103</v>
      </c>
      <c r="CJ1201" t="s">
        <v>226</v>
      </c>
      <c r="CK1201" t="s">
        <v>238</v>
      </c>
      <c r="CL1201" t="s">
        <v>235</v>
      </c>
      <c r="CM1201" t="s">
        <v>236</v>
      </c>
      <c r="CN1201" t="s">
        <v>104</v>
      </c>
      <c r="CO1201">
        <v>9700</v>
      </c>
      <c r="CP1201">
        <v>42040982</v>
      </c>
      <c r="CQ1201" s="73">
        <v>45354.927777777775</v>
      </c>
      <c r="CR1201" t="s">
        <v>229</v>
      </c>
      <c r="CS1201" t="s">
        <v>103</v>
      </c>
      <c r="CU1201" t="s">
        <v>225</v>
      </c>
    </row>
    <row r="1202" spans="1:99">
      <c r="A1202" t="s">
        <v>111</v>
      </c>
      <c r="B1202" t="s">
        <v>77</v>
      </c>
      <c r="J1202" t="s">
        <v>225</v>
      </c>
      <c r="K1202" t="s">
        <v>225</v>
      </c>
      <c r="M1202" s="73">
        <v>45354.927777777775</v>
      </c>
      <c r="N1202">
        <v>42040981</v>
      </c>
      <c r="O1202">
        <v>12</v>
      </c>
      <c r="P1202" t="s">
        <v>45</v>
      </c>
      <c r="Q1202">
        <v>12</v>
      </c>
      <c r="R1202" t="s">
        <v>45</v>
      </c>
      <c r="U1202" t="s">
        <v>226</v>
      </c>
      <c r="V1202" t="s">
        <v>238</v>
      </c>
      <c r="W1202" t="s">
        <v>237</v>
      </c>
      <c r="X1202" t="s">
        <v>229</v>
      </c>
      <c r="Y1202" t="s">
        <v>111</v>
      </c>
      <c r="AD1202" t="s">
        <v>45</v>
      </c>
      <c r="AE1202">
        <v>12</v>
      </c>
      <c r="AF1202">
        <v>42040981</v>
      </c>
      <c r="AG1202" s="73">
        <v>45354.927777777775</v>
      </c>
      <c r="AH1202" t="s">
        <v>226</v>
      </c>
      <c r="AI1202" t="s">
        <v>238</v>
      </c>
      <c r="AJ1202" t="s">
        <v>237</v>
      </c>
      <c r="AK1202" t="s">
        <v>229</v>
      </c>
      <c r="AL1202" t="s">
        <v>111</v>
      </c>
      <c r="AP1202" t="s">
        <v>230</v>
      </c>
      <c r="AQ1202" t="s">
        <v>231</v>
      </c>
      <c r="AT1202" t="s">
        <v>232</v>
      </c>
      <c r="AU1202">
        <v>-99</v>
      </c>
      <c r="AV1202" t="s">
        <v>45</v>
      </c>
      <c r="AW1202">
        <v>12</v>
      </c>
      <c r="AX1202">
        <v>42040981</v>
      </c>
      <c r="AY1202" s="73">
        <v>45354.927777777775</v>
      </c>
      <c r="AZ1202" t="s">
        <v>226</v>
      </c>
      <c r="BA1202" t="s">
        <v>238</v>
      </c>
      <c r="BB1202" t="s">
        <v>237</v>
      </c>
      <c r="BC1202" t="s">
        <v>229</v>
      </c>
      <c r="BD1202" t="s">
        <v>111</v>
      </c>
      <c r="BI1202" t="s">
        <v>233</v>
      </c>
      <c r="BJ1202" t="s">
        <v>0</v>
      </c>
      <c r="BK1202">
        <v>42040968</v>
      </c>
      <c r="BN1202" t="s">
        <v>45</v>
      </c>
      <c r="BO1202">
        <v>42040976</v>
      </c>
      <c r="BR1202">
        <v>12</v>
      </c>
      <c r="BS1202">
        <v>42040981</v>
      </c>
      <c r="BT1202" s="73">
        <v>45354.927777777775</v>
      </c>
      <c r="BU1202" t="s">
        <v>226</v>
      </c>
      <c r="BV1202" t="s">
        <v>238</v>
      </c>
      <c r="BW1202" t="s">
        <v>237</v>
      </c>
      <c r="CH1202" t="s">
        <v>229</v>
      </c>
      <c r="CI1202" t="s">
        <v>111</v>
      </c>
      <c r="CJ1202" t="s">
        <v>226</v>
      </c>
      <c r="CK1202" t="s">
        <v>238</v>
      </c>
      <c r="CL1202" t="s">
        <v>237</v>
      </c>
      <c r="CM1202" t="s">
        <v>236</v>
      </c>
      <c r="CN1202" t="s">
        <v>45</v>
      </c>
      <c r="CO1202">
        <v>12</v>
      </c>
      <c r="CP1202">
        <v>42040981</v>
      </c>
      <c r="CQ1202" s="73">
        <v>45354.927777777775</v>
      </c>
      <c r="CR1202" t="s">
        <v>229</v>
      </c>
      <c r="CS1202" t="s">
        <v>111</v>
      </c>
      <c r="CU1202" t="s">
        <v>225</v>
      </c>
    </row>
    <row r="1203" spans="1:99">
      <c r="A1203" t="s">
        <v>42</v>
      </c>
      <c r="B1203" t="s">
        <v>92</v>
      </c>
      <c r="J1203" t="s">
        <v>225</v>
      </c>
      <c r="K1203" t="s">
        <v>225</v>
      </c>
      <c r="M1203" s="73">
        <v>45354.926388888889</v>
      </c>
      <c r="N1203">
        <v>42040952</v>
      </c>
      <c r="O1203">
        <v>-5266</v>
      </c>
      <c r="P1203" t="s">
        <v>45</v>
      </c>
      <c r="Q1203">
        <v>-5266</v>
      </c>
      <c r="R1203" t="s">
        <v>45</v>
      </c>
      <c r="U1203" t="s">
        <v>226</v>
      </c>
      <c r="V1203" t="s">
        <v>239</v>
      </c>
      <c r="W1203" t="s">
        <v>228</v>
      </c>
      <c r="X1203" t="s">
        <v>229</v>
      </c>
      <c r="Y1203" t="s">
        <v>42</v>
      </c>
      <c r="AD1203" t="s">
        <v>45</v>
      </c>
      <c r="AE1203">
        <v>-5266</v>
      </c>
      <c r="AF1203">
        <v>42040952</v>
      </c>
      <c r="AG1203" s="73">
        <v>45354.926388888889</v>
      </c>
      <c r="AH1203" t="s">
        <v>226</v>
      </c>
      <c r="AI1203" t="s">
        <v>239</v>
      </c>
      <c r="AJ1203" t="s">
        <v>228</v>
      </c>
      <c r="AK1203" t="s">
        <v>229</v>
      </c>
      <c r="AL1203" t="s">
        <v>42</v>
      </c>
      <c r="AP1203" t="s">
        <v>230</v>
      </c>
      <c r="AQ1203" t="s">
        <v>231</v>
      </c>
      <c r="AT1203" t="s">
        <v>232</v>
      </c>
      <c r="AU1203">
        <v>-99</v>
      </c>
      <c r="AV1203" t="s">
        <v>45</v>
      </c>
      <c r="AW1203">
        <v>-5266</v>
      </c>
      <c r="AX1203">
        <v>42040952</v>
      </c>
      <c r="AY1203" s="73">
        <v>45354.926388888889</v>
      </c>
      <c r="AZ1203" t="s">
        <v>226</v>
      </c>
      <c r="BA1203" t="s">
        <v>239</v>
      </c>
      <c r="BB1203" t="s">
        <v>228</v>
      </c>
      <c r="BC1203" t="s">
        <v>229</v>
      </c>
      <c r="BD1203" t="s">
        <v>42</v>
      </c>
      <c r="BI1203" t="s">
        <v>233</v>
      </c>
      <c r="BJ1203" t="s">
        <v>0</v>
      </c>
      <c r="BK1203">
        <v>42040936</v>
      </c>
      <c r="BN1203" t="s">
        <v>45</v>
      </c>
      <c r="BR1203">
        <v>-5266</v>
      </c>
      <c r="BS1203">
        <v>42040952</v>
      </c>
      <c r="BT1203" s="73">
        <v>45354.926388888889</v>
      </c>
      <c r="BU1203" t="s">
        <v>226</v>
      </c>
      <c r="BV1203" t="s">
        <v>239</v>
      </c>
      <c r="BW1203" t="s">
        <v>228</v>
      </c>
      <c r="CH1203" t="s">
        <v>229</v>
      </c>
      <c r="CI1203" t="s">
        <v>42</v>
      </c>
      <c r="CJ1203" t="s">
        <v>226</v>
      </c>
      <c r="CK1203" t="s">
        <v>239</v>
      </c>
      <c r="CL1203" t="s">
        <v>228</v>
      </c>
      <c r="CM1203" t="s">
        <v>234</v>
      </c>
      <c r="CN1203" t="s">
        <v>45</v>
      </c>
      <c r="CO1203">
        <v>-5266</v>
      </c>
      <c r="CP1203">
        <v>42040952</v>
      </c>
      <c r="CQ1203" s="73">
        <v>45354.926388888889</v>
      </c>
      <c r="CR1203" t="s">
        <v>229</v>
      </c>
      <c r="CS1203" t="s">
        <v>42</v>
      </c>
      <c r="CU1203" t="s">
        <v>225</v>
      </c>
    </row>
    <row r="1204" spans="1:99">
      <c r="A1204" t="s">
        <v>99</v>
      </c>
      <c r="B1204" t="s">
        <v>98</v>
      </c>
      <c r="J1204" t="s">
        <v>225</v>
      </c>
      <c r="K1204" t="s">
        <v>225</v>
      </c>
      <c r="M1204" s="73">
        <v>45354.926388888889</v>
      </c>
      <c r="N1204">
        <v>42040951</v>
      </c>
      <c r="O1204">
        <v>-263</v>
      </c>
      <c r="P1204" t="s">
        <v>73</v>
      </c>
      <c r="Q1204">
        <v>-263</v>
      </c>
      <c r="R1204" t="s">
        <v>73</v>
      </c>
      <c r="U1204" t="s">
        <v>226</v>
      </c>
      <c r="V1204" t="s">
        <v>239</v>
      </c>
      <c r="W1204" t="s">
        <v>228</v>
      </c>
      <c r="X1204" t="s">
        <v>229</v>
      </c>
      <c r="Y1204" t="s">
        <v>99</v>
      </c>
      <c r="AD1204" t="s">
        <v>73</v>
      </c>
      <c r="AE1204">
        <v>-263</v>
      </c>
      <c r="AF1204">
        <v>42040951</v>
      </c>
      <c r="AG1204" s="73">
        <v>45354.926388888889</v>
      </c>
      <c r="AH1204" t="s">
        <v>226</v>
      </c>
      <c r="AI1204" t="s">
        <v>239</v>
      </c>
      <c r="AJ1204" t="s">
        <v>228</v>
      </c>
      <c r="AK1204" t="s">
        <v>229</v>
      </c>
      <c r="AL1204" t="s">
        <v>99</v>
      </c>
      <c r="AP1204" t="s">
        <v>230</v>
      </c>
      <c r="AQ1204" t="s">
        <v>231</v>
      </c>
      <c r="AT1204" t="s">
        <v>232</v>
      </c>
      <c r="AU1204">
        <v>-99</v>
      </c>
      <c r="AV1204" t="s">
        <v>73</v>
      </c>
      <c r="AW1204">
        <v>-263</v>
      </c>
      <c r="AX1204">
        <v>42040951</v>
      </c>
      <c r="AY1204" s="73">
        <v>45354.926388888889</v>
      </c>
      <c r="AZ1204" t="s">
        <v>226</v>
      </c>
      <c r="BA1204" t="s">
        <v>239</v>
      </c>
      <c r="BB1204" t="s">
        <v>228</v>
      </c>
      <c r="BC1204" t="s">
        <v>229</v>
      </c>
      <c r="BD1204" t="s">
        <v>99</v>
      </c>
      <c r="BI1204" t="s">
        <v>233</v>
      </c>
      <c r="BJ1204" t="s">
        <v>0</v>
      </c>
      <c r="BK1204">
        <v>42040936</v>
      </c>
      <c r="BN1204" t="s">
        <v>73</v>
      </c>
      <c r="BR1204">
        <v>-263</v>
      </c>
      <c r="BS1204">
        <v>42040951</v>
      </c>
      <c r="BT1204" s="73">
        <v>45354.926388888889</v>
      </c>
      <c r="BU1204" t="s">
        <v>226</v>
      </c>
      <c r="BV1204" t="s">
        <v>239</v>
      </c>
      <c r="BW1204" t="s">
        <v>228</v>
      </c>
      <c r="CH1204" t="s">
        <v>229</v>
      </c>
      <c r="CI1204" t="s">
        <v>99</v>
      </c>
      <c r="CJ1204" t="s">
        <v>226</v>
      </c>
      <c r="CK1204" t="s">
        <v>239</v>
      </c>
      <c r="CL1204" t="s">
        <v>228</v>
      </c>
      <c r="CM1204" t="s">
        <v>234</v>
      </c>
      <c r="CN1204" t="s">
        <v>73</v>
      </c>
      <c r="CO1204">
        <v>-263</v>
      </c>
      <c r="CP1204">
        <v>42040951</v>
      </c>
      <c r="CQ1204" s="73">
        <v>45354.926388888889</v>
      </c>
      <c r="CR1204" t="s">
        <v>229</v>
      </c>
      <c r="CS1204" t="s">
        <v>99</v>
      </c>
      <c r="CU1204" t="s">
        <v>225</v>
      </c>
    </row>
    <row r="1205" spans="1:99">
      <c r="A1205" t="s">
        <v>103</v>
      </c>
      <c r="B1205" t="s">
        <v>98</v>
      </c>
      <c r="J1205" t="s">
        <v>225</v>
      </c>
      <c r="K1205" t="s">
        <v>225</v>
      </c>
      <c r="M1205" s="73">
        <v>45354.926388888889</v>
      </c>
      <c r="N1205">
        <v>42040950</v>
      </c>
      <c r="O1205">
        <v>5260</v>
      </c>
      <c r="P1205" t="s">
        <v>104</v>
      </c>
      <c r="Q1205">
        <v>5260</v>
      </c>
      <c r="R1205" t="s">
        <v>104</v>
      </c>
      <c r="S1205">
        <v>263</v>
      </c>
      <c r="T1205" t="s">
        <v>73</v>
      </c>
      <c r="U1205" t="s">
        <v>226</v>
      </c>
      <c r="V1205" t="s">
        <v>239</v>
      </c>
      <c r="W1205" t="s">
        <v>235</v>
      </c>
      <c r="X1205" t="s">
        <v>229</v>
      </c>
      <c r="Y1205" t="s">
        <v>103</v>
      </c>
      <c r="AD1205" t="s">
        <v>104</v>
      </c>
      <c r="AE1205">
        <v>5260</v>
      </c>
      <c r="AF1205">
        <v>42040950</v>
      </c>
      <c r="AG1205" s="73">
        <v>45354.926388888889</v>
      </c>
      <c r="AH1205" t="s">
        <v>226</v>
      </c>
      <c r="AI1205" t="s">
        <v>239</v>
      </c>
      <c r="AJ1205" t="s">
        <v>235</v>
      </c>
      <c r="AK1205" t="s">
        <v>229</v>
      </c>
      <c r="AL1205" t="s">
        <v>103</v>
      </c>
      <c r="AP1205" t="s">
        <v>230</v>
      </c>
      <c r="AQ1205" t="s">
        <v>231</v>
      </c>
      <c r="AT1205" t="s">
        <v>232</v>
      </c>
      <c r="AU1205">
        <v>-99</v>
      </c>
      <c r="AV1205" t="s">
        <v>104</v>
      </c>
      <c r="AW1205">
        <v>5260</v>
      </c>
      <c r="AX1205">
        <v>42040950</v>
      </c>
      <c r="AY1205" s="73">
        <v>45354.926388888889</v>
      </c>
      <c r="AZ1205" t="s">
        <v>226</v>
      </c>
      <c r="BA1205" t="s">
        <v>239</v>
      </c>
      <c r="BB1205" t="s">
        <v>235</v>
      </c>
      <c r="BC1205" t="s">
        <v>229</v>
      </c>
      <c r="BD1205" t="s">
        <v>103</v>
      </c>
      <c r="BI1205" t="s">
        <v>233</v>
      </c>
      <c r="BJ1205" t="s">
        <v>0</v>
      </c>
      <c r="BK1205">
        <v>42040936</v>
      </c>
      <c r="BN1205" t="s">
        <v>104</v>
      </c>
      <c r="BO1205">
        <v>42040942</v>
      </c>
      <c r="BR1205">
        <v>5260</v>
      </c>
      <c r="BS1205">
        <v>42040950</v>
      </c>
      <c r="BT1205" s="73">
        <v>45354.926388888889</v>
      </c>
      <c r="BU1205" t="s">
        <v>226</v>
      </c>
      <c r="BV1205" t="s">
        <v>239</v>
      </c>
      <c r="BW1205" t="s">
        <v>235</v>
      </c>
      <c r="CH1205" t="s">
        <v>229</v>
      </c>
      <c r="CI1205" t="s">
        <v>103</v>
      </c>
      <c r="CJ1205" t="s">
        <v>226</v>
      </c>
      <c r="CK1205" t="s">
        <v>239</v>
      </c>
      <c r="CL1205" t="s">
        <v>235</v>
      </c>
      <c r="CM1205" t="s">
        <v>236</v>
      </c>
      <c r="CN1205" t="s">
        <v>104</v>
      </c>
      <c r="CO1205">
        <v>5260</v>
      </c>
      <c r="CP1205">
        <v>42040950</v>
      </c>
      <c r="CQ1205" s="73">
        <v>45354.926388888889</v>
      </c>
      <c r="CR1205" t="s">
        <v>229</v>
      </c>
      <c r="CS1205" t="s">
        <v>103</v>
      </c>
      <c r="CU1205" t="s">
        <v>225</v>
      </c>
    </row>
    <row r="1206" spans="1:99">
      <c r="A1206" t="s">
        <v>111</v>
      </c>
      <c r="B1206" t="s">
        <v>77</v>
      </c>
      <c r="J1206" t="s">
        <v>225</v>
      </c>
      <c r="K1206" t="s">
        <v>225</v>
      </c>
      <c r="M1206" s="73">
        <v>45354.926388888889</v>
      </c>
      <c r="N1206">
        <v>42040949</v>
      </c>
      <c r="O1206">
        <v>6</v>
      </c>
      <c r="P1206" t="s">
        <v>45</v>
      </c>
      <c r="Q1206">
        <v>6</v>
      </c>
      <c r="R1206" t="s">
        <v>45</v>
      </c>
      <c r="U1206" t="s">
        <v>226</v>
      </c>
      <c r="V1206" t="s">
        <v>239</v>
      </c>
      <c r="W1206" t="s">
        <v>237</v>
      </c>
      <c r="X1206" t="s">
        <v>229</v>
      </c>
      <c r="Y1206" t="s">
        <v>111</v>
      </c>
      <c r="AD1206" t="s">
        <v>45</v>
      </c>
      <c r="AE1206">
        <v>6</v>
      </c>
      <c r="AF1206">
        <v>42040949</v>
      </c>
      <c r="AG1206" s="73">
        <v>45354.926388888889</v>
      </c>
      <c r="AH1206" t="s">
        <v>226</v>
      </c>
      <c r="AI1206" t="s">
        <v>239</v>
      </c>
      <c r="AJ1206" t="s">
        <v>237</v>
      </c>
      <c r="AK1206" t="s">
        <v>229</v>
      </c>
      <c r="AL1206" t="s">
        <v>111</v>
      </c>
      <c r="AP1206" t="s">
        <v>230</v>
      </c>
      <c r="AQ1206" t="s">
        <v>231</v>
      </c>
      <c r="AT1206" t="s">
        <v>232</v>
      </c>
      <c r="AU1206">
        <v>-99</v>
      </c>
      <c r="AV1206" t="s">
        <v>45</v>
      </c>
      <c r="AW1206">
        <v>6</v>
      </c>
      <c r="AX1206">
        <v>42040949</v>
      </c>
      <c r="AY1206" s="73">
        <v>45354.926388888889</v>
      </c>
      <c r="AZ1206" t="s">
        <v>226</v>
      </c>
      <c r="BA1206" t="s">
        <v>239</v>
      </c>
      <c r="BB1206" t="s">
        <v>237</v>
      </c>
      <c r="BC1206" t="s">
        <v>229</v>
      </c>
      <c r="BD1206" t="s">
        <v>111</v>
      </c>
      <c r="BI1206" t="s">
        <v>233</v>
      </c>
      <c r="BJ1206" t="s">
        <v>0</v>
      </c>
      <c r="BK1206">
        <v>42040936</v>
      </c>
      <c r="BN1206" t="s">
        <v>45</v>
      </c>
      <c r="BO1206">
        <v>42040944</v>
      </c>
      <c r="BR1206">
        <v>6</v>
      </c>
      <c r="BS1206">
        <v>42040949</v>
      </c>
      <c r="BT1206" s="73">
        <v>45354.926388888889</v>
      </c>
      <c r="BU1206" t="s">
        <v>226</v>
      </c>
      <c r="BV1206" t="s">
        <v>239</v>
      </c>
      <c r="BW1206" t="s">
        <v>237</v>
      </c>
      <c r="CH1206" t="s">
        <v>229</v>
      </c>
      <c r="CI1206" t="s">
        <v>111</v>
      </c>
      <c r="CJ1206" t="s">
        <v>226</v>
      </c>
      <c r="CK1206" t="s">
        <v>239</v>
      </c>
      <c r="CL1206" t="s">
        <v>237</v>
      </c>
      <c r="CM1206" t="s">
        <v>236</v>
      </c>
      <c r="CN1206" t="s">
        <v>45</v>
      </c>
      <c r="CO1206">
        <v>6</v>
      </c>
      <c r="CP1206">
        <v>42040949</v>
      </c>
      <c r="CQ1206" s="73">
        <v>45354.926388888889</v>
      </c>
      <c r="CR1206" t="s">
        <v>229</v>
      </c>
      <c r="CS1206" t="s">
        <v>111</v>
      </c>
      <c r="CU1206" t="s">
        <v>225</v>
      </c>
    </row>
    <row r="1207" spans="1:99">
      <c r="A1207" t="s">
        <v>46</v>
      </c>
      <c r="B1207" t="s">
        <v>92</v>
      </c>
      <c r="J1207" t="s">
        <v>225</v>
      </c>
      <c r="K1207" t="s">
        <v>225</v>
      </c>
      <c r="M1207" s="73">
        <v>45354.916666666664</v>
      </c>
      <c r="N1207">
        <v>42040639</v>
      </c>
      <c r="O1207">
        <v>-841</v>
      </c>
      <c r="P1207" t="s">
        <v>45</v>
      </c>
      <c r="Q1207">
        <v>-841</v>
      </c>
      <c r="R1207" t="s">
        <v>45</v>
      </c>
      <c r="U1207" t="s">
        <v>226</v>
      </c>
      <c r="V1207" t="s">
        <v>240</v>
      </c>
      <c r="W1207" t="s">
        <v>228</v>
      </c>
      <c r="X1207" t="s">
        <v>229</v>
      </c>
      <c r="Y1207" t="s">
        <v>46</v>
      </c>
      <c r="AD1207" t="s">
        <v>45</v>
      </c>
      <c r="AE1207">
        <v>-841</v>
      </c>
      <c r="AF1207">
        <v>42040639</v>
      </c>
      <c r="AG1207" s="73">
        <v>45354.916666666664</v>
      </c>
      <c r="AH1207" t="s">
        <v>226</v>
      </c>
      <c r="AI1207" t="s">
        <v>240</v>
      </c>
      <c r="AJ1207" t="s">
        <v>228</v>
      </c>
      <c r="AK1207" t="s">
        <v>229</v>
      </c>
      <c r="AL1207" t="s">
        <v>46</v>
      </c>
      <c r="AP1207" t="s">
        <v>230</v>
      </c>
      <c r="AQ1207" t="s">
        <v>231</v>
      </c>
      <c r="AT1207" t="s">
        <v>232</v>
      </c>
      <c r="AU1207">
        <v>-99</v>
      </c>
      <c r="AV1207" t="s">
        <v>45</v>
      </c>
      <c r="AW1207">
        <v>-841</v>
      </c>
      <c r="AX1207">
        <v>42040639</v>
      </c>
      <c r="AY1207" s="73">
        <v>45354.916666666664</v>
      </c>
      <c r="AZ1207" t="s">
        <v>226</v>
      </c>
      <c r="BA1207" t="s">
        <v>240</v>
      </c>
      <c r="BB1207" t="s">
        <v>228</v>
      </c>
      <c r="BC1207" t="s">
        <v>229</v>
      </c>
      <c r="BD1207" t="s">
        <v>46</v>
      </c>
      <c r="BI1207" t="s">
        <v>233</v>
      </c>
      <c r="BJ1207" t="s">
        <v>0</v>
      </c>
      <c r="BK1207">
        <v>42040623</v>
      </c>
      <c r="BN1207" t="s">
        <v>45</v>
      </c>
      <c r="BR1207">
        <v>-841</v>
      </c>
      <c r="BS1207">
        <v>42040639</v>
      </c>
      <c r="BT1207" s="73">
        <v>45354.916666666664</v>
      </c>
      <c r="BU1207" t="s">
        <v>226</v>
      </c>
      <c r="BV1207" t="s">
        <v>240</v>
      </c>
      <c r="BW1207" t="s">
        <v>228</v>
      </c>
      <c r="CH1207" t="s">
        <v>229</v>
      </c>
      <c r="CI1207" t="s">
        <v>46</v>
      </c>
      <c r="CJ1207" t="s">
        <v>226</v>
      </c>
      <c r="CK1207" t="s">
        <v>240</v>
      </c>
      <c r="CL1207" t="s">
        <v>228</v>
      </c>
      <c r="CM1207" t="s">
        <v>234</v>
      </c>
      <c r="CN1207" t="s">
        <v>45</v>
      </c>
      <c r="CO1207">
        <v>-841</v>
      </c>
      <c r="CP1207">
        <v>42040639</v>
      </c>
      <c r="CQ1207" s="73">
        <v>45354.916666666664</v>
      </c>
      <c r="CR1207" t="s">
        <v>229</v>
      </c>
      <c r="CS1207" t="s">
        <v>46</v>
      </c>
      <c r="CU1207" t="s">
        <v>225</v>
      </c>
    </row>
    <row r="1208" spans="1:99">
      <c r="A1208" t="s">
        <v>93</v>
      </c>
      <c r="B1208" t="s">
        <v>98</v>
      </c>
      <c r="J1208" t="s">
        <v>225</v>
      </c>
      <c r="K1208" t="s">
        <v>225</v>
      </c>
      <c r="M1208" s="73">
        <v>45354.916666666664</v>
      </c>
      <c r="N1208">
        <v>42040638</v>
      </c>
      <c r="O1208">
        <v>-42</v>
      </c>
      <c r="P1208" t="s">
        <v>73</v>
      </c>
      <c r="Q1208">
        <v>-42</v>
      </c>
      <c r="R1208" t="s">
        <v>73</v>
      </c>
      <c r="U1208" t="s">
        <v>226</v>
      </c>
      <c r="V1208" t="s">
        <v>240</v>
      </c>
      <c r="W1208" t="s">
        <v>228</v>
      </c>
      <c r="X1208" t="s">
        <v>229</v>
      </c>
      <c r="Y1208" t="s">
        <v>93</v>
      </c>
      <c r="AD1208" t="s">
        <v>73</v>
      </c>
      <c r="AE1208">
        <v>-42</v>
      </c>
      <c r="AF1208">
        <v>42040638</v>
      </c>
      <c r="AG1208" s="73">
        <v>45354.916666666664</v>
      </c>
      <c r="AH1208" t="s">
        <v>226</v>
      </c>
      <c r="AI1208" t="s">
        <v>240</v>
      </c>
      <c r="AJ1208" t="s">
        <v>228</v>
      </c>
      <c r="AK1208" t="s">
        <v>229</v>
      </c>
      <c r="AL1208" t="s">
        <v>93</v>
      </c>
      <c r="AP1208" t="s">
        <v>230</v>
      </c>
      <c r="AQ1208" t="s">
        <v>231</v>
      </c>
      <c r="AT1208" t="s">
        <v>232</v>
      </c>
      <c r="AU1208">
        <v>-99</v>
      </c>
      <c r="AV1208" t="s">
        <v>73</v>
      </c>
      <c r="AW1208">
        <v>-42</v>
      </c>
      <c r="AX1208">
        <v>42040638</v>
      </c>
      <c r="AY1208" s="73">
        <v>45354.916666666664</v>
      </c>
      <c r="AZ1208" t="s">
        <v>226</v>
      </c>
      <c r="BA1208" t="s">
        <v>240</v>
      </c>
      <c r="BB1208" t="s">
        <v>228</v>
      </c>
      <c r="BC1208" t="s">
        <v>229</v>
      </c>
      <c r="BD1208" t="s">
        <v>93</v>
      </c>
      <c r="BI1208" t="s">
        <v>233</v>
      </c>
      <c r="BJ1208" t="s">
        <v>0</v>
      </c>
      <c r="BK1208">
        <v>42040623</v>
      </c>
      <c r="BN1208" t="s">
        <v>73</v>
      </c>
      <c r="BR1208">
        <v>-42</v>
      </c>
      <c r="BS1208">
        <v>42040638</v>
      </c>
      <c r="BT1208" s="73">
        <v>45354.916666666664</v>
      </c>
      <c r="BU1208" t="s">
        <v>226</v>
      </c>
      <c r="BV1208" t="s">
        <v>240</v>
      </c>
      <c r="BW1208" t="s">
        <v>228</v>
      </c>
      <c r="CH1208" t="s">
        <v>229</v>
      </c>
      <c r="CI1208" t="s">
        <v>93</v>
      </c>
      <c r="CJ1208" t="s">
        <v>226</v>
      </c>
      <c r="CK1208" t="s">
        <v>240</v>
      </c>
      <c r="CL1208" t="s">
        <v>228</v>
      </c>
      <c r="CM1208" t="s">
        <v>234</v>
      </c>
      <c r="CN1208" t="s">
        <v>73</v>
      </c>
      <c r="CO1208">
        <v>-42</v>
      </c>
      <c r="CP1208">
        <v>42040638</v>
      </c>
      <c r="CQ1208" s="73">
        <v>45354.916666666664</v>
      </c>
      <c r="CR1208" t="s">
        <v>229</v>
      </c>
      <c r="CS1208" t="s">
        <v>93</v>
      </c>
      <c r="CU1208" t="s">
        <v>225</v>
      </c>
    </row>
    <row r="1209" spans="1:99">
      <c r="A1209" t="s">
        <v>108</v>
      </c>
      <c r="B1209" t="s">
        <v>98</v>
      </c>
      <c r="J1209" t="s">
        <v>225</v>
      </c>
      <c r="K1209" t="s">
        <v>225</v>
      </c>
      <c r="M1209" s="73">
        <v>45354.916666666664</v>
      </c>
      <c r="N1209">
        <v>42040637</v>
      </c>
      <c r="O1209">
        <v>840</v>
      </c>
      <c r="P1209" t="s">
        <v>104</v>
      </c>
      <c r="Q1209">
        <v>840</v>
      </c>
      <c r="R1209" t="s">
        <v>104</v>
      </c>
      <c r="S1209">
        <v>42</v>
      </c>
      <c r="T1209" t="s">
        <v>73</v>
      </c>
      <c r="U1209" t="s">
        <v>226</v>
      </c>
      <c r="V1209" t="s">
        <v>240</v>
      </c>
      <c r="W1209" t="s">
        <v>235</v>
      </c>
      <c r="X1209" t="s">
        <v>229</v>
      </c>
      <c r="Y1209" t="s">
        <v>108</v>
      </c>
      <c r="AD1209" t="s">
        <v>104</v>
      </c>
      <c r="AE1209">
        <v>840</v>
      </c>
      <c r="AF1209">
        <v>42040637</v>
      </c>
      <c r="AG1209" s="73">
        <v>45354.916666666664</v>
      </c>
      <c r="AH1209" t="s">
        <v>226</v>
      </c>
      <c r="AI1209" t="s">
        <v>240</v>
      </c>
      <c r="AJ1209" t="s">
        <v>235</v>
      </c>
      <c r="AK1209" t="s">
        <v>229</v>
      </c>
      <c r="AL1209" t="s">
        <v>108</v>
      </c>
      <c r="AP1209" t="s">
        <v>230</v>
      </c>
      <c r="AQ1209" t="s">
        <v>231</v>
      </c>
      <c r="AT1209" t="s">
        <v>232</v>
      </c>
      <c r="AU1209">
        <v>-99</v>
      </c>
      <c r="AV1209" t="s">
        <v>104</v>
      </c>
      <c r="AW1209">
        <v>840</v>
      </c>
      <c r="AX1209">
        <v>42040637</v>
      </c>
      <c r="AY1209" s="73">
        <v>45354.916666666664</v>
      </c>
      <c r="AZ1209" t="s">
        <v>226</v>
      </c>
      <c r="BA1209" t="s">
        <v>240</v>
      </c>
      <c r="BB1209" t="s">
        <v>235</v>
      </c>
      <c r="BC1209" t="s">
        <v>229</v>
      </c>
      <c r="BD1209" t="s">
        <v>108</v>
      </c>
      <c r="BI1209" t="s">
        <v>233</v>
      </c>
      <c r="BJ1209" t="s">
        <v>0</v>
      </c>
      <c r="BK1209">
        <v>42040623</v>
      </c>
      <c r="BN1209" t="s">
        <v>104</v>
      </c>
      <c r="BO1209">
        <v>42040629</v>
      </c>
      <c r="BR1209">
        <v>840</v>
      </c>
      <c r="BS1209">
        <v>42040637</v>
      </c>
      <c r="BT1209" s="73">
        <v>45354.916666666664</v>
      </c>
      <c r="BU1209" t="s">
        <v>226</v>
      </c>
      <c r="BV1209" t="s">
        <v>240</v>
      </c>
      <c r="BW1209" t="s">
        <v>235</v>
      </c>
      <c r="CH1209" t="s">
        <v>229</v>
      </c>
      <c r="CI1209" t="s">
        <v>108</v>
      </c>
      <c r="CJ1209" t="s">
        <v>226</v>
      </c>
      <c r="CK1209" t="s">
        <v>240</v>
      </c>
      <c r="CL1209" t="s">
        <v>235</v>
      </c>
      <c r="CM1209" t="s">
        <v>236</v>
      </c>
      <c r="CN1209" t="s">
        <v>104</v>
      </c>
      <c r="CO1209">
        <v>840</v>
      </c>
      <c r="CP1209">
        <v>42040637</v>
      </c>
      <c r="CQ1209" s="73">
        <v>45354.916666666664</v>
      </c>
      <c r="CR1209" t="s">
        <v>229</v>
      </c>
      <c r="CS1209" t="s">
        <v>108</v>
      </c>
      <c r="CU1209" t="s">
        <v>225</v>
      </c>
    </row>
    <row r="1210" spans="1:99">
      <c r="A1210" t="s">
        <v>111</v>
      </c>
      <c r="B1210" t="s">
        <v>77</v>
      </c>
      <c r="J1210" t="s">
        <v>225</v>
      </c>
      <c r="K1210" t="s">
        <v>225</v>
      </c>
      <c r="M1210" s="73">
        <v>45354.916666666664</v>
      </c>
      <c r="N1210">
        <v>42040636</v>
      </c>
      <c r="O1210">
        <v>1</v>
      </c>
      <c r="P1210" t="s">
        <v>45</v>
      </c>
      <c r="Q1210">
        <v>1</v>
      </c>
      <c r="R1210" t="s">
        <v>45</v>
      </c>
      <c r="U1210" t="s">
        <v>226</v>
      </c>
      <c r="V1210" t="s">
        <v>240</v>
      </c>
      <c r="W1210" t="s">
        <v>237</v>
      </c>
      <c r="X1210" t="s">
        <v>229</v>
      </c>
      <c r="Y1210" t="s">
        <v>111</v>
      </c>
      <c r="AD1210" t="s">
        <v>45</v>
      </c>
      <c r="AE1210">
        <v>1</v>
      </c>
      <c r="AF1210">
        <v>42040636</v>
      </c>
      <c r="AG1210" s="73">
        <v>45354.916666666664</v>
      </c>
      <c r="AH1210" t="s">
        <v>226</v>
      </c>
      <c r="AI1210" t="s">
        <v>240</v>
      </c>
      <c r="AJ1210" t="s">
        <v>237</v>
      </c>
      <c r="AK1210" t="s">
        <v>229</v>
      </c>
      <c r="AL1210" t="s">
        <v>111</v>
      </c>
      <c r="AP1210" t="s">
        <v>230</v>
      </c>
      <c r="AQ1210" t="s">
        <v>231</v>
      </c>
      <c r="AT1210" t="s">
        <v>232</v>
      </c>
      <c r="AU1210">
        <v>-99</v>
      </c>
      <c r="AV1210" t="s">
        <v>45</v>
      </c>
      <c r="AW1210">
        <v>1</v>
      </c>
      <c r="AX1210">
        <v>42040636</v>
      </c>
      <c r="AY1210" s="73">
        <v>45354.916666666664</v>
      </c>
      <c r="AZ1210" t="s">
        <v>226</v>
      </c>
      <c r="BA1210" t="s">
        <v>240</v>
      </c>
      <c r="BB1210" t="s">
        <v>237</v>
      </c>
      <c r="BC1210" t="s">
        <v>229</v>
      </c>
      <c r="BD1210" t="s">
        <v>111</v>
      </c>
      <c r="BI1210" t="s">
        <v>233</v>
      </c>
      <c r="BJ1210" t="s">
        <v>0</v>
      </c>
      <c r="BK1210">
        <v>42040623</v>
      </c>
      <c r="BN1210" t="s">
        <v>45</v>
      </c>
      <c r="BO1210">
        <v>42040631</v>
      </c>
      <c r="BR1210">
        <v>1</v>
      </c>
      <c r="BS1210">
        <v>42040636</v>
      </c>
      <c r="BT1210" s="73">
        <v>45354.916666666664</v>
      </c>
      <c r="BU1210" t="s">
        <v>226</v>
      </c>
      <c r="BV1210" t="s">
        <v>240</v>
      </c>
      <c r="BW1210" t="s">
        <v>237</v>
      </c>
      <c r="CH1210" t="s">
        <v>229</v>
      </c>
      <c r="CI1210" t="s">
        <v>111</v>
      </c>
      <c r="CJ1210" t="s">
        <v>226</v>
      </c>
      <c r="CK1210" t="s">
        <v>240</v>
      </c>
      <c r="CL1210" t="s">
        <v>237</v>
      </c>
      <c r="CM1210" t="s">
        <v>236</v>
      </c>
      <c r="CN1210" t="s">
        <v>45</v>
      </c>
      <c r="CO1210">
        <v>1</v>
      </c>
      <c r="CP1210">
        <v>42040636</v>
      </c>
      <c r="CQ1210" s="73">
        <v>45354.916666666664</v>
      </c>
      <c r="CR1210" t="s">
        <v>229</v>
      </c>
      <c r="CS1210" t="s">
        <v>111</v>
      </c>
      <c r="CU1210" t="s">
        <v>225</v>
      </c>
    </row>
    <row r="1211" spans="1:99">
      <c r="A1211" t="s">
        <v>42</v>
      </c>
      <c r="B1211" t="s">
        <v>92</v>
      </c>
      <c r="J1211" t="s">
        <v>225</v>
      </c>
      <c r="K1211" t="s">
        <v>225</v>
      </c>
      <c r="M1211" s="73">
        <v>45354.60833333333</v>
      </c>
      <c r="N1211">
        <v>42040554</v>
      </c>
      <c r="O1211">
        <v>-4932</v>
      </c>
      <c r="P1211" t="s">
        <v>45</v>
      </c>
      <c r="Q1211">
        <v>-4932</v>
      </c>
      <c r="R1211" t="s">
        <v>45</v>
      </c>
      <c r="U1211" t="s">
        <v>226</v>
      </c>
      <c r="V1211" t="s">
        <v>241</v>
      </c>
      <c r="W1211" t="s">
        <v>228</v>
      </c>
      <c r="X1211" t="s">
        <v>229</v>
      </c>
      <c r="Y1211" t="s">
        <v>42</v>
      </c>
      <c r="AD1211" t="s">
        <v>45</v>
      </c>
      <c r="AE1211">
        <v>-4932</v>
      </c>
      <c r="AF1211">
        <v>42040554</v>
      </c>
      <c r="AG1211" s="73">
        <v>45354.60833333333</v>
      </c>
      <c r="AH1211" t="s">
        <v>226</v>
      </c>
      <c r="AI1211" t="s">
        <v>241</v>
      </c>
      <c r="AJ1211" t="s">
        <v>228</v>
      </c>
      <c r="AK1211" t="s">
        <v>229</v>
      </c>
      <c r="AL1211" t="s">
        <v>42</v>
      </c>
      <c r="AP1211" t="s">
        <v>230</v>
      </c>
      <c r="AQ1211" t="s">
        <v>231</v>
      </c>
      <c r="AT1211" t="s">
        <v>232</v>
      </c>
      <c r="AU1211">
        <v>-99</v>
      </c>
      <c r="AV1211" t="s">
        <v>45</v>
      </c>
      <c r="AW1211">
        <v>-4932</v>
      </c>
      <c r="AX1211">
        <v>42040554</v>
      </c>
      <c r="AY1211" s="73">
        <v>45354.60833333333</v>
      </c>
      <c r="AZ1211" t="s">
        <v>226</v>
      </c>
      <c r="BA1211" t="s">
        <v>241</v>
      </c>
      <c r="BB1211" t="s">
        <v>228</v>
      </c>
      <c r="BC1211" t="s">
        <v>229</v>
      </c>
      <c r="BD1211" t="s">
        <v>42</v>
      </c>
      <c r="BI1211" t="s">
        <v>233</v>
      </c>
      <c r="BJ1211" t="s">
        <v>0</v>
      </c>
      <c r="BK1211">
        <v>42040538</v>
      </c>
      <c r="BN1211" t="s">
        <v>45</v>
      </c>
      <c r="BR1211">
        <v>-4932</v>
      </c>
      <c r="BS1211">
        <v>42040554</v>
      </c>
      <c r="BT1211" s="73">
        <v>45354.60833333333</v>
      </c>
      <c r="BU1211" t="s">
        <v>226</v>
      </c>
      <c r="BV1211" t="s">
        <v>241</v>
      </c>
      <c r="BW1211" t="s">
        <v>228</v>
      </c>
      <c r="CH1211" t="s">
        <v>229</v>
      </c>
      <c r="CI1211" t="s">
        <v>42</v>
      </c>
      <c r="CJ1211" t="s">
        <v>226</v>
      </c>
      <c r="CK1211" t="s">
        <v>241</v>
      </c>
      <c r="CL1211" t="s">
        <v>228</v>
      </c>
      <c r="CM1211" t="s">
        <v>234</v>
      </c>
      <c r="CN1211" t="s">
        <v>45</v>
      </c>
      <c r="CO1211">
        <v>-4932</v>
      </c>
      <c r="CP1211">
        <v>42040554</v>
      </c>
      <c r="CQ1211" s="73">
        <v>45354.60833333333</v>
      </c>
      <c r="CR1211" t="s">
        <v>229</v>
      </c>
      <c r="CS1211" t="s">
        <v>42</v>
      </c>
      <c r="CU1211" t="s">
        <v>225</v>
      </c>
    </row>
    <row r="1212" spans="1:99">
      <c r="A1212" t="s">
        <v>99</v>
      </c>
      <c r="B1212" t="s">
        <v>98</v>
      </c>
      <c r="J1212" t="s">
        <v>225</v>
      </c>
      <c r="K1212" t="s">
        <v>225</v>
      </c>
      <c r="M1212" s="73">
        <v>45354.60833333333</v>
      </c>
      <c r="N1212">
        <v>42040553</v>
      </c>
      <c r="O1212">
        <v>-246.5</v>
      </c>
      <c r="P1212" t="s">
        <v>73</v>
      </c>
      <c r="Q1212">
        <v>-246.5</v>
      </c>
      <c r="R1212" t="s">
        <v>73</v>
      </c>
      <c r="U1212" t="s">
        <v>226</v>
      </c>
      <c r="V1212" t="s">
        <v>241</v>
      </c>
      <c r="W1212" t="s">
        <v>228</v>
      </c>
      <c r="X1212" t="s">
        <v>229</v>
      </c>
      <c r="Y1212" t="s">
        <v>99</v>
      </c>
      <c r="AD1212" t="s">
        <v>73</v>
      </c>
      <c r="AE1212">
        <v>-246.5</v>
      </c>
      <c r="AF1212">
        <v>42040553</v>
      </c>
      <c r="AG1212" s="73">
        <v>45354.60833333333</v>
      </c>
      <c r="AH1212" t="s">
        <v>226</v>
      </c>
      <c r="AI1212" t="s">
        <v>241</v>
      </c>
      <c r="AJ1212" t="s">
        <v>228</v>
      </c>
      <c r="AK1212" t="s">
        <v>229</v>
      </c>
      <c r="AL1212" t="s">
        <v>99</v>
      </c>
      <c r="AP1212" t="s">
        <v>230</v>
      </c>
      <c r="AQ1212" t="s">
        <v>231</v>
      </c>
      <c r="AT1212" t="s">
        <v>232</v>
      </c>
      <c r="AU1212">
        <v>-99</v>
      </c>
      <c r="AV1212" t="s">
        <v>73</v>
      </c>
      <c r="AW1212">
        <v>-246.5</v>
      </c>
      <c r="AX1212">
        <v>42040553</v>
      </c>
      <c r="AY1212" s="73">
        <v>45354.60833333333</v>
      </c>
      <c r="AZ1212" t="s">
        <v>226</v>
      </c>
      <c r="BA1212" t="s">
        <v>241</v>
      </c>
      <c r="BB1212" t="s">
        <v>228</v>
      </c>
      <c r="BC1212" t="s">
        <v>229</v>
      </c>
      <c r="BD1212" t="s">
        <v>99</v>
      </c>
      <c r="BI1212" t="s">
        <v>233</v>
      </c>
      <c r="BJ1212" t="s">
        <v>0</v>
      </c>
      <c r="BK1212">
        <v>42040538</v>
      </c>
      <c r="BN1212" t="s">
        <v>73</v>
      </c>
      <c r="BR1212">
        <v>-246.5</v>
      </c>
      <c r="BS1212">
        <v>42040553</v>
      </c>
      <c r="BT1212" s="73">
        <v>45354.60833333333</v>
      </c>
      <c r="BU1212" t="s">
        <v>226</v>
      </c>
      <c r="BV1212" t="s">
        <v>241</v>
      </c>
      <c r="BW1212" t="s">
        <v>228</v>
      </c>
      <c r="CH1212" t="s">
        <v>229</v>
      </c>
      <c r="CI1212" t="s">
        <v>99</v>
      </c>
      <c r="CJ1212" t="s">
        <v>226</v>
      </c>
      <c r="CK1212" t="s">
        <v>241</v>
      </c>
      <c r="CL1212" t="s">
        <v>228</v>
      </c>
      <c r="CM1212" t="s">
        <v>234</v>
      </c>
      <c r="CN1212" t="s">
        <v>73</v>
      </c>
      <c r="CO1212">
        <v>-246.5</v>
      </c>
      <c r="CP1212">
        <v>42040553</v>
      </c>
      <c r="CQ1212" s="73">
        <v>45354.60833333333</v>
      </c>
      <c r="CR1212" t="s">
        <v>229</v>
      </c>
      <c r="CS1212" t="s">
        <v>99</v>
      </c>
      <c r="CU1212" t="s">
        <v>225</v>
      </c>
    </row>
    <row r="1213" spans="1:99">
      <c r="A1213" t="s">
        <v>103</v>
      </c>
      <c r="B1213" t="s">
        <v>98</v>
      </c>
      <c r="J1213" t="s">
        <v>225</v>
      </c>
      <c r="K1213" t="s">
        <v>225</v>
      </c>
      <c r="M1213" s="73">
        <v>45354.60833333333</v>
      </c>
      <c r="N1213">
        <v>42040552</v>
      </c>
      <c r="O1213">
        <v>4930</v>
      </c>
      <c r="P1213" t="s">
        <v>104</v>
      </c>
      <c r="Q1213">
        <v>4930</v>
      </c>
      <c r="R1213" t="s">
        <v>104</v>
      </c>
      <c r="S1213">
        <v>246.5</v>
      </c>
      <c r="T1213" t="s">
        <v>73</v>
      </c>
      <c r="U1213" t="s">
        <v>226</v>
      </c>
      <c r="V1213" t="s">
        <v>241</v>
      </c>
      <c r="W1213" t="s">
        <v>235</v>
      </c>
      <c r="X1213" t="s">
        <v>229</v>
      </c>
      <c r="Y1213" t="s">
        <v>103</v>
      </c>
      <c r="AD1213" t="s">
        <v>104</v>
      </c>
      <c r="AE1213">
        <v>4930</v>
      </c>
      <c r="AF1213">
        <v>42040552</v>
      </c>
      <c r="AG1213" s="73">
        <v>45354.60833333333</v>
      </c>
      <c r="AH1213" t="s">
        <v>226</v>
      </c>
      <c r="AI1213" t="s">
        <v>241</v>
      </c>
      <c r="AJ1213" t="s">
        <v>235</v>
      </c>
      <c r="AK1213" t="s">
        <v>229</v>
      </c>
      <c r="AL1213" t="s">
        <v>103</v>
      </c>
      <c r="AP1213" t="s">
        <v>230</v>
      </c>
      <c r="AQ1213" t="s">
        <v>231</v>
      </c>
      <c r="AT1213" t="s">
        <v>232</v>
      </c>
      <c r="AU1213">
        <v>-99</v>
      </c>
      <c r="AV1213" t="s">
        <v>104</v>
      </c>
      <c r="AW1213">
        <v>4930</v>
      </c>
      <c r="AX1213">
        <v>42040552</v>
      </c>
      <c r="AY1213" s="73">
        <v>45354.60833333333</v>
      </c>
      <c r="AZ1213" t="s">
        <v>226</v>
      </c>
      <c r="BA1213" t="s">
        <v>241</v>
      </c>
      <c r="BB1213" t="s">
        <v>235</v>
      </c>
      <c r="BC1213" t="s">
        <v>229</v>
      </c>
      <c r="BD1213" t="s">
        <v>103</v>
      </c>
      <c r="BI1213" t="s">
        <v>233</v>
      </c>
      <c r="BJ1213" t="s">
        <v>0</v>
      </c>
      <c r="BK1213">
        <v>42040538</v>
      </c>
      <c r="BN1213" t="s">
        <v>104</v>
      </c>
      <c r="BO1213">
        <v>42040544</v>
      </c>
      <c r="BR1213">
        <v>4930</v>
      </c>
      <c r="BS1213">
        <v>42040552</v>
      </c>
      <c r="BT1213" s="73">
        <v>45354.60833333333</v>
      </c>
      <c r="BU1213" t="s">
        <v>226</v>
      </c>
      <c r="BV1213" t="s">
        <v>241</v>
      </c>
      <c r="BW1213" t="s">
        <v>235</v>
      </c>
      <c r="CH1213" t="s">
        <v>229</v>
      </c>
      <c r="CI1213" t="s">
        <v>103</v>
      </c>
      <c r="CJ1213" t="s">
        <v>226</v>
      </c>
      <c r="CK1213" t="s">
        <v>241</v>
      </c>
      <c r="CL1213" t="s">
        <v>235</v>
      </c>
      <c r="CM1213" t="s">
        <v>236</v>
      </c>
      <c r="CN1213" t="s">
        <v>104</v>
      </c>
      <c r="CO1213">
        <v>4930</v>
      </c>
      <c r="CP1213">
        <v>42040552</v>
      </c>
      <c r="CQ1213" s="73">
        <v>45354.60833333333</v>
      </c>
      <c r="CR1213" t="s">
        <v>229</v>
      </c>
      <c r="CS1213" t="s">
        <v>103</v>
      </c>
      <c r="CU1213" t="s">
        <v>225</v>
      </c>
    </row>
    <row r="1214" spans="1:99">
      <c r="A1214" t="s">
        <v>111</v>
      </c>
      <c r="B1214" t="s">
        <v>77</v>
      </c>
      <c r="J1214" t="s">
        <v>225</v>
      </c>
      <c r="K1214" t="s">
        <v>225</v>
      </c>
      <c r="M1214" s="73">
        <v>45354.60833333333</v>
      </c>
      <c r="N1214">
        <v>42040551</v>
      </c>
      <c r="O1214">
        <v>2</v>
      </c>
      <c r="P1214" t="s">
        <v>45</v>
      </c>
      <c r="Q1214">
        <v>2</v>
      </c>
      <c r="R1214" t="s">
        <v>45</v>
      </c>
      <c r="U1214" t="s">
        <v>226</v>
      </c>
      <c r="V1214" t="s">
        <v>241</v>
      </c>
      <c r="W1214" t="s">
        <v>237</v>
      </c>
      <c r="X1214" t="s">
        <v>229</v>
      </c>
      <c r="Y1214" t="s">
        <v>111</v>
      </c>
      <c r="AD1214" t="s">
        <v>45</v>
      </c>
      <c r="AE1214">
        <v>2</v>
      </c>
      <c r="AF1214">
        <v>42040551</v>
      </c>
      <c r="AG1214" s="73">
        <v>45354.60833333333</v>
      </c>
      <c r="AH1214" t="s">
        <v>226</v>
      </c>
      <c r="AI1214" t="s">
        <v>241</v>
      </c>
      <c r="AJ1214" t="s">
        <v>237</v>
      </c>
      <c r="AK1214" t="s">
        <v>229</v>
      </c>
      <c r="AL1214" t="s">
        <v>111</v>
      </c>
      <c r="AP1214" t="s">
        <v>230</v>
      </c>
      <c r="AQ1214" t="s">
        <v>231</v>
      </c>
      <c r="AT1214" t="s">
        <v>232</v>
      </c>
      <c r="AU1214">
        <v>-99</v>
      </c>
      <c r="AV1214" t="s">
        <v>45</v>
      </c>
      <c r="AW1214">
        <v>2</v>
      </c>
      <c r="AX1214">
        <v>42040551</v>
      </c>
      <c r="AY1214" s="73">
        <v>45354.60833333333</v>
      </c>
      <c r="AZ1214" t="s">
        <v>226</v>
      </c>
      <c r="BA1214" t="s">
        <v>241</v>
      </c>
      <c r="BB1214" t="s">
        <v>237</v>
      </c>
      <c r="BC1214" t="s">
        <v>229</v>
      </c>
      <c r="BD1214" t="s">
        <v>111</v>
      </c>
      <c r="BI1214" t="s">
        <v>233</v>
      </c>
      <c r="BJ1214" t="s">
        <v>0</v>
      </c>
      <c r="BK1214">
        <v>42040538</v>
      </c>
      <c r="BN1214" t="s">
        <v>45</v>
      </c>
      <c r="BO1214">
        <v>42040546</v>
      </c>
      <c r="BR1214">
        <v>2</v>
      </c>
      <c r="BS1214">
        <v>42040551</v>
      </c>
      <c r="BT1214" s="73">
        <v>45354.60833333333</v>
      </c>
      <c r="BU1214" t="s">
        <v>226</v>
      </c>
      <c r="BV1214" t="s">
        <v>241</v>
      </c>
      <c r="BW1214" t="s">
        <v>237</v>
      </c>
      <c r="CH1214" t="s">
        <v>229</v>
      </c>
      <c r="CI1214" t="s">
        <v>111</v>
      </c>
      <c r="CJ1214" t="s">
        <v>226</v>
      </c>
      <c r="CK1214" t="s">
        <v>241</v>
      </c>
      <c r="CL1214" t="s">
        <v>237</v>
      </c>
      <c r="CM1214" t="s">
        <v>236</v>
      </c>
      <c r="CN1214" t="s">
        <v>45</v>
      </c>
      <c r="CO1214">
        <v>2</v>
      </c>
      <c r="CP1214">
        <v>42040551</v>
      </c>
      <c r="CQ1214" s="73">
        <v>45354.60833333333</v>
      </c>
      <c r="CR1214" t="s">
        <v>229</v>
      </c>
      <c r="CS1214" t="s">
        <v>111</v>
      </c>
      <c r="CU1214" t="s">
        <v>225</v>
      </c>
    </row>
    <row r="1215" spans="1:99">
      <c r="A1215" t="s">
        <v>42</v>
      </c>
      <c r="B1215" t="s">
        <v>92</v>
      </c>
      <c r="J1215" t="s">
        <v>225</v>
      </c>
      <c r="K1215" t="s">
        <v>225</v>
      </c>
      <c r="M1215" s="73">
        <v>45354.606944444444</v>
      </c>
      <c r="N1215">
        <v>42040520</v>
      </c>
      <c r="O1215">
        <v>-7195</v>
      </c>
      <c r="P1215" t="s">
        <v>45</v>
      </c>
      <c r="Q1215">
        <v>-7195</v>
      </c>
      <c r="R1215" t="s">
        <v>45</v>
      </c>
      <c r="U1215" t="s">
        <v>226</v>
      </c>
      <c r="V1215" t="s">
        <v>242</v>
      </c>
      <c r="W1215" t="s">
        <v>228</v>
      </c>
      <c r="X1215" t="s">
        <v>229</v>
      </c>
      <c r="Y1215" t="s">
        <v>42</v>
      </c>
      <c r="AD1215" t="s">
        <v>45</v>
      </c>
      <c r="AE1215">
        <v>-7195</v>
      </c>
      <c r="AF1215">
        <v>42040520</v>
      </c>
      <c r="AG1215" s="73">
        <v>45354.606944444444</v>
      </c>
      <c r="AH1215" t="s">
        <v>226</v>
      </c>
      <c r="AI1215" t="s">
        <v>242</v>
      </c>
      <c r="AJ1215" t="s">
        <v>228</v>
      </c>
      <c r="AK1215" t="s">
        <v>229</v>
      </c>
      <c r="AL1215" t="s">
        <v>42</v>
      </c>
      <c r="AP1215" t="s">
        <v>230</v>
      </c>
      <c r="AQ1215" t="s">
        <v>231</v>
      </c>
      <c r="AT1215" t="s">
        <v>232</v>
      </c>
      <c r="AU1215">
        <v>-99</v>
      </c>
      <c r="AV1215" t="s">
        <v>45</v>
      </c>
      <c r="AW1215">
        <v>-7195</v>
      </c>
      <c r="AX1215">
        <v>42040520</v>
      </c>
      <c r="AY1215" s="73">
        <v>45354.606944444444</v>
      </c>
      <c r="AZ1215" t="s">
        <v>226</v>
      </c>
      <c r="BA1215" t="s">
        <v>242</v>
      </c>
      <c r="BB1215" t="s">
        <v>228</v>
      </c>
      <c r="BC1215" t="s">
        <v>229</v>
      </c>
      <c r="BD1215" t="s">
        <v>42</v>
      </c>
      <c r="BI1215" t="s">
        <v>233</v>
      </c>
      <c r="BJ1215" t="s">
        <v>0</v>
      </c>
      <c r="BK1215">
        <v>42040504</v>
      </c>
      <c r="BN1215" t="s">
        <v>45</v>
      </c>
      <c r="BR1215">
        <v>-7195</v>
      </c>
      <c r="BS1215">
        <v>42040520</v>
      </c>
      <c r="BT1215" s="73">
        <v>45354.606944444444</v>
      </c>
      <c r="BU1215" t="s">
        <v>226</v>
      </c>
      <c r="BV1215" t="s">
        <v>242</v>
      </c>
      <c r="BW1215" t="s">
        <v>228</v>
      </c>
      <c r="CH1215" t="s">
        <v>229</v>
      </c>
      <c r="CI1215" t="s">
        <v>42</v>
      </c>
      <c r="CJ1215" t="s">
        <v>226</v>
      </c>
      <c r="CK1215" t="s">
        <v>242</v>
      </c>
      <c r="CL1215" t="s">
        <v>228</v>
      </c>
      <c r="CM1215" t="s">
        <v>234</v>
      </c>
      <c r="CN1215" t="s">
        <v>45</v>
      </c>
      <c r="CO1215">
        <v>-7195</v>
      </c>
      <c r="CP1215">
        <v>42040520</v>
      </c>
      <c r="CQ1215" s="73">
        <v>45354.606944444444</v>
      </c>
      <c r="CR1215" t="s">
        <v>229</v>
      </c>
      <c r="CS1215" t="s">
        <v>42</v>
      </c>
      <c r="CU1215" t="s">
        <v>225</v>
      </c>
    </row>
    <row r="1216" spans="1:99">
      <c r="A1216" t="s">
        <v>99</v>
      </c>
      <c r="B1216" t="s">
        <v>98</v>
      </c>
      <c r="J1216" t="s">
        <v>225</v>
      </c>
      <c r="K1216" t="s">
        <v>225</v>
      </c>
      <c r="M1216" s="73">
        <v>45354.606944444444</v>
      </c>
      <c r="N1216">
        <v>42040519</v>
      </c>
      <c r="O1216">
        <v>-359.25</v>
      </c>
      <c r="P1216" t="s">
        <v>73</v>
      </c>
      <c r="Q1216">
        <v>-359.25</v>
      </c>
      <c r="R1216" t="s">
        <v>73</v>
      </c>
      <c r="U1216" t="s">
        <v>226</v>
      </c>
      <c r="V1216" t="s">
        <v>242</v>
      </c>
      <c r="W1216" t="s">
        <v>228</v>
      </c>
      <c r="X1216" t="s">
        <v>229</v>
      </c>
      <c r="Y1216" t="s">
        <v>99</v>
      </c>
      <c r="AD1216" t="s">
        <v>73</v>
      </c>
      <c r="AE1216">
        <v>-359.25</v>
      </c>
      <c r="AF1216">
        <v>42040519</v>
      </c>
      <c r="AG1216" s="73">
        <v>45354.606944444444</v>
      </c>
      <c r="AH1216" t="s">
        <v>226</v>
      </c>
      <c r="AI1216" t="s">
        <v>242</v>
      </c>
      <c r="AJ1216" t="s">
        <v>228</v>
      </c>
      <c r="AK1216" t="s">
        <v>229</v>
      </c>
      <c r="AL1216" t="s">
        <v>99</v>
      </c>
      <c r="AP1216" t="s">
        <v>230</v>
      </c>
      <c r="AQ1216" t="s">
        <v>231</v>
      </c>
      <c r="AT1216" t="s">
        <v>232</v>
      </c>
      <c r="AU1216">
        <v>-99</v>
      </c>
      <c r="AV1216" t="s">
        <v>73</v>
      </c>
      <c r="AW1216">
        <v>-359.25</v>
      </c>
      <c r="AX1216">
        <v>42040519</v>
      </c>
      <c r="AY1216" s="73">
        <v>45354.606944444444</v>
      </c>
      <c r="AZ1216" t="s">
        <v>226</v>
      </c>
      <c r="BA1216" t="s">
        <v>242</v>
      </c>
      <c r="BB1216" t="s">
        <v>228</v>
      </c>
      <c r="BC1216" t="s">
        <v>229</v>
      </c>
      <c r="BD1216" t="s">
        <v>99</v>
      </c>
      <c r="BI1216" t="s">
        <v>233</v>
      </c>
      <c r="BJ1216" t="s">
        <v>0</v>
      </c>
      <c r="BK1216">
        <v>42040504</v>
      </c>
      <c r="BN1216" t="s">
        <v>73</v>
      </c>
      <c r="BR1216">
        <v>-359.25</v>
      </c>
      <c r="BS1216">
        <v>42040519</v>
      </c>
      <c r="BT1216" s="73">
        <v>45354.606944444444</v>
      </c>
      <c r="BU1216" t="s">
        <v>226</v>
      </c>
      <c r="BV1216" t="s">
        <v>242</v>
      </c>
      <c r="BW1216" t="s">
        <v>228</v>
      </c>
      <c r="CH1216" t="s">
        <v>229</v>
      </c>
      <c r="CI1216" t="s">
        <v>99</v>
      </c>
      <c r="CJ1216" t="s">
        <v>226</v>
      </c>
      <c r="CK1216" t="s">
        <v>242</v>
      </c>
      <c r="CL1216" t="s">
        <v>228</v>
      </c>
      <c r="CM1216" t="s">
        <v>234</v>
      </c>
      <c r="CN1216" t="s">
        <v>73</v>
      </c>
      <c r="CO1216">
        <v>-359.25</v>
      </c>
      <c r="CP1216">
        <v>42040519</v>
      </c>
      <c r="CQ1216" s="73">
        <v>45354.606944444444</v>
      </c>
      <c r="CR1216" t="s">
        <v>229</v>
      </c>
      <c r="CS1216" t="s">
        <v>99</v>
      </c>
      <c r="CU1216" t="s">
        <v>225</v>
      </c>
    </row>
    <row r="1217" spans="1:99">
      <c r="A1217" t="s">
        <v>103</v>
      </c>
      <c r="B1217" t="s">
        <v>98</v>
      </c>
      <c r="J1217" t="s">
        <v>225</v>
      </c>
      <c r="K1217" t="s">
        <v>225</v>
      </c>
      <c r="M1217" s="73">
        <v>45354.606944444444</v>
      </c>
      <c r="N1217">
        <v>42040518</v>
      </c>
      <c r="O1217">
        <v>7185</v>
      </c>
      <c r="P1217" t="s">
        <v>104</v>
      </c>
      <c r="Q1217">
        <v>7185</v>
      </c>
      <c r="R1217" t="s">
        <v>104</v>
      </c>
      <c r="S1217">
        <v>359.25</v>
      </c>
      <c r="T1217" t="s">
        <v>73</v>
      </c>
      <c r="U1217" t="s">
        <v>226</v>
      </c>
      <c r="V1217" t="s">
        <v>242</v>
      </c>
      <c r="W1217" t="s">
        <v>235</v>
      </c>
      <c r="X1217" t="s">
        <v>229</v>
      </c>
      <c r="Y1217" t="s">
        <v>103</v>
      </c>
      <c r="AD1217" t="s">
        <v>104</v>
      </c>
      <c r="AE1217">
        <v>7185</v>
      </c>
      <c r="AF1217">
        <v>42040518</v>
      </c>
      <c r="AG1217" s="73">
        <v>45354.606944444444</v>
      </c>
      <c r="AH1217" t="s">
        <v>226</v>
      </c>
      <c r="AI1217" t="s">
        <v>242</v>
      </c>
      <c r="AJ1217" t="s">
        <v>235</v>
      </c>
      <c r="AK1217" t="s">
        <v>229</v>
      </c>
      <c r="AL1217" t="s">
        <v>103</v>
      </c>
      <c r="AP1217" t="s">
        <v>230</v>
      </c>
      <c r="AQ1217" t="s">
        <v>231</v>
      </c>
      <c r="AT1217" t="s">
        <v>232</v>
      </c>
      <c r="AU1217">
        <v>-99</v>
      </c>
      <c r="AV1217" t="s">
        <v>104</v>
      </c>
      <c r="AW1217">
        <v>7185</v>
      </c>
      <c r="AX1217">
        <v>42040518</v>
      </c>
      <c r="AY1217" s="73">
        <v>45354.606944444444</v>
      </c>
      <c r="AZ1217" t="s">
        <v>226</v>
      </c>
      <c r="BA1217" t="s">
        <v>242</v>
      </c>
      <c r="BB1217" t="s">
        <v>235</v>
      </c>
      <c r="BC1217" t="s">
        <v>229</v>
      </c>
      <c r="BD1217" t="s">
        <v>103</v>
      </c>
      <c r="BI1217" t="s">
        <v>233</v>
      </c>
      <c r="BJ1217" t="s">
        <v>0</v>
      </c>
      <c r="BK1217">
        <v>42040504</v>
      </c>
      <c r="BN1217" t="s">
        <v>104</v>
      </c>
      <c r="BO1217">
        <v>42040510</v>
      </c>
      <c r="BR1217">
        <v>7185</v>
      </c>
      <c r="BS1217">
        <v>42040518</v>
      </c>
      <c r="BT1217" s="73">
        <v>45354.606944444444</v>
      </c>
      <c r="BU1217" t="s">
        <v>226</v>
      </c>
      <c r="BV1217" t="s">
        <v>242</v>
      </c>
      <c r="BW1217" t="s">
        <v>235</v>
      </c>
      <c r="CH1217" t="s">
        <v>229</v>
      </c>
      <c r="CI1217" t="s">
        <v>103</v>
      </c>
      <c r="CJ1217" t="s">
        <v>226</v>
      </c>
      <c r="CK1217" t="s">
        <v>242</v>
      </c>
      <c r="CL1217" t="s">
        <v>235</v>
      </c>
      <c r="CM1217" t="s">
        <v>236</v>
      </c>
      <c r="CN1217" t="s">
        <v>104</v>
      </c>
      <c r="CO1217">
        <v>7185</v>
      </c>
      <c r="CP1217">
        <v>42040518</v>
      </c>
      <c r="CQ1217" s="73">
        <v>45354.606944444444</v>
      </c>
      <c r="CR1217" t="s">
        <v>229</v>
      </c>
      <c r="CS1217" t="s">
        <v>103</v>
      </c>
      <c r="CU1217" t="s">
        <v>225</v>
      </c>
    </row>
    <row r="1218" spans="1:99">
      <c r="A1218" t="s">
        <v>111</v>
      </c>
      <c r="B1218" t="s">
        <v>77</v>
      </c>
      <c r="J1218" t="s">
        <v>225</v>
      </c>
      <c r="K1218" t="s">
        <v>225</v>
      </c>
      <c r="M1218" s="73">
        <v>45354.606944444444</v>
      </c>
      <c r="N1218">
        <v>42040517</v>
      </c>
      <c r="O1218">
        <v>10</v>
      </c>
      <c r="P1218" t="s">
        <v>45</v>
      </c>
      <c r="Q1218">
        <v>10</v>
      </c>
      <c r="R1218" t="s">
        <v>45</v>
      </c>
      <c r="U1218" t="s">
        <v>226</v>
      </c>
      <c r="V1218" t="s">
        <v>242</v>
      </c>
      <c r="W1218" t="s">
        <v>237</v>
      </c>
      <c r="X1218" t="s">
        <v>229</v>
      </c>
      <c r="Y1218" t="s">
        <v>111</v>
      </c>
      <c r="AD1218" t="s">
        <v>45</v>
      </c>
      <c r="AE1218">
        <v>10</v>
      </c>
      <c r="AF1218">
        <v>42040517</v>
      </c>
      <c r="AG1218" s="73">
        <v>45354.606944444444</v>
      </c>
      <c r="AH1218" t="s">
        <v>226</v>
      </c>
      <c r="AI1218" t="s">
        <v>242</v>
      </c>
      <c r="AJ1218" t="s">
        <v>237</v>
      </c>
      <c r="AK1218" t="s">
        <v>229</v>
      </c>
      <c r="AL1218" t="s">
        <v>111</v>
      </c>
      <c r="AP1218" t="s">
        <v>230</v>
      </c>
      <c r="AQ1218" t="s">
        <v>231</v>
      </c>
      <c r="AT1218" t="s">
        <v>232</v>
      </c>
      <c r="AU1218">
        <v>-99</v>
      </c>
      <c r="AV1218" t="s">
        <v>45</v>
      </c>
      <c r="AW1218">
        <v>10</v>
      </c>
      <c r="AX1218">
        <v>42040517</v>
      </c>
      <c r="AY1218" s="73">
        <v>45354.606944444444</v>
      </c>
      <c r="AZ1218" t="s">
        <v>226</v>
      </c>
      <c r="BA1218" t="s">
        <v>242</v>
      </c>
      <c r="BB1218" t="s">
        <v>237</v>
      </c>
      <c r="BC1218" t="s">
        <v>229</v>
      </c>
      <c r="BD1218" t="s">
        <v>111</v>
      </c>
      <c r="BI1218" t="s">
        <v>233</v>
      </c>
      <c r="BJ1218" t="s">
        <v>0</v>
      </c>
      <c r="BK1218">
        <v>42040504</v>
      </c>
      <c r="BN1218" t="s">
        <v>45</v>
      </c>
      <c r="BO1218">
        <v>42040512</v>
      </c>
      <c r="BR1218">
        <v>10</v>
      </c>
      <c r="BS1218">
        <v>42040517</v>
      </c>
      <c r="BT1218" s="73">
        <v>45354.606944444444</v>
      </c>
      <c r="BU1218" t="s">
        <v>226</v>
      </c>
      <c r="BV1218" t="s">
        <v>242</v>
      </c>
      <c r="BW1218" t="s">
        <v>237</v>
      </c>
      <c r="CH1218" t="s">
        <v>229</v>
      </c>
      <c r="CI1218" t="s">
        <v>111</v>
      </c>
      <c r="CJ1218" t="s">
        <v>226</v>
      </c>
      <c r="CK1218" t="s">
        <v>242</v>
      </c>
      <c r="CL1218" t="s">
        <v>237</v>
      </c>
      <c r="CM1218" t="s">
        <v>236</v>
      </c>
      <c r="CN1218" t="s">
        <v>45</v>
      </c>
      <c r="CO1218">
        <v>10</v>
      </c>
      <c r="CP1218">
        <v>42040517</v>
      </c>
      <c r="CQ1218" s="73">
        <v>45354.606944444444</v>
      </c>
      <c r="CR1218" t="s">
        <v>229</v>
      </c>
      <c r="CS1218" t="s">
        <v>111</v>
      </c>
      <c r="CU1218" t="s">
        <v>225</v>
      </c>
    </row>
    <row r="1219" spans="1:99">
      <c r="A1219" t="s">
        <v>52</v>
      </c>
      <c r="B1219" t="s">
        <v>92</v>
      </c>
      <c r="J1219" t="s">
        <v>225</v>
      </c>
      <c r="K1219" t="s">
        <v>225</v>
      </c>
      <c r="M1219" s="73">
        <v>45354.583333333336</v>
      </c>
      <c r="N1219">
        <v>42033036</v>
      </c>
      <c r="O1219">
        <v>-1247</v>
      </c>
      <c r="P1219" t="s">
        <v>45</v>
      </c>
      <c r="Q1219">
        <v>-1247</v>
      </c>
      <c r="R1219" t="s">
        <v>45</v>
      </c>
      <c r="U1219" t="s">
        <v>226</v>
      </c>
      <c r="V1219" t="s">
        <v>243</v>
      </c>
      <c r="W1219" t="s">
        <v>228</v>
      </c>
      <c r="X1219" t="s">
        <v>229</v>
      </c>
      <c r="Y1219" t="s">
        <v>52</v>
      </c>
      <c r="AD1219" t="s">
        <v>45</v>
      </c>
      <c r="AE1219">
        <v>-1247</v>
      </c>
      <c r="AF1219">
        <v>42033036</v>
      </c>
      <c r="AG1219" s="73">
        <v>45354.583333333336</v>
      </c>
      <c r="AH1219" t="s">
        <v>226</v>
      </c>
      <c r="AI1219" t="s">
        <v>243</v>
      </c>
      <c r="AJ1219" t="s">
        <v>228</v>
      </c>
      <c r="AK1219" t="s">
        <v>229</v>
      </c>
      <c r="AL1219" t="s">
        <v>52</v>
      </c>
      <c r="AP1219" t="s">
        <v>230</v>
      </c>
      <c r="AQ1219" t="s">
        <v>231</v>
      </c>
      <c r="AT1219" t="s">
        <v>232</v>
      </c>
      <c r="AU1219">
        <v>-99</v>
      </c>
      <c r="AV1219" t="s">
        <v>45</v>
      </c>
      <c r="AW1219">
        <v>-1247</v>
      </c>
      <c r="AX1219">
        <v>42033036</v>
      </c>
      <c r="AY1219" s="73">
        <v>45354.583333333336</v>
      </c>
      <c r="AZ1219" t="s">
        <v>226</v>
      </c>
      <c r="BA1219" t="s">
        <v>243</v>
      </c>
      <c r="BB1219" t="s">
        <v>228</v>
      </c>
      <c r="BC1219" t="s">
        <v>229</v>
      </c>
      <c r="BD1219" t="s">
        <v>52</v>
      </c>
      <c r="BI1219" t="s">
        <v>233</v>
      </c>
      <c r="BJ1219" t="s">
        <v>0</v>
      </c>
      <c r="BK1219">
        <v>42033020</v>
      </c>
      <c r="BN1219" t="s">
        <v>45</v>
      </c>
      <c r="BR1219">
        <v>-1247</v>
      </c>
      <c r="BS1219">
        <v>42033036</v>
      </c>
      <c r="BT1219" s="73">
        <v>45354.583333333336</v>
      </c>
      <c r="BU1219" t="s">
        <v>226</v>
      </c>
      <c r="BV1219" t="s">
        <v>243</v>
      </c>
      <c r="BW1219" t="s">
        <v>228</v>
      </c>
      <c r="CH1219" t="s">
        <v>229</v>
      </c>
      <c r="CI1219" t="s">
        <v>52</v>
      </c>
      <c r="CJ1219" t="s">
        <v>226</v>
      </c>
      <c r="CK1219" t="s">
        <v>243</v>
      </c>
      <c r="CL1219" t="s">
        <v>228</v>
      </c>
      <c r="CM1219" t="s">
        <v>234</v>
      </c>
      <c r="CN1219" t="s">
        <v>45</v>
      </c>
      <c r="CO1219">
        <v>-1247</v>
      </c>
      <c r="CP1219">
        <v>42033036</v>
      </c>
      <c r="CQ1219" s="73">
        <v>45354.583333333336</v>
      </c>
      <c r="CR1219" t="s">
        <v>229</v>
      </c>
      <c r="CS1219" t="s">
        <v>52</v>
      </c>
      <c r="CU1219" t="s">
        <v>225</v>
      </c>
    </row>
    <row r="1220" spans="1:99">
      <c r="A1220" t="s">
        <v>101</v>
      </c>
      <c r="B1220" t="s">
        <v>98</v>
      </c>
      <c r="J1220" t="s">
        <v>225</v>
      </c>
      <c r="K1220" t="s">
        <v>225</v>
      </c>
      <c r="M1220" s="73">
        <v>45354.583333333336</v>
      </c>
      <c r="N1220">
        <v>42033035</v>
      </c>
      <c r="O1220">
        <v>-62.25</v>
      </c>
      <c r="P1220" t="s">
        <v>73</v>
      </c>
      <c r="Q1220">
        <v>-62.25</v>
      </c>
      <c r="R1220" t="s">
        <v>73</v>
      </c>
      <c r="U1220" t="s">
        <v>226</v>
      </c>
      <c r="V1220" t="s">
        <v>243</v>
      </c>
      <c r="W1220" t="s">
        <v>228</v>
      </c>
      <c r="X1220" t="s">
        <v>229</v>
      </c>
      <c r="Y1220" t="s">
        <v>101</v>
      </c>
      <c r="AD1220" t="s">
        <v>73</v>
      </c>
      <c r="AE1220">
        <v>-62.25</v>
      </c>
      <c r="AF1220">
        <v>42033035</v>
      </c>
      <c r="AG1220" s="73">
        <v>45354.583333333336</v>
      </c>
      <c r="AH1220" t="s">
        <v>226</v>
      </c>
      <c r="AI1220" t="s">
        <v>243</v>
      </c>
      <c r="AJ1220" t="s">
        <v>228</v>
      </c>
      <c r="AK1220" t="s">
        <v>229</v>
      </c>
      <c r="AL1220" t="s">
        <v>101</v>
      </c>
      <c r="AP1220" t="s">
        <v>230</v>
      </c>
      <c r="AQ1220" t="s">
        <v>231</v>
      </c>
      <c r="AT1220" t="s">
        <v>232</v>
      </c>
      <c r="AU1220">
        <v>-99</v>
      </c>
      <c r="AV1220" t="s">
        <v>73</v>
      </c>
      <c r="AW1220">
        <v>-62.25</v>
      </c>
      <c r="AX1220">
        <v>42033035</v>
      </c>
      <c r="AY1220" s="73">
        <v>45354.583333333336</v>
      </c>
      <c r="AZ1220" t="s">
        <v>226</v>
      </c>
      <c r="BA1220" t="s">
        <v>243</v>
      </c>
      <c r="BB1220" t="s">
        <v>228</v>
      </c>
      <c r="BC1220" t="s">
        <v>229</v>
      </c>
      <c r="BD1220" t="s">
        <v>101</v>
      </c>
      <c r="BI1220" t="s">
        <v>233</v>
      </c>
      <c r="BJ1220" t="s">
        <v>0</v>
      </c>
      <c r="BK1220">
        <v>42033020</v>
      </c>
      <c r="BN1220" t="s">
        <v>73</v>
      </c>
      <c r="BR1220">
        <v>-62.25</v>
      </c>
      <c r="BS1220">
        <v>42033035</v>
      </c>
      <c r="BT1220" s="73">
        <v>45354.583333333336</v>
      </c>
      <c r="BU1220" t="s">
        <v>226</v>
      </c>
      <c r="BV1220" t="s">
        <v>243</v>
      </c>
      <c r="BW1220" t="s">
        <v>228</v>
      </c>
      <c r="CH1220" t="s">
        <v>229</v>
      </c>
      <c r="CI1220" t="s">
        <v>101</v>
      </c>
      <c r="CJ1220" t="s">
        <v>226</v>
      </c>
      <c r="CK1220" t="s">
        <v>243</v>
      </c>
      <c r="CL1220" t="s">
        <v>228</v>
      </c>
      <c r="CM1220" t="s">
        <v>234</v>
      </c>
      <c r="CN1220" t="s">
        <v>73</v>
      </c>
      <c r="CO1220">
        <v>-62.25</v>
      </c>
      <c r="CP1220">
        <v>42033035</v>
      </c>
      <c r="CQ1220" s="73">
        <v>45354.583333333336</v>
      </c>
      <c r="CR1220" t="s">
        <v>229</v>
      </c>
      <c r="CS1220" t="s">
        <v>101</v>
      </c>
      <c r="CU1220" t="s">
        <v>225</v>
      </c>
    </row>
    <row r="1221" spans="1:99">
      <c r="A1221" t="s">
        <v>107</v>
      </c>
      <c r="B1221" t="s">
        <v>98</v>
      </c>
      <c r="J1221" t="s">
        <v>225</v>
      </c>
      <c r="K1221" t="s">
        <v>225</v>
      </c>
      <c r="M1221" s="73">
        <v>45354.583333333336</v>
      </c>
      <c r="N1221">
        <v>42033034</v>
      </c>
      <c r="O1221">
        <v>1245</v>
      </c>
      <c r="P1221" t="s">
        <v>104</v>
      </c>
      <c r="Q1221">
        <v>1245</v>
      </c>
      <c r="R1221" t="s">
        <v>104</v>
      </c>
      <c r="S1221">
        <v>62.25</v>
      </c>
      <c r="T1221" t="s">
        <v>73</v>
      </c>
      <c r="U1221" t="s">
        <v>226</v>
      </c>
      <c r="V1221" t="s">
        <v>243</v>
      </c>
      <c r="W1221" t="s">
        <v>235</v>
      </c>
      <c r="X1221" t="s">
        <v>229</v>
      </c>
      <c r="Y1221" t="s">
        <v>107</v>
      </c>
      <c r="AD1221" t="s">
        <v>104</v>
      </c>
      <c r="AE1221">
        <v>1245</v>
      </c>
      <c r="AF1221">
        <v>42033034</v>
      </c>
      <c r="AG1221" s="73">
        <v>45354.583333333336</v>
      </c>
      <c r="AH1221" t="s">
        <v>226</v>
      </c>
      <c r="AI1221" t="s">
        <v>243</v>
      </c>
      <c r="AJ1221" t="s">
        <v>235</v>
      </c>
      <c r="AK1221" t="s">
        <v>229</v>
      </c>
      <c r="AL1221" t="s">
        <v>107</v>
      </c>
      <c r="AP1221" t="s">
        <v>230</v>
      </c>
      <c r="AQ1221" t="s">
        <v>231</v>
      </c>
      <c r="AT1221" t="s">
        <v>232</v>
      </c>
      <c r="AU1221">
        <v>-99</v>
      </c>
      <c r="AV1221" t="s">
        <v>104</v>
      </c>
      <c r="AW1221">
        <v>1245</v>
      </c>
      <c r="AX1221">
        <v>42033034</v>
      </c>
      <c r="AY1221" s="73">
        <v>45354.583333333336</v>
      </c>
      <c r="AZ1221" t="s">
        <v>226</v>
      </c>
      <c r="BA1221" t="s">
        <v>243</v>
      </c>
      <c r="BB1221" t="s">
        <v>235</v>
      </c>
      <c r="BC1221" t="s">
        <v>229</v>
      </c>
      <c r="BD1221" t="s">
        <v>107</v>
      </c>
      <c r="BI1221" t="s">
        <v>233</v>
      </c>
      <c r="BJ1221" t="s">
        <v>0</v>
      </c>
      <c r="BK1221">
        <v>42033020</v>
      </c>
      <c r="BN1221" t="s">
        <v>104</v>
      </c>
      <c r="BO1221">
        <v>42033026</v>
      </c>
      <c r="BR1221">
        <v>1245</v>
      </c>
      <c r="BS1221">
        <v>42033034</v>
      </c>
      <c r="BT1221" s="73">
        <v>45354.583333333336</v>
      </c>
      <c r="BU1221" t="s">
        <v>226</v>
      </c>
      <c r="BV1221" t="s">
        <v>243</v>
      </c>
      <c r="BW1221" t="s">
        <v>235</v>
      </c>
      <c r="CH1221" t="s">
        <v>229</v>
      </c>
      <c r="CI1221" t="s">
        <v>107</v>
      </c>
      <c r="CJ1221" t="s">
        <v>226</v>
      </c>
      <c r="CK1221" t="s">
        <v>243</v>
      </c>
      <c r="CL1221" t="s">
        <v>235</v>
      </c>
      <c r="CM1221" t="s">
        <v>236</v>
      </c>
      <c r="CN1221" t="s">
        <v>104</v>
      </c>
      <c r="CO1221">
        <v>1245</v>
      </c>
      <c r="CP1221">
        <v>42033034</v>
      </c>
      <c r="CQ1221" s="73">
        <v>45354.583333333336</v>
      </c>
      <c r="CR1221" t="s">
        <v>229</v>
      </c>
      <c r="CS1221" t="s">
        <v>107</v>
      </c>
      <c r="CU1221" t="s">
        <v>225</v>
      </c>
    </row>
    <row r="1222" spans="1:99">
      <c r="A1222" t="s">
        <v>111</v>
      </c>
      <c r="B1222" t="s">
        <v>77</v>
      </c>
      <c r="J1222" t="s">
        <v>225</v>
      </c>
      <c r="K1222" t="s">
        <v>225</v>
      </c>
      <c r="M1222" s="73">
        <v>45354.583333333336</v>
      </c>
      <c r="N1222">
        <v>42033033</v>
      </c>
      <c r="O1222">
        <v>2</v>
      </c>
      <c r="P1222" t="s">
        <v>45</v>
      </c>
      <c r="Q1222">
        <v>2</v>
      </c>
      <c r="R1222" t="s">
        <v>45</v>
      </c>
      <c r="U1222" t="s">
        <v>226</v>
      </c>
      <c r="V1222" t="s">
        <v>243</v>
      </c>
      <c r="W1222" t="s">
        <v>237</v>
      </c>
      <c r="X1222" t="s">
        <v>229</v>
      </c>
      <c r="Y1222" t="s">
        <v>111</v>
      </c>
      <c r="AD1222" t="s">
        <v>45</v>
      </c>
      <c r="AE1222">
        <v>2</v>
      </c>
      <c r="AF1222">
        <v>42033033</v>
      </c>
      <c r="AG1222" s="73">
        <v>45354.583333333336</v>
      </c>
      <c r="AH1222" t="s">
        <v>226</v>
      </c>
      <c r="AI1222" t="s">
        <v>243</v>
      </c>
      <c r="AJ1222" t="s">
        <v>237</v>
      </c>
      <c r="AK1222" t="s">
        <v>229</v>
      </c>
      <c r="AL1222" t="s">
        <v>111</v>
      </c>
      <c r="AP1222" t="s">
        <v>230</v>
      </c>
      <c r="AQ1222" t="s">
        <v>231</v>
      </c>
      <c r="AT1222" t="s">
        <v>232</v>
      </c>
      <c r="AU1222">
        <v>-99</v>
      </c>
      <c r="AV1222" t="s">
        <v>45</v>
      </c>
      <c r="AW1222">
        <v>2</v>
      </c>
      <c r="AX1222">
        <v>42033033</v>
      </c>
      <c r="AY1222" s="73">
        <v>45354.583333333336</v>
      </c>
      <c r="AZ1222" t="s">
        <v>226</v>
      </c>
      <c r="BA1222" t="s">
        <v>243</v>
      </c>
      <c r="BB1222" t="s">
        <v>237</v>
      </c>
      <c r="BC1222" t="s">
        <v>229</v>
      </c>
      <c r="BD1222" t="s">
        <v>111</v>
      </c>
      <c r="BI1222" t="s">
        <v>233</v>
      </c>
      <c r="BJ1222" t="s">
        <v>0</v>
      </c>
      <c r="BK1222">
        <v>42033020</v>
      </c>
      <c r="BN1222" t="s">
        <v>45</v>
      </c>
      <c r="BO1222">
        <v>42033028</v>
      </c>
      <c r="BR1222">
        <v>2</v>
      </c>
      <c r="BS1222">
        <v>42033033</v>
      </c>
      <c r="BT1222" s="73">
        <v>45354.583333333336</v>
      </c>
      <c r="BU1222" t="s">
        <v>226</v>
      </c>
      <c r="BV1222" t="s">
        <v>243</v>
      </c>
      <c r="BW1222" t="s">
        <v>237</v>
      </c>
      <c r="CH1222" t="s">
        <v>229</v>
      </c>
      <c r="CI1222" t="s">
        <v>111</v>
      </c>
      <c r="CJ1222" t="s">
        <v>226</v>
      </c>
      <c r="CK1222" t="s">
        <v>243</v>
      </c>
      <c r="CL1222" t="s">
        <v>237</v>
      </c>
      <c r="CM1222" t="s">
        <v>236</v>
      </c>
      <c r="CN1222" t="s">
        <v>45</v>
      </c>
      <c r="CO1222">
        <v>2</v>
      </c>
      <c r="CP1222">
        <v>42033033</v>
      </c>
      <c r="CQ1222" s="73">
        <v>45354.583333333336</v>
      </c>
      <c r="CR1222" t="s">
        <v>229</v>
      </c>
      <c r="CS1222" t="s">
        <v>111</v>
      </c>
      <c r="CU1222" t="s">
        <v>225</v>
      </c>
    </row>
    <row r="1223" spans="1:99">
      <c r="A1223" t="s">
        <v>46</v>
      </c>
      <c r="B1223" t="s">
        <v>92</v>
      </c>
      <c r="J1223" t="s">
        <v>225</v>
      </c>
      <c r="K1223" t="s">
        <v>225</v>
      </c>
      <c r="M1223" s="73">
        <v>45354.583333333336</v>
      </c>
      <c r="N1223">
        <v>42033011</v>
      </c>
      <c r="O1223">
        <v>-841</v>
      </c>
      <c r="P1223" t="s">
        <v>45</v>
      </c>
      <c r="Q1223">
        <v>-841</v>
      </c>
      <c r="R1223" t="s">
        <v>45</v>
      </c>
      <c r="U1223" t="s">
        <v>226</v>
      </c>
      <c r="V1223" t="s">
        <v>244</v>
      </c>
      <c r="W1223" t="s">
        <v>228</v>
      </c>
      <c r="X1223" t="s">
        <v>229</v>
      </c>
      <c r="Y1223" t="s">
        <v>46</v>
      </c>
      <c r="AD1223" t="s">
        <v>45</v>
      </c>
      <c r="AE1223">
        <v>-841</v>
      </c>
      <c r="AF1223">
        <v>42033011</v>
      </c>
      <c r="AG1223" s="73">
        <v>45354.583333333336</v>
      </c>
      <c r="AH1223" t="s">
        <v>226</v>
      </c>
      <c r="AI1223" t="s">
        <v>244</v>
      </c>
      <c r="AJ1223" t="s">
        <v>228</v>
      </c>
      <c r="AK1223" t="s">
        <v>229</v>
      </c>
      <c r="AL1223" t="s">
        <v>46</v>
      </c>
      <c r="AP1223" t="s">
        <v>230</v>
      </c>
      <c r="AQ1223" t="s">
        <v>231</v>
      </c>
      <c r="AT1223" t="s">
        <v>232</v>
      </c>
      <c r="AU1223">
        <v>-99</v>
      </c>
      <c r="AV1223" t="s">
        <v>45</v>
      </c>
      <c r="AW1223">
        <v>-841</v>
      </c>
      <c r="AX1223">
        <v>42033011</v>
      </c>
      <c r="AY1223" s="73">
        <v>45354.583333333336</v>
      </c>
      <c r="AZ1223" t="s">
        <v>226</v>
      </c>
      <c r="BA1223" t="s">
        <v>244</v>
      </c>
      <c r="BB1223" t="s">
        <v>228</v>
      </c>
      <c r="BC1223" t="s">
        <v>229</v>
      </c>
      <c r="BD1223" t="s">
        <v>46</v>
      </c>
      <c r="BI1223" t="s">
        <v>233</v>
      </c>
      <c r="BJ1223" t="s">
        <v>0</v>
      </c>
      <c r="BK1223">
        <v>42032995</v>
      </c>
      <c r="BN1223" t="s">
        <v>45</v>
      </c>
      <c r="BR1223">
        <v>-841</v>
      </c>
      <c r="BS1223">
        <v>42033011</v>
      </c>
      <c r="BT1223" s="73">
        <v>45354.583333333336</v>
      </c>
      <c r="BU1223" t="s">
        <v>226</v>
      </c>
      <c r="BV1223" t="s">
        <v>244</v>
      </c>
      <c r="BW1223" t="s">
        <v>228</v>
      </c>
      <c r="CH1223" t="s">
        <v>229</v>
      </c>
      <c r="CI1223" t="s">
        <v>46</v>
      </c>
      <c r="CJ1223" t="s">
        <v>226</v>
      </c>
      <c r="CK1223" t="s">
        <v>244</v>
      </c>
      <c r="CL1223" t="s">
        <v>228</v>
      </c>
      <c r="CM1223" t="s">
        <v>234</v>
      </c>
      <c r="CN1223" t="s">
        <v>45</v>
      </c>
      <c r="CO1223">
        <v>-841</v>
      </c>
      <c r="CP1223">
        <v>42033011</v>
      </c>
      <c r="CQ1223" s="73">
        <v>45354.583333333336</v>
      </c>
      <c r="CR1223" t="s">
        <v>229</v>
      </c>
      <c r="CS1223" t="s">
        <v>46</v>
      </c>
      <c r="CU1223" t="s">
        <v>225</v>
      </c>
    </row>
    <row r="1224" spans="1:99">
      <c r="A1224" t="s">
        <v>93</v>
      </c>
      <c r="B1224" t="s">
        <v>98</v>
      </c>
      <c r="J1224" t="s">
        <v>225</v>
      </c>
      <c r="K1224" t="s">
        <v>225</v>
      </c>
      <c r="M1224" s="73">
        <v>45354.583333333336</v>
      </c>
      <c r="N1224">
        <v>42033010</v>
      </c>
      <c r="O1224">
        <v>-42</v>
      </c>
      <c r="P1224" t="s">
        <v>73</v>
      </c>
      <c r="Q1224">
        <v>-42</v>
      </c>
      <c r="R1224" t="s">
        <v>73</v>
      </c>
      <c r="U1224" t="s">
        <v>226</v>
      </c>
      <c r="V1224" t="s">
        <v>244</v>
      </c>
      <c r="W1224" t="s">
        <v>228</v>
      </c>
      <c r="X1224" t="s">
        <v>229</v>
      </c>
      <c r="Y1224" t="s">
        <v>93</v>
      </c>
      <c r="AD1224" t="s">
        <v>73</v>
      </c>
      <c r="AE1224">
        <v>-42</v>
      </c>
      <c r="AF1224">
        <v>42033010</v>
      </c>
      <c r="AG1224" s="73">
        <v>45354.583333333336</v>
      </c>
      <c r="AH1224" t="s">
        <v>226</v>
      </c>
      <c r="AI1224" t="s">
        <v>244</v>
      </c>
      <c r="AJ1224" t="s">
        <v>228</v>
      </c>
      <c r="AK1224" t="s">
        <v>229</v>
      </c>
      <c r="AL1224" t="s">
        <v>93</v>
      </c>
      <c r="AP1224" t="s">
        <v>230</v>
      </c>
      <c r="AQ1224" t="s">
        <v>231</v>
      </c>
      <c r="AT1224" t="s">
        <v>232</v>
      </c>
      <c r="AU1224">
        <v>-99</v>
      </c>
      <c r="AV1224" t="s">
        <v>73</v>
      </c>
      <c r="AW1224">
        <v>-42</v>
      </c>
      <c r="AX1224">
        <v>42033010</v>
      </c>
      <c r="AY1224" s="73">
        <v>45354.583333333336</v>
      </c>
      <c r="AZ1224" t="s">
        <v>226</v>
      </c>
      <c r="BA1224" t="s">
        <v>244</v>
      </c>
      <c r="BB1224" t="s">
        <v>228</v>
      </c>
      <c r="BC1224" t="s">
        <v>229</v>
      </c>
      <c r="BD1224" t="s">
        <v>93</v>
      </c>
      <c r="BI1224" t="s">
        <v>233</v>
      </c>
      <c r="BJ1224" t="s">
        <v>0</v>
      </c>
      <c r="BK1224">
        <v>42032995</v>
      </c>
      <c r="BN1224" t="s">
        <v>73</v>
      </c>
      <c r="BR1224">
        <v>-42</v>
      </c>
      <c r="BS1224">
        <v>42033010</v>
      </c>
      <c r="BT1224" s="73">
        <v>45354.583333333336</v>
      </c>
      <c r="BU1224" t="s">
        <v>226</v>
      </c>
      <c r="BV1224" t="s">
        <v>244</v>
      </c>
      <c r="BW1224" t="s">
        <v>228</v>
      </c>
      <c r="CH1224" t="s">
        <v>229</v>
      </c>
      <c r="CI1224" t="s">
        <v>93</v>
      </c>
      <c r="CJ1224" t="s">
        <v>226</v>
      </c>
      <c r="CK1224" t="s">
        <v>244</v>
      </c>
      <c r="CL1224" t="s">
        <v>228</v>
      </c>
      <c r="CM1224" t="s">
        <v>234</v>
      </c>
      <c r="CN1224" t="s">
        <v>73</v>
      </c>
      <c r="CO1224">
        <v>-42</v>
      </c>
      <c r="CP1224">
        <v>42033010</v>
      </c>
      <c r="CQ1224" s="73">
        <v>45354.583333333336</v>
      </c>
      <c r="CR1224" t="s">
        <v>229</v>
      </c>
      <c r="CS1224" t="s">
        <v>93</v>
      </c>
      <c r="CU1224" t="s">
        <v>225</v>
      </c>
    </row>
    <row r="1225" spans="1:99">
      <c r="A1225" t="s">
        <v>108</v>
      </c>
      <c r="B1225" t="s">
        <v>98</v>
      </c>
      <c r="J1225" t="s">
        <v>225</v>
      </c>
      <c r="K1225" t="s">
        <v>225</v>
      </c>
      <c r="M1225" s="73">
        <v>45354.583333333336</v>
      </c>
      <c r="N1225">
        <v>42033009</v>
      </c>
      <c r="O1225">
        <v>840</v>
      </c>
      <c r="P1225" t="s">
        <v>104</v>
      </c>
      <c r="Q1225">
        <v>840</v>
      </c>
      <c r="R1225" t="s">
        <v>104</v>
      </c>
      <c r="S1225">
        <v>42</v>
      </c>
      <c r="T1225" t="s">
        <v>73</v>
      </c>
      <c r="U1225" t="s">
        <v>226</v>
      </c>
      <c r="V1225" t="s">
        <v>244</v>
      </c>
      <c r="W1225" t="s">
        <v>235</v>
      </c>
      <c r="X1225" t="s">
        <v>229</v>
      </c>
      <c r="Y1225" t="s">
        <v>108</v>
      </c>
      <c r="AD1225" t="s">
        <v>104</v>
      </c>
      <c r="AE1225">
        <v>840</v>
      </c>
      <c r="AF1225">
        <v>42033009</v>
      </c>
      <c r="AG1225" s="73">
        <v>45354.583333333336</v>
      </c>
      <c r="AH1225" t="s">
        <v>226</v>
      </c>
      <c r="AI1225" t="s">
        <v>244</v>
      </c>
      <c r="AJ1225" t="s">
        <v>235</v>
      </c>
      <c r="AK1225" t="s">
        <v>229</v>
      </c>
      <c r="AL1225" t="s">
        <v>108</v>
      </c>
      <c r="AP1225" t="s">
        <v>230</v>
      </c>
      <c r="AQ1225" t="s">
        <v>231</v>
      </c>
      <c r="AT1225" t="s">
        <v>232</v>
      </c>
      <c r="AU1225">
        <v>-99</v>
      </c>
      <c r="AV1225" t="s">
        <v>104</v>
      </c>
      <c r="AW1225">
        <v>840</v>
      </c>
      <c r="AX1225">
        <v>42033009</v>
      </c>
      <c r="AY1225" s="73">
        <v>45354.583333333336</v>
      </c>
      <c r="AZ1225" t="s">
        <v>226</v>
      </c>
      <c r="BA1225" t="s">
        <v>244</v>
      </c>
      <c r="BB1225" t="s">
        <v>235</v>
      </c>
      <c r="BC1225" t="s">
        <v>229</v>
      </c>
      <c r="BD1225" t="s">
        <v>108</v>
      </c>
      <c r="BI1225" t="s">
        <v>233</v>
      </c>
      <c r="BJ1225" t="s">
        <v>0</v>
      </c>
      <c r="BK1225">
        <v>42032995</v>
      </c>
      <c r="BN1225" t="s">
        <v>104</v>
      </c>
      <c r="BO1225">
        <v>42033001</v>
      </c>
      <c r="BR1225">
        <v>840</v>
      </c>
      <c r="BS1225">
        <v>42033009</v>
      </c>
      <c r="BT1225" s="73">
        <v>45354.583333333336</v>
      </c>
      <c r="BU1225" t="s">
        <v>226</v>
      </c>
      <c r="BV1225" t="s">
        <v>244</v>
      </c>
      <c r="BW1225" t="s">
        <v>235</v>
      </c>
      <c r="CH1225" t="s">
        <v>229</v>
      </c>
      <c r="CI1225" t="s">
        <v>108</v>
      </c>
      <c r="CJ1225" t="s">
        <v>226</v>
      </c>
      <c r="CK1225" t="s">
        <v>244</v>
      </c>
      <c r="CL1225" t="s">
        <v>235</v>
      </c>
      <c r="CM1225" t="s">
        <v>236</v>
      </c>
      <c r="CN1225" t="s">
        <v>104</v>
      </c>
      <c r="CO1225">
        <v>840</v>
      </c>
      <c r="CP1225">
        <v>42033009</v>
      </c>
      <c r="CQ1225" s="73">
        <v>45354.583333333336</v>
      </c>
      <c r="CR1225" t="s">
        <v>229</v>
      </c>
      <c r="CS1225" t="s">
        <v>108</v>
      </c>
      <c r="CU1225" t="s">
        <v>225</v>
      </c>
    </row>
    <row r="1226" spans="1:99">
      <c r="A1226" t="s">
        <v>111</v>
      </c>
      <c r="B1226" t="s">
        <v>77</v>
      </c>
      <c r="J1226" t="s">
        <v>225</v>
      </c>
      <c r="K1226" t="s">
        <v>225</v>
      </c>
      <c r="M1226" s="73">
        <v>45354.583333333336</v>
      </c>
      <c r="N1226">
        <v>42033008</v>
      </c>
      <c r="O1226">
        <v>1</v>
      </c>
      <c r="P1226" t="s">
        <v>45</v>
      </c>
      <c r="Q1226">
        <v>1</v>
      </c>
      <c r="R1226" t="s">
        <v>45</v>
      </c>
      <c r="U1226" t="s">
        <v>226</v>
      </c>
      <c r="V1226" t="s">
        <v>244</v>
      </c>
      <c r="W1226" t="s">
        <v>237</v>
      </c>
      <c r="X1226" t="s">
        <v>229</v>
      </c>
      <c r="Y1226" t="s">
        <v>111</v>
      </c>
      <c r="AD1226" t="s">
        <v>45</v>
      </c>
      <c r="AE1226">
        <v>1</v>
      </c>
      <c r="AF1226">
        <v>42033008</v>
      </c>
      <c r="AG1226" s="73">
        <v>45354.583333333336</v>
      </c>
      <c r="AH1226" t="s">
        <v>226</v>
      </c>
      <c r="AI1226" t="s">
        <v>244</v>
      </c>
      <c r="AJ1226" t="s">
        <v>237</v>
      </c>
      <c r="AK1226" t="s">
        <v>229</v>
      </c>
      <c r="AL1226" t="s">
        <v>111</v>
      </c>
      <c r="AP1226" t="s">
        <v>230</v>
      </c>
      <c r="AQ1226" t="s">
        <v>231</v>
      </c>
      <c r="AT1226" t="s">
        <v>232</v>
      </c>
      <c r="AU1226">
        <v>-99</v>
      </c>
      <c r="AV1226" t="s">
        <v>45</v>
      </c>
      <c r="AW1226">
        <v>1</v>
      </c>
      <c r="AX1226">
        <v>42033008</v>
      </c>
      <c r="AY1226" s="73">
        <v>45354.583333333336</v>
      </c>
      <c r="AZ1226" t="s">
        <v>226</v>
      </c>
      <c r="BA1226" t="s">
        <v>244</v>
      </c>
      <c r="BB1226" t="s">
        <v>237</v>
      </c>
      <c r="BC1226" t="s">
        <v>229</v>
      </c>
      <c r="BD1226" t="s">
        <v>111</v>
      </c>
      <c r="BI1226" t="s">
        <v>233</v>
      </c>
      <c r="BJ1226" t="s">
        <v>0</v>
      </c>
      <c r="BK1226">
        <v>42032995</v>
      </c>
      <c r="BN1226" t="s">
        <v>45</v>
      </c>
      <c r="BO1226">
        <v>42033003</v>
      </c>
      <c r="BR1226">
        <v>1</v>
      </c>
      <c r="BS1226">
        <v>42033008</v>
      </c>
      <c r="BT1226" s="73">
        <v>45354.583333333336</v>
      </c>
      <c r="BU1226" t="s">
        <v>226</v>
      </c>
      <c r="BV1226" t="s">
        <v>244</v>
      </c>
      <c r="BW1226" t="s">
        <v>237</v>
      </c>
      <c r="CH1226" t="s">
        <v>229</v>
      </c>
      <c r="CI1226" t="s">
        <v>111</v>
      </c>
      <c r="CJ1226" t="s">
        <v>226</v>
      </c>
      <c r="CK1226" t="s">
        <v>244</v>
      </c>
      <c r="CL1226" t="s">
        <v>237</v>
      </c>
      <c r="CM1226" t="s">
        <v>236</v>
      </c>
      <c r="CN1226" t="s">
        <v>45</v>
      </c>
      <c r="CO1226">
        <v>1</v>
      </c>
      <c r="CP1226">
        <v>42033008</v>
      </c>
      <c r="CQ1226" s="73">
        <v>45354.583333333336</v>
      </c>
      <c r="CR1226" t="s">
        <v>229</v>
      </c>
      <c r="CS1226" t="s">
        <v>111</v>
      </c>
      <c r="CU1226" t="s">
        <v>225</v>
      </c>
    </row>
    <row r="1227" spans="1:99">
      <c r="A1227" t="s">
        <v>42</v>
      </c>
      <c r="B1227" t="s">
        <v>92</v>
      </c>
      <c r="J1227" t="s">
        <v>225</v>
      </c>
      <c r="K1227" t="s">
        <v>225</v>
      </c>
      <c r="M1227" s="73">
        <v>45354.578750000001</v>
      </c>
      <c r="N1227">
        <v>42022422</v>
      </c>
      <c r="O1227">
        <v>-1402</v>
      </c>
      <c r="P1227" t="s">
        <v>45</v>
      </c>
      <c r="Q1227">
        <v>-1402</v>
      </c>
      <c r="R1227" t="s">
        <v>45</v>
      </c>
      <c r="U1227" t="s">
        <v>226</v>
      </c>
      <c r="V1227" t="s">
        <v>245</v>
      </c>
      <c r="W1227" t="s">
        <v>228</v>
      </c>
      <c r="X1227" t="s">
        <v>229</v>
      </c>
      <c r="Y1227" t="s">
        <v>42</v>
      </c>
      <c r="AD1227" t="s">
        <v>45</v>
      </c>
      <c r="AE1227">
        <v>-1402</v>
      </c>
      <c r="AF1227">
        <v>42022422</v>
      </c>
      <c r="AG1227" s="73">
        <v>45354.578750000001</v>
      </c>
      <c r="AH1227" t="s">
        <v>226</v>
      </c>
      <c r="AI1227" t="s">
        <v>245</v>
      </c>
      <c r="AJ1227" t="s">
        <v>228</v>
      </c>
      <c r="AK1227" t="s">
        <v>229</v>
      </c>
      <c r="AL1227" t="s">
        <v>42</v>
      </c>
      <c r="AP1227" t="s">
        <v>230</v>
      </c>
      <c r="AQ1227" t="s">
        <v>231</v>
      </c>
      <c r="AT1227" t="s">
        <v>232</v>
      </c>
      <c r="AU1227">
        <v>-99</v>
      </c>
      <c r="AV1227" t="s">
        <v>45</v>
      </c>
      <c r="AW1227">
        <v>-1402</v>
      </c>
      <c r="AX1227">
        <v>42022422</v>
      </c>
      <c r="AY1227" s="73">
        <v>45354.578750000001</v>
      </c>
      <c r="AZ1227" t="s">
        <v>226</v>
      </c>
      <c r="BA1227" t="s">
        <v>245</v>
      </c>
      <c r="BB1227" t="s">
        <v>228</v>
      </c>
      <c r="BC1227" t="s">
        <v>229</v>
      </c>
      <c r="BD1227" t="s">
        <v>42</v>
      </c>
      <c r="BI1227" t="s">
        <v>233</v>
      </c>
      <c r="BJ1227" t="s">
        <v>0</v>
      </c>
      <c r="BK1227">
        <v>42022386</v>
      </c>
      <c r="BN1227" t="s">
        <v>45</v>
      </c>
      <c r="BR1227">
        <v>-1402</v>
      </c>
      <c r="BS1227">
        <v>42022422</v>
      </c>
      <c r="BT1227" s="73">
        <v>45354.578750000001</v>
      </c>
      <c r="BU1227" t="s">
        <v>226</v>
      </c>
      <c r="BV1227" t="s">
        <v>245</v>
      </c>
      <c r="BW1227" t="s">
        <v>228</v>
      </c>
      <c r="CH1227" t="s">
        <v>229</v>
      </c>
      <c r="CI1227" t="s">
        <v>42</v>
      </c>
      <c r="CJ1227" t="s">
        <v>226</v>
      </c>
      <c r="CK1227" t="s">
        <v>245</v>
      </c>
      <c r="CL1227" t="s">
        <v>228</v>
      </c>
      <c r="CM1227" t="s">
        <v>234</v>
      </c>
      <c r="CN1227" t="s">
        <v>45</v>
      </c>
      <c r="CO1227">
        <v>-1402</v>
      </c>
      <c r="CP1227">
        <v>42022422</v>
      </c>
      <c r="CQ1227" s="73">
        <v>45354.578750000001</v>
      </c>
      <c r="CR1227" t="s">
        <v>229</v>
      </c>
      <c r="CS1227" t="s">
        <v>42</v>
      </c>
      <c r="CU1227" t="s">
        <v>225</v>
      </c>
    </row>
    <row r="1228" spans="1:99">
      <c r="A1228" t="s">
        <v>99</v>
      </c>
      <c r="B1228" t="s">
        <v>98</v>
      </c>
      <c r="J1228" t="s">
        <v>225</v>
      </c>
      <c r="K1228" t="s">
        <v>225</v>
      </c>
      <c r="M1228" s="73">
        <v>45354.578750000001</v>
      </c>
      <c r="N1228">
        <v>42022421</v>
      </c>
      <c r="O1228">
        <v>-70</v>
      </c>
      <c r="P1228" t="s">
        <v>73</v>
      </c>
      <c r="Q1228">
        <v>-70</v>
      </c>
      <c r="R1228" t="s">
        <v>73</v>
      </c>
      <c r="U1228" t="s">
        <v>226</v>
      </c>
      <c r="V1228" t="s">
        <v>245</v>
      </c>
      <c r="W1228" t="s">
        <v>228</v>
      </c>
      <c r="X1228" t="s">
        <v>229</v>
      </c>
      <c r="Y1228" t="s">
        <v>99</v>
      </c>
      <c r="AD1228" t="s">
        <v>73</v>
      </c>
      <c r="AE1228">
        <v>-70</v>
      </c>
      <c r="AF1228">
        <v>42022421</v>
      </c>
      <c r="AG1228" s="73">
        <v>45354.578750000001</v>
      </c>
      <c r="AH1228" t="s">
        <v>226</v>
      </c>
      <c r="AI1228" t="s">
        <v>245</v>
      </c>
      <c r="AJ1228" t="s">
        <v>228</v>
      </c>
      <c r="AK1228" t="s">
        <v>229</v>
      </c>
      <c r="AL1228" t="s">
        <v>99</v>
      </c>
      <c r="AP1228" t="s">
        <v>230</v>
      </c>
      <c r="AQ1228" t="s">
        <v>231</v>
      </c>
      <c r="AT1228" t="s">
        <v>232</v>
      </c>
      <c r="AU1228">
        <v>-99</v>
      </c>
      <c r="AV1228" t="s">
        <v>73</v>
      </c>
      <c r="AW1228">
        <v>-70</v>
      </c>
      <c r="AX1228">
        <v>42022421</v>
      </c>
      <c r="AY1228" s="73">
        <v>45354.578750000001</v>
      </c>
      <c r="AZ1228" t="s">
        <v>226</v>
      </c>
      <c r="BA1228" t="s">
        <v>245</v>
      </c>
      <c r="BB1228" t="s">
        <v>228</v>
      </c>
      <c r="BC1228" t="s">
        <v>229</v>
      </c>
      <c r="BD1228" t="s">
        <v>99</v>
      </c>
      <c r="BI1228" t="s">
        <v>233</v>
      </c>
      <c r="BJ1228" t="s">
        <v>0</v>
      </c>
      <c r="BK1228">
        <v>42022386</v>
      </c>
      <c r="BN1228" t="s">
        <v>73</v>
      </c>
      <c r="BR1228">
        <v>-70</v>
      </c>
      <c r="BS1228">
        <v>42022421</v>
      </c>
      <c r="BT1228" s="73">
        <v>45354.578750000001</v>
      </c>
      <c r="BU1228" t="s">
        <v>226</v>
      </c>
      <c r="BV1228" t="s">
        <v>245</v>
      </c>
      <c r="BW1228" t="s">
        <v>228</v>
      </c>
      <c r="CH1228" t="s">
        <v>229</v>
      </c>
      <c r="CI1228" t="s">
        <v>99</v>
      </c>
      <c r="CJ1228" t="s">
        <v>226</v>
      </c>
      <c r="CK1228" t="s">
        <v>245</v>
      </c>
      <c r="CL1228" t="s">
        <v>228</v>
      </c>
      <c r="CM1228" t="s">
        <v>234</v>
      </c>
      <c r="CN1228" t="s">
        <v>73</v>
      </c>
      <c r="CO1228">
        <v>-70</v>
      </c>
      <c r="CP1228">
        <v>42022421</v>
      </c>
      <c r="CQ1228" s="73">
        <v>45354.578750000001</v>
      </c>
      <c r="CR1228" t="s">
        <v>229</v>
      </c>
      <c r="CS1228" t="s">
        <v>99</v>
      </c>
      <c r="CU1228" t="s">
        <v>225</v>
      </c>
    </row>
    <row r="1229" spans="1:99">
      <c r="A1229" t="s">
        <v>103</v>
      </c>
      <c r="B1229" t="s">
        <v>98</v>
      </c>
      <c r="J1229" t="s">
        <v>225</v>
      </c>
      <c r="K1229" t="s">
        <v>225</v>
      </c>
      <c r="M1229" s="73">
        <v>45354.578750000001</v>
      </c>
      <c r="N1229">
        <v>42022420</v>
      </c>
      <c r="O1229">
        <v>1400</v>
      </c>
      <c r="P1229" t="s">
        <v>104</v>
      </c>
      <c r="Q1229">
        <v>1400</v>
      </c>
      <c r="R1229" t="s">
        <v>104</v>
      </c>
      <c r="S1229">
        <v>70</v>
      </c>
      <c r="T1229" t="s">
        <v>73</v>
      </c>
      <c r="U1229" t="s">
        <v>226</v>
      </c>
      <c r="V1229" t="s">
        <v>245</v>
      </c>
      <c r="W1229" t="s">
        <v>235</v>
      </c>
      <c r="X1229" t="s">
        <v>229</v>
      </c>
      <c r="Y1229" t="s">
        <v>103</v>
      </c>
      <c r="AD1229" t="s">
        <v>104</v>
      </c>
      <c r="AE1229">
        <v>1400</v>
      </c>
      <c r="AF1229">
        <v>42022420</v>
      </c>
      <c r="AG1229" s="73">
        <v>45354.578750000001</v>
      </c>
      <c r="AH1229" t="s">
        <v>226</v>
      </c>
      <c r="AI1229" t="s">
        <v>245</v>
      </c>
      <c r="AJ1229" t="s">
        <v>235</v>
      </c>
      <c r="AK1229" t="s">
        <v>229</v>
      </c>
      <c r="AL1229" t="s">
        <v>103</v>
      </c>
      <c r="AP1229" t="s">
        <v>230</v>
      </c>
      <c r="AQ1229" t="s">
        <v>231</v>
      </c>
      <c r="AT1229" t="s">
        <v>232</v>
      </c>
      <c r="AU1229">
        <v>-99</v>
      </c>
      <c r="AV1229" t="s">
        <v>104</v>
      </c>
      <c r="AW1229">
        <v>1400</v>
      </c>
      <c r="AX1229">
        <v>42022420</v>
      </c>
      <c r="AY1229" s="73">
        <v>45354.578750000001</v>
      </c>
      <c r="AZ1229" t="s">
        <v>226</v>
      </c>
      <c r="BA1229" t="s">
        <v>245</v>
      </c>
      <c r="BB1229" t="s">
        <v>235</v>
      </c>
      <c r="BC1229" t="s">
        <v>229</v>
      </c>
      <c r="BD1229" t="s">
        <v>103</v>
      </c>
      <c r="BI1229" t="s">
        <v>233</v>
      </c>
      <c r="BJ1229" t="s">
        <v>0</v>
      </c>
      <c r="BK1229">
        <v>42022386</v>
      </c>
      <c r="BN1229" t="s">
        <v>104</v>
      </c>
      <c r="BO1229">
        <v>42022412</v>
      </c>
      <c r="BR1229">
        <v>1400</v>
      </c>
      <c r="BS1229">
        <v>42022420</v>
      </c>
      <c r="BT1229" s="73">
        <v>45354.578750000001</v>
      </c>
      <c r="BU1229" t="s">
        <v>226</v>
      </c>
      <c r="BV1229" t="s">
        <v>245</v>
      </c>
      <c r="BW1229" t="s">
        <v>235</v>
      </c>
      <c r="CH1229" t="s">
        <v>229</v>
      </c>
      <c r="CI1229" t="s">
        <v>103</v>
      </c>
      <c r="CJ1229" t="s">
        <v>226</v>
      </c>
      <c r="CK1229" t="s">
        <v>245</v>
      </c>
      <c r="CL1229" t="s">
        <v>235</v>
      </c>
      <c r="CM1229" t="s">
        <v>236</v>
      </c>
      <c r="CN1229" t="s">
        <v>104</v>
      </c>
      <c r="CO1229">
        <v>1400</v>
      </c>
      <c r="CP1229">
        <v>42022420</v>
      </c>
      <c r="CQ1229" s="73">
        <v>45354.578750000001</v>
      </c>
      <c r="CR1229" t="s">
        <v>229</v>
      </c>
      <c r="CS1229" t="s">
        <v>103</v>
      </c>
      <c r="CU1229" t="s">
        <v>225</v>
      </c>
    </row>
    <row r="1230" spans="1:99">
      <c r="A1230" t="s">
        <v>111</v>
      </c>
      <c r="B1230" t="s">
        <v>77</v>
      </c>
      <c r="J1230" t="s">
        <v>225</v>
      </c>
      <c r="K1230" t="s">
        <v>225</v>
      </c>
      <c r="M1230" s="73">
        <v>45354.578750000001</v>
      </c>
      <c r="N1230">
        <v>42022419</v>
      </c>
      <c r="O1230">
        <v>2</v>
      </c>
      <c r="P1230" t="s">
        <v>45</v>
      </c>
      <c r="Q1230">
        <v>2</v>
      </c>
      <c r="R1230" t="s">
        <v>45</v>
      </c>
      <c r="U1230" t="s">
        <v>226</v>
      </c>
      <c r="V1230" t="s">
        <v>245</v>
      </c>
      <c r="W1230" t="s">
        <v>237</v>
      </c>
      <c r="X1230" t="s">
        <v>229</v>
      </c>
      <c r="Y1230" t="s">
        <v>111</v>
      </c>
      <c r="AD1230" t="s">
        <v>45</v>
      </c>
      <c r="AE1230">
        <v>2</v>
      </c>
      <c r="AF1230">
        <v>42022419</v>
      </c>
      <c r="AG1230" s="73">
        <v>45354.578750000001</v>
      </c>
      <c r="AH1230" t="s">
        <v>226</v>
      </c>
      <c r="AI1230" t="s">
        <v>245</v>
      </c>
      <c r="AJ1230" t="s">
        <v>237</v>
      </c>
      <c r="AK1230" t="s">
        <v>229</v>
      </c>
      <c r="AL1230" t="s">
        <v>111</v>
      </c>
      <c r="AP1230" t="s">
        <v>230</v>
      </c>
      <c r="AQ1230" t="s">
        <v>231</v>
      </c>
      <c r="AT1230" t="s">
        <v>232</v>
      </c>
      <c r="AU1230">
        <v>-99</v>
      </c>
      <c r="AV1230" t="s">
        <v>45</v>
      </c>
      <c r="AW1230">
        <v>2</v>
      </c>
      <c r="AX1230">
        <v>42022419</v>
      </c>
      <c r="AY1230" s="73">
        <v>45354.578750000001</v>
      </c>
      <c r="AZ1230" t="s">
        <v>226</v>
      </c>
      <c r="BA1230" t="s">
        <v>245</v>
      </c>
      <c r="BB1230" t="s">
        <v>237</v>
      </c>
      <c r="BC1230" t="s">
        <v>229</v>
      </c>
      <c r="BD1230" t="s">
        <v>111</v>
      </c>
      <c r="BI1230" t="s">
        <v>233</v>
      </c>
      <c r="BJ1230" t="s">
        <v>0</v>
      </c>
      <c r="BK1230">
        <v>42022386</v>
      </c>
      <c r="BN1230" t="s">
        <v>45</v>
      </c>
      <c r="BO1230">
        <v>42022414</v>
      </c>
      <c r="BR1230">
        <v>2</v>
      </c>
      <c r="BS1230">
        <v>42022419</v>
      </c>
      <c r="BT1230" s="73">
        <v>45354.578750000001</v>
      </c>
      <c r="BU1230" t="s">
        <v>226</v>
      </c>
      <c r="BV1230" t="s">
        <v>245</v>
      </c>
      <c r="BW1230" t="s">
        <v>237</v>
      </c>
      <c r="CH1230" t="s">
        <v>229</v>
      </c>
      <c r="CI1230" t="s">
        <v>111</v>
      </c>
      <c r="CJ1230" t="s">
        <v>226</v>
      </c>
      <c r="CK1230" t="s">
        <v>245</v>
      </c>
      <c r="CL1230" t="s">
        <v>237</v>
      </c>
      <c r="CM1230" t="s">
        <v>236</v>
      </c>
      <c r="CN1230" t="s">
        <v>45</v>
      </c>
      <c r="CO1230">
        <v>2</v>
      </c>
      <c r="CP1230">
        <v>42022419</v>
      </c>
      <c r="CQ1230" s="73">
        <v>45354.578750000001</v>
      </c>
      <c r="CR1230" t="s">
        <v>229</v>
      </c>
      <c r="CS1230" t="s">
        <v>111</v>
      </c>
      <c r="CU1230" t="s">
        <v>225</v>
      </c>
    </row>
    <row r="1231" spans="1:99">
      <c r="A1231" t="s">
        <v>52</v>
      </c>
      <c r="B1231" t="s">
        <v>92</v>
      </c>
      <c r="J1231" t="s">
        <v>225</v>
      </c>
      <c r="K1231" t="s">
        <v>225</v>
      </c>
      <c r="M1231" s="73">
        <v>45354.573680555557</v>
      </c>
      <c r="N1231">
        <v>42022284</v>
      </c>
      <c r="O1231">
        <v>-300</v>
      </c>
      <c r="P1231" t="s">
        <v>45</v>
      </c>
      <c r="Q1231">
        <v>-300</v>
      </c>
      <c r="R1231" t="s">
        <v>45</v>
      </c>
      <c r="U1231" t="s">
        <v>226</v>
      </c>
      <c r="V1231" t="s">
        <v>246</v>
      </c>
      <c r="W1231" t="s">
        <v>228</v>
      </c>
      <c r="X1231" t="s">
        <v>229</v>
      </c>
      <c r="Y1231" t="s">
        <v>52</v>
      </c>
      <c r="AD1231" t="s">
        <v>45</v>
      </c>
      <c r="AE1231">
        <v>-300</v>
      </c>
      <c r="AF1231">
        <v>42022284</v>
      </c>
      <c r="AG1231" s="73">
        <v>45354.573680555557</v>
      </c>
      <c r="AH1231" t="s">
        <v>226</v>
      </c>
      <c r="AI1231" t="s">
        <v>246</v>
      </c>
      <c r="AJ1231" t="s">
        <v>228</v>
      </c>
      <c r="AK1231" t="s">
        <v>229</v>
      </c>
      <c r="AL1231" t="s">
        <v>52</v>
      </c>
      <c r="AP1231" t="s">
        <v>230</v>
      </c>
      <c r="AQ1231" t="s">
        <v>231</v>
      </c>
      <c r="AT1231" t="s">
        <v>232</v>
      </c>
      <c r="AU1231">
        <v>-99</v>
      </c>
      <c r="AV1231" t="s">
        <v>45</v>
      </c>
      <c r="AW1231">
        <v>-300</v>
      </c>
      <c r="AX1231">
        <v>42022284</v>
      </c>
      <c r="AY1231" s="73">
        <v>45354.573680555557</v>
      </c>
      <c r="AZ1231" t="s">
        <v>226</v>
      </c>
      <c r="BA1231" t="s">
        <v>246</v>
      </c>
      <c r="BB1231" t="s">
        <v>228</v>
      </c>
      <c r="BC1231" t="s">
        <v>229</v>
      </c>
      <c r="BD1231" t="s">
        <v>52</v>
      </c>
      <c r="BI1231" t="s">
        <v>233</v>
      </c>
      <c r="BJ1231" t="s">
        <v>0</v>
      </c>
      <c r="BK1231">
        <v>42022272</v>
      </c>
      <c r="BN1231" t="s">
        <v>45</v>
      </c>
      <c r="BR1231">
        <v>-300</v>
      </c>
      <c r="BS1231">
        <v>42022284</v>
      </c>
      <c r="BT1231" s="73">
        <v>45354.573680555557</v>
      </c>
      <c r="BU1231" t="s">
        <v>226</v>
      </c>
      <c r="BV1231" t="s">
        <v>246</v>
      </c>
      <c r="BW1231" t="s">
        <v>228</v>
      </c>
      <c r="CH1231" t="s">
        <v>229</v>
      </c>
      <c r="CI1231" t="s">
        <v>52</v>
      </c>
      <c r="CJ1231" t="s">
        <v>226</v>
      </c>
      <c r="CK1231" t="s">
        <v>246</v>
      </c>
      <c r="CL1231" t="s">
        <v>228</v>
      </c>
      <c r="CM1231" t="s">
        <v>234</v>
      </c>
      <c r="CN1231" t="s">
        <v>45</v>
      </c>
      <c r="CO1231">
        <v>-300</v>
      </c>
      <c r="CP1231">
        <v>42022284</v>
      </c>
      <c r="CQ1231" s="73">
        <v>45354.573680555557</v>
      </c>
      <c r="CR1231" t="s">
        <v>229</v>
      </c>
      <c r="CS1231" t="s">
        <v>52</v>
      </c>
      <c r="CU1231" t="s">
        <v>225</v>
      </c>
    </row>
    <row r="1232" spans="1:99">
      <c r="A1232" t="s">
        <v>101</v>
      </c>
      <c r="B1232" t="s">
        <v>98</v>
      </c>
      <c r="J1232" t="s">
        <v>225</v>
      </c>
      <c r="K1232" t="s">
        <v>225</v>
      </c>
      <c r="M1232" s="73">
        <v>45354.573680555557</v>
      </c>
      <c r="N1232">
        <v>42022283</v>
      </c>
      <c r="O1232">
        <v>-15</v>
      </c>
      <c r="P1232" t="s">
        <v>73</v>
      </c>
      <c r="Q1232">
        <v>-15</v>
      </c>
      <c r="R1232" t="s">
        <v>73</v>
      </c>
      <c r="U1232" t="s">
        <v>226</v>
      </c>
      <c r="V1232" t="s">
        <v>246</v>
      </c>
      <c r="W1232" t="s">
        <v>228</v>
      </c>
      <c r="X1232" t="s">
        <v>229</v>
      </c>
      <c r="Y1232" t="s">
        <v>101</v>
      </c>
      <c r="AD1232" t="s">
        <v>73</v>
      </c>
      <c r="AE1232">
        <v>-15</v>
      </c>
      <c r="AF1232">
        <v>42022283</v>
      </c>
      <c r="AG1232" s="73">
        <v>45354.573680555557</v>
      </c>
      <c r="AH1232" t="s">
        <v>226</v>
      </c>
      <c r="AI1232" t="s">
        <v>246</v>
      </c>
      <c r="AJ1232" t="s">
        <v>228</v>
      </c>
      <c r="AK1232" t="s">
        <v>229</v>
      </c>
      <c r="AL1232" t="s">
        <v>101</v>
      </c>
      <c r="AP1232" t="s">
        <v>230</v>
      </c>
      <c r="AQ1232" t="s">
        <v>231</v>
      </c>
      <c r="AT1232" t="s">
        <v>232</v>
      </c>
      <c r="AU1232">
        <v>-99</v>
      </c>
      <c r="AV1232" t="s">
        <v>73</v>
      </c>
      <c r="AW1232">
        <v>-15</v>
      </c>
      <c r="AX1232">
        <v>42022283</v>
      </c>
      <c r="AY1232" s="73">
        <v>45354.573680555557</v>
      </c>
      <c r="AZ1232" t="s">
        <v>226</v>
      </c>
      <c r="BA1232" t="s">
        <v>246</v>
      </c>
      <c r="BB1232" t="s">
        <v>228</v>
      </c>
      <c r="BC1232" t="s">
        <v>229</v>
      </c>
      <c r="BD1232" t="s">
        <v>101</v>
      </c>
      <c r="BI1232" t="s">
        <v>233</v>
      </c>
      <c r="BJ1232" t="s">
        <v>0</v>
      </c>
      <c r="BK1232">
        <v>42022272</v>
      </c>
      <c r="BN1232" t="s">
        <v>73</v>
      </c>
      <c r="BR1232">
        <v>-15</v>
      </c>
      <c r="BS1232">
        <v>42022283</v>
      </c>
      <c r="BT1232" s="73">
        <v>45354.573680555557</v>
      </c>
      <c r="BU1232" t="s">
        <v>226</v>
      </c>
      <c r="BV1232" t="s">
        <v>246</v>
      </c>
      <c r="BW1232" t="s">
        <v>228</v>
      </c>
      <c r="CH1232" t="s">
        <v>229</v>
      </c>
      <c r="CI1232" t="s">
        <v>101</v>
      </c>
      <c r="CJ1232" t="s">
        <v>226</v>
      </c>
      <c r="CK1232" t="s">
        <v>246</v>
      </c>
      <c r="CL1232" t="s">
        <v>228</v>
      </c>
      <c r="CM1232" t="s">
        <v>234</v>
      </c>
      <c r="CN1232" t="s">
        <v>73</v>
      </c>
      <c r="CO1232">
        <v>-15</v>
      </c>
      <c r="CP1232">
        <v>42022283</v>
      </c>
      <c r="CQ1232" s="73">
        <v>45354.573680555557</v>
      </c>
      <c r="CR1232" t="s">
        <v>229</v>
      </c>
      <c r="CS1232" t="s">
        <v>101</v>
      </c>
      <c r="CU1232" t="s">
        <v>225</v>
      </c>
    </row>
    <row r="1233" spans="1:99">
      <c r="A1233" t="s">
        <v>107</v>
      </c>
      <c r="B1233" t="s">
        <v>98</v>
      </c>
      <c r="J1233" t="s">
        <v>225</v>
      </c>
      <c r="K1233" t="s">
        <v>225</v>
      </c>
      <c r="M1233" s="73">
        <v>45354.573680555557</v>
      </c>
      <c r="N1233">
        <v>42022282</v>
      </c>
      <c r="O1233">
        <v>300</v>
      </c>
      <c r="P1233" t="s">
        <v>104</v>
      </c>
      <c r="Q1233">
        <v>300</v>
      </c>
      <c r="R1233" t="s">
        <v>104</v>
      </c>
      <c r="S1233">
        <v>15</v>
      </c>
      <c r="T1233" t="s">
        <v>73</v>
      </c>
      <c r="U1233" t="s">
        <v>226</v>
      </c>
      <c r="V1233" t="s">
        <v>246</v>
      </c>
      <c r="W1233" t="s">
        <v>235</v>
      </c>
      <c r="X1233" t="s">
        <v>229</v>
      </c>
      <c r="Y1233" t="s">
        <v>107</v>
      </c>
      <c r="AD1233" t="s">
        <v>104</v>
      </c>
      <c r="AE1233">
        <v>300</v>
      </c>
      <c r="AF1233">
        <v>42022282</v>
      </c>
      <c r="AG1233" s="73">
        <v>45354.573680555557</v>
      </c>
      <c r="AH1233" t="s">
        <v>226</v>
      </c>
      <c r="AI1233" t="s">
        <v>246</v>
      </c>
      <c r="AJ1233" t="s">
        <v>235</v>
      </c>
      <c r="AK1233" t="s">
        <v>229</v>
      </c>
      <c r="AL1233" t="s">
        <v>107</v>
      </c>
      <c r="AP1233" t="s">
        <v>230</v>
      </c>
      <c r="AQ1233" t="s">
        <v>231</v>
      </c>
      <c r="AT1233" t="s">
        <v>232</v>
      </c>
      <c r="AU1233">
        <v>-99</v>
      </c>
      <c r="AV1233" t="s">
        <v>104</v>
      </c>
      <c r="AW1233">
        <v>300</v>
      </c>
      <c r="AX1233">
        <v>42022282</v>
      </c>
      <c r="AY1233" s="73">
        <v>45354.573680555557</v>
      </c>
      <c r="AZ1233" t="s">
        <v>226</v>
      </c>
      <c r="BA1233" t="s">
        <v>246</v>
      </c>
      <c r="BB1233" t="s">
        <v>235</v>
      </c>
      <c r="BC1233" t="s">
        <v>229</v>
      </c>
      <c r="BD1233" t="s">
        <v>107</v>
      </c>
      <c r="BI1233" t="s">
        <v>233</v>
      </c>
      <c r="BJ1233" t="s">
        <v>0</v>
      </c>
      <c r="BK1233">
        <v>42022272</v>
      </c>
      <c r="BN1233" t="s">
        <v>104</v>
      </c>
      <c r="BO1233">
        <v>42022278</v>
      </c>
      <c r="BR1233">
        <v>300</v>
      </c>
      <c r="BS1233">
        <v>42022282</v>
      </c>
      <c r="BT1233" s="73">
        <v>45354.573680555557</v>
      </c>
      <c r="BU1233" t="s">
        <v>226</v>
      </c>
      <c r="BV1233" t="s">
        <v>246</v>
      </c>
      <c r="BW1233" t="s">
        <v>235</v>
      </c>
      <c r="CH1233" t="s">
        <v>229</v>
      </c>
      <c r="CI1233" t="s">
        <v>107</v>
      </c>
      <c r="CJ1233" t="s">
        <v>226</v>
      </c>
      <c r="CK1233" t="s">
        <v>246</v>
      </c>
      <c r="CL1233" t="s">
        <v>235</v>
      </c>
      <c r="CM1233" t="s">
        <v>236</v>
      </c>
      <c r="CN1233" t="s">
        <v>104</v>
      </c>
      <c r="CO1233">
        <v>300</v>
      </c>
      <c r="CP1233">
        <v>42022282</v>
      </c>
      <c r="CQ1233" s="73">
        <v>45354.573680555557</v>
      </c>
      <c r="CR1233" t="s">
        <v>229</v>
      </c>
      <c r="CS1233" t="s">
        <v>107</v>
      </c>
      <c r="CU1233" t="s">
        <v>225</v>
      </c>
    </row>
    <row r="1234" spans="1:99">
      <c r="A1234" t="s">
        <v>46</v>
      </c>
      <c r="B1234" t="s">
        <v>92</v>
      </c>
      <c r="J1234" t="s">
        <v>225</v>
      </c>
      <c r="K1234" t="s">
        <v>225</v>
      </c>
      <c r="M1234" s="73">
        <v>45354.571782407409</v>
      </c>
      <c r="N1234">
        <v>42022221</v>
      </c>
      <c r="O1234">
        <v>-601</v>
      </c>
      <c r="P1234" t="s">
        <v>45</v>
      </c>
      <c r="Q1234">
        <v>-601</v>
      </c>
      <c r="R1234" t="s">
        <v>45</v>
      </c>
      <c r="U1234" t="s">
        <v>226</v>
      </c>
      <c r="V1234" t="s">
        <v>247</v>
      </c>
      <c r="W1234" t="s">
        <v>228</v>
      </c>
      <c r="X1234" t="s">
        <v>229</v>
      </c>
      <c r="Y1234" t="s">
        <v>46</v>
      </c>
      <c r="AD1234" t="s">
        <v>45</v>
      </c>
      <c r="AE1234">
        <v>-601</v>
      </c>
      <c r="AF1234">
        <v>42022221</v>
      </c>
      <c r="AG1234" s="73">
        <v>45354.571782407409</v>
      </c>
      <c r="AH1234" t="s">
        <v>226</v>
      </c>
      <c r="AI1234" t="s">
        <v>247</v>
      </c>
      <c r="AJ1234" t="s">
        <v>228</v>
      </c>
      <c r="AK1234" t="s">
        <v>229</v>
      </c>
      <c r="AL1234" t="s">
        <v>46</v>
      </c>
      <c r="AP1234" t="s">
        <v>230</v>
      </c>
      <c r="AQ1234" t="s">
        <v>231</v>
      </c>
      <c r="AT1234" t="s">
        <v>232</v>
      </c>
      <c r="AU1234">
        <v>-99</v>
      </c>
      <c r="AV1234" t="s">
        <v>45</v>
      </c>
      <c r="AW1234">
        <v>-601</v>
      </c>
      <c r="AX1234">
        <v>42022221</v>
      </c>
      <c r="AY1234" s="73">
        <v>45354.571782407409</v>
      </c>
      <c r="AZ1234" t="s">
        <v>226</v>
      </c>
      <c r="BA1234" t="s">
        <v>247</v>
      </c>
      <c r="BB1234" t="s">
        <v>228</v>
      </c>
      <c r="BC1234" t="s">
        <v>229</v>
      </c>
      <c r="BD1234" t="s">
        <v>46</v>
      </c>
      <c r="BI1234" t="s">
        <v>233</v>
      </c>
      <c r="BJ1234" t="s">
        <v>0</v>
      </c>
      <c r="BK1234">
        <v>42022189</v>
      </c>
      <c r="BN1234" t="s">
        <v>45</v>
      </c>
      <c r="BR1234">
        <v>-601</v>
      </c>
      <c r="BS1234">
        <v>42022221</v>
      </c>
      <c r="BT1234" s="73">
        <v>45354.571782407409</v>
      </c>
      <c r="BU1234" t="s">
        <v>226</v>
      </c>
      <c r="BV1234" t="s">
        <v>247</v>
      </c>
      <c r="BW1234" t="s">
        <v>228</v>
      </c>
      <c r="CH1234" t="s">
        <v>229</v>
      </c>
      <c r="CI1234" t="s">
        <v>46</v>
      </c>
      <c r="CJ1234" t="s">
        <v>226</v>
      </c>
      <c r="CK1234" t="s">
        <v>247</v>
      </c>
      <c r="CL1234" t="s">
        <v>228</v>
      </c>
      <c r="CM1234" t="s">
        <v>234</v>
      </c>
      <c r="CN1234" t="s">
        <v>45</v>
      </c>
      <c r="CO1234">
        <v>-601</v>
      </c>
      <c r="CP1234">
        <v>42022221</v>
      </c>
      <c r="CQ1234" s="73">
        <v>45354.571782407409</v>
      </c>
      <c r="CR1234" t="s">
        <v>229</v>
      </c>
      <c r="CS1234" t="s">
        <v>46</v>
      </c>
      <c r="CU1234" t="s">
        <v>225</v>
      </c>
    </row>
    <row r="1235" spans="1:99">
      <c r="A1235" t="s">
        <v>93</v>
      </c>
      <c r="B1235" t="s">
        <v>98</v>
      </c>
      <c r="J1235" t="s">
        <v>225</v>
      </c>
      <c r="K1235" t="s">
        <v>225</v>
      </c>
      <c r="M1235" s="73">
        <v>45354.571782407409</v>
      </c>
      <c r="N1235">
        <v>42022220</v>
      </c>
      <c r="O1235">
        <v>-30</v>
      </c>
      <c r="P1235" t="s">
        <v>73</v>
      </c>
      <c r="Q1235">
        <v>-30</v>
      </c>
      <c r="R1235" t="s">
        <v>73</v>
      </c>
      <c r="U1235" t="s">
        <v>226</v>
      </c>
      <c r="V1235" t="s">
        <v>247</v>
      </c>
      <c r="W1235" t="s">
        <v>228</v>
      </c>
      <c r="X1235" t="s">
        <v>229</v>
      </c>
      <c r="Y1235" t="s">
        <v>93</v>
      </c>
      <c r="AD1235" t="s">
        <v>73</v>
      </c>
      <c r="AE1235">
        <v>-30</v>
      </c>
      <c r="AF1235">
        <v>42022220</v>
      </c>
      <c r="AG1235" s="73">
        <v>45354.571782407409</v>
      </c>
      <c r="AH1235" t="s">
        <v>226</v>
      </c>
      <c r="AI1235" t="s">
        <v>247</v>
      </c>
      <c r="AJ1235" t="s">
        <v>228</v>
      </c>
      <c r="AK1235" t="s">
        <v>229</v>
      </c>
      <c r="AL1235" t="s">
        <v>93</v>
      </c>
      <c r="AP1235" t="s">
        <v>230</v>
      </c>
      <c r="AQ1235" t="s">
        <v>231</v>
      </c>
      <c r="AT1235" t="s">
        <v>232</v>
      </c>
      <c r="AU1235">
        <v>-99</v>
      </c>
      <c r="AV1235" t="s">
        <v>73</v>
      </c>
      <c r="AW1235">
        <v>-30</v>
      </c>
      <c r="AX1235">
        <v>42022220</v>
      </c>
      <c r="AY1235" s="73">
        <v>45354.571782407409</v>
      </c>
      <c r="AZ1235" t="s">
        <v>226</v>
      </c>
      <c r="BA1235" t="s">
        <v>247</v>
      </c>
      <c r="BB1235" t="s">
        <v>228</v>
      </c>
      <c r="BC1235" t="s">
        <v>229</v>
      </c>
      <c r="BD1235" t="s">
        <v>93</v>
      </c>
      <c r="BI1235" t="s">
        <v>233</v>
      </c>
      <c r="BJ1235" t="s">
        <v>0</v>
      </c>
      <c r="BK1235">
        <v>42022189</v>
      </c>
      <c r="BN1235" t="s">
        <v>73</v>
      </c>
      <c r="BR1235">
        <v>-30</v>
      </c>
      <c r="BS1235">
        <v>42022220</v>
      </c>
      <c r="BT1235" s="73">
        <v>45354.571782407409</v>
      </c>
      <c r="BU1235" t="s">
        <v>226</v>
      </c>
      <c r="BV1235" t="s">
        <v>247</v>
      </c>
      <c r="BW1235" t="s">
        <v>228</v>
      </c>
      <c r="CH1235" t="s">
        <v>229</v>
      </c>
      <c r="CI1235" t="s">
        <v>93</v>
      </c>
      <c r="CJ1235" t="s">
        <v>226</v>
      </c>
      <c r="CK1235" t="s">
        <v>247</v>
      </c>
      <c r="CL1235" t="s">
        <v>228</v>
      </c>
      <c r="CM1235" t="s">
        <v>234</v>
      </c>
      <c r="CN1235" t="s">
        <v>73</v>
      </c>
      <c r="CO1235">
        <v>-30</v>
      </c>
      <c r="CP1235">
        <v>42022220</v>
      </c>
      <c r="CQ1235" s="73">
        <v>45354.571782407409</v>
      </c>
      <c r="CR1235" t="s">
        <v>229</v>
      </c>
      <c r="CS1235" t="s">
        <v>93</v>
      </c>
      <c r="CU1235" t="s">
        <v>225</v>
      </c>
    </row>
    <row r="1236" spans="1:99">
      <c r="A1236" t="s">
        <v>108</v>
      </c>
      <c r="B1236" t="s">
        <v>98</v>
      </c>
      <c r="J1236" t="s">
        <v>225</v>
      </c>
      <c r="K1236" t="s">
        <v>225</v>
      </c>
      <c r="M1236" s="73">
        <v>45354.571782407409</v>
      </c>
      <c r="N1236">
        <v>42022219</v>
      </c>
      <c r="O1236">
        <v>600</v>
      </c>
      <c r="P1236" t="s">
        <v>104</v>
      </c>
      <c r="Q1236">
        <v>600</v>
      </c>
      <c r="R1236" t="s">
        <v>104</v>
      </c>
      <c r="S1236">
        <v>30</v>
      </c>
      <c r="T1236" t="s">
        <v>73</v>
      </c>
      <c r="U1236" t="s">
        <v>226</v>
      </c>
      <c r="V1236" t="s">
        <v>247</v>
      </c>
      <c r="W1236" t="s">
        <v>235</v>
      </c>
      <c r="X1236" t="s">
        <v>229</v>
      </c>
      <c r="Y1236" t="s">
        <v>108</v>
      </c>
      <c r="AD1236" t="s">
        <v>104</v>
      </c>
      <c r="AE1236">
        <v>600</v>
      </c>
      <c r="AF1236">
        <v>42022219</v>
      </c>
      <c r="AG1236" s="73">
        <v>45354.571782407409</v>
      </c>
      <c r="AH1236" t="s">
        <v>226</v>
      </c>
      <c r="AI1236" t="s">
        <v>247</v>
      </c>
      <c r="AJ1236" t="s">
        <v>235</v>
      </c>
      <c r="AK1236" t="s">
        <v>229</v>
      </c>
      <c r="AL1236" t="s">
        <v>108</v>
      </c>
      <c r="AP1236" t="s">
        <v>230</v>
      </c>
      <c r="AQ1236" t="s">
        <v>231</v>
      </c>
      <c r="AT1236" t="s">
        <v>232</v>
      </c>
      <c r="AU1236">
        <v>-99</v>
      </c>
      <c r="AV1236" t="s">
        <v>104</v>
      </c>
      <c r="AW1236">
        <v>600</v>
      </c>
      <c r="AX1236">
        <v>42022219</v>
      </c>
      <c r="AY1236" s="73">
        <v>45354.571782407409</v>
      </c>
      <c r="AZ1236" t="s">
        <v>226</v>
      </c>
      <c r="BA1236" t="s">
        <v>247</v>
      </c>
      <c r="BB1236" t="s">
        <v>235</v>
      </c>
      <c r="BC1236" t="s">
        <v>229</v>
      </c>
      <c r="BD1236" t="s">
        <v>108</v>
      </c>
      <c r="BI1236" t="s">
        <v>233</v>
      </c>
      <c r="BJ1236" t="s">
        <v>0</v>
      </c>
      <c r="BK1236">
        <v>42022189</v>
      </c>
      <c r="BN1236" t="s">
        <v>104</v>
      </c>
      <c r="BO1236">
        <v>42022208</v>
      </c>
      <c r="BR1236">
        <v>600</v>
      </c>
      <c r="BS1236">
        <v>42022219</v>
      </c>
      <c r="BT1236" s="73">
        <v>45354.571782407409</v>
      </c>
      <c r="BU1236" t="s">
        <v>226</v>
      </c>
      <c r="BV1236" t="s">
        <v>247</v>
      </c>
      <c r="BW1236" t="s">
        <v>235</v>
      </c>
      <c r="CH1236" t="s">
        <v>229</v>
      </c>
      <c r="CI1236" t="s">
        <v>108</v>
      </c>
      <c r="CJ1236" t="s">
        <v>226</v>
      </c>
      <c r="CK1236" t="s">
        <v>247</v>
      </c>
      <c r="CL1236" t="s">
        <v>235</v>
      </c>
      <c r="CM1236" t="s">
        <v>236</v>
      </c>
      <c r="CN1236" t="s">
        <v>104</v>
      </c>
      <c r="CO1236">
        <v>600</v>
      </c>
      <c r="CP1236">
        <v>42022219</v>
      </c>
      <c r="CQ1236" s="73">
        <v>45354.571782407409</v>
      </c>
      <c r="CR1236" t="s">
        <v>229</v>
      </c>
      <c r="CS1236" t="s">
        <v>108</v>
      </c>
      <c r="CU1236" t="s">
        <v>225</v>
      </c>
    </row>
    <row r="1237" spans="1:99">
      <c r="A1237" t="s">
        <v>111</v>
      </c>
      <c r="B1237" t="s">
        <v>77</v>
      </c>
      <c r="J1237" t="s">
        <v>225</v>
      </c>
      <c r="K1237" t="s">
        <v>225</v>
      </c>
      <c r="M1237" s="73">
        <v>45354.571782407409</v>
      </c>
      <c r="N1237">
        <v>42022218</v>
      </c>
      <c r="O1237">
        <v>1</v>
      </c>
      <c r="P1237" t="s">
        <v>45</v>
      </c>
      <c r="Q1237">
        <v>1</v>
      </c>
      <c r="R1237" t="s">
        <v>45</v>
      </c>
      <c r="U1237" t="s">
        <v>226</v>
      </c>
      <c r="V1237" t="s">
        <v>247</v>
      </c>
      <c r="W1237" t="s">
        <v>237</v>
      </c>
      <c r="X1237" t="s">
        <v>229</v>
      </c>
      <c r="Y1237" t="s">
        <v>111</v>
      </c>
      <c r="AD1237" t="s">
        <v>45</v>
      </c>
      <c r="AE1237">
        <v>1</v>
      </c>
      <c r="AF1237">
        <v>42022218</v>
      </c>
      <c r="AG1237" s="73">
        <v>45354.571782407409</v>
      </c>
      <c r="AH1237" t="s">
        <v>226</v>
      </c>
      <c r="AI1237" t="s">
        <v>247</v>
      </c>
      <c r="AJ1237" t="s">
        <v>237</v>
      </c>
      <c r="AK1237" t="s">
        <v>229</v>
      </c>
      <c r="AL1237" t="s">
        <v>111</v>
      </c>
      <c r="AP1237" t="s">
        <v>230</v>
      </c>
      <c r="AQ1237" t="s">
        <v>231</v>
      </c>
      <c r="AT1237" t="s">
        <v>232</v>
      </c>
      <c r="AU1237">
        <v>-99</v>
      </c>
      <c r="AV1237" t="s">
        <v>45</v>
      </c>
      <c r="AW1237">
        <v>1</v>
      </c>
      <c r="AX1237">
        <v>42022218</v>
      </c>
      <c r="AY1237" s="73">
        <v>45354.571782407409</v>
      </c>
      <c r="AZ1237" t="s">
        <v>226</v>
      </c>
      <c r="BA1237" t="s">
        <v>247</v>
      </c>
      <c r="BB1237" t="s">
        <v>237</v>
      </c>
      <c r="BC1237" t="s">
        <v>229</v>
      </c>
      <c r="BD1237" t="s">
        <v>111</v>
      </c>
      <c r="BI1237" t="s">
        <v>233</v>
      </c>
      <c r="BJ1237" t="s">
        <v>0</v>
      </c>
      <c r="BK1237">
        <v>42022189</v>
      </c>
      <c r="BN1237" t="s">
        <v>45</v>
      </c>
      <c r="BO1237">
        <v>42022210</v>
      </c>
      <c r="BR1237">
        <v>1</v>
      </c>
      <c r="BS1237">
        <v>42022218</v>
      </c>
      <c r="BT1237" s="73">
        <v>45354.571782407409</v>
      </c>
      <c r="BU1237" t="s">
        <v>226</v>
      </c>
      <c r="BV1237" t="s">
        <v>247</v>
      </c>
      <c r="BW1237" t="s">
        <v>237</v>
      </c>
      <c r="CH1237" t="s">
        <v>229</v>
      </c>
      <c r="CI1237" t="s">
        <v>111</v>
      </c>
      <c r="CJ1237" t="s">
        <v>226</v>
      </c>
      <c r="CK1237" t="s">
        <v>247</v>
      </c>
      <c r="CL1237" t="s">
        <v>237</v>
      </c>
      <c r="CM1237" t="s">
        <v>236</v>
      </c>
      <c r="CN1237" t="s">
        <v>45</v>
      </c>
      <c r="CO1237">
        <v>1</v>
      </c>
      <c r="CP1237">
        <v>42022218</v>
      </c>
      <c r="CQ1237" s="73">
        <v>45354.571782407409</v>
      </c>
      <c r="CR1237" t="s">
        <v>229</v>
      </c>
      <c r="CS1237" t="s">
        <v>111</v>
      </c>
      <c r="CU1237" t="s">
        <v>225</v>
      </c>
    </row>
    <row r="1238" spans="1:99">
      <c r="A1238" t="s">
        <v>46</v>
      </c>
      <c r="B1238" t="s">
        <v>92</v>
      </c>
      <c r="J1238" t="s">
        <v>225</v>
      </c>
      <c r="K1238" t="s">
        <v>225</v>
      </c>
      <c r="M1238" s="73">
        <v>45353.936805555553</v>
      </c>
      <c r="N1238">
        <v>42017502</v>
      </c>
      <c r="O1238">
        <v>-200</v>
      </c>
      <c r="P1238" t="s">
        <v>45</v>
      </c>
      <c r="Q1238">
        <v>-200</v>
      </c>
      <c r="R1238" t="s">
        <v>45</v>
      </c>
      <c r="U1238" t="s">
        <v>226</v>
      </c>
      <c r="V1238" t="s">
        <v>248</v>
      </c>
      <c r="W1238" t="s">
        <v>228</v>
      </c>
      <c r="X1238" t="s">
        <v>229</v>
      </c>
      <c r="Y1238" t="s">
        <v>46</v>
      </c>
      <c r="AD1238" t="s">
        <v>45</v>
      </c>
      <c r="AE1238">
        <v>-200</v>
      </c>
      <c r="AF1238">
        <v>42017502</v>
      </c>
      <c r="AG1238" s="73">
        <v>45353.936805555553</v>
      </c>
      <c r="AH1238" t="s">
        <v>226</v>
      </c>
      <c r="AI1238" t="s">
        <v>248</v>
      </c>
      <c r="AJ1238" t="s">
        <v>228</v>
      </c>
      <c r="AK1238" t="s">
        <v>229</v>
      </c>
      <c r="AL1238" t="s">
        <v>46</v>
      </c>
      <c r="AP1238" t="s">
        <v>230</v>
      </c>
      <c r="AQ1238" t="s">
        <v>231</v>
      </c>
      <c r="AT1238" t="s">
        <v>232</v>
      </c>
      <c r="AU1238">
        <v>-99</v>
      </c>
      <c r="AV1238" t="s">
        <v>45</v>
      </c>
      <c r="AW1238">
        <v>-200</v>
      </c>
      <c r="AX1238">
        <v>42017502</v>
      </c>
      <c r="AY1238" s="73">
        <v>45353.936805555553</v>
      </c>
      <c r="AZ1238" t="s">
        <v>226</v>
      </c>
      <c r="BA1238" t="s">
        <v>248</v>
      </c>
      <c r="BB1238" t="s">
        <v>228</v>
      </c>
      <c r="BC1238" t="s">
        <v>229</v>
      </c>
      <c r="BD1238" t="s">
        <v>46</v>
      </c>
      <c r="BI1238" t="s">
        <v>233</v>
      </c>
      <c r="BJ1238" t="s">
        <v>0</v>
      </c>
      <c r="BK1238">
        <v>42017490</v>
      </c>
      <c r="BN1238" t="s">
        <v>45</v>
      </c>
      <c r="BR1238">
        <v>-200</v>
      </c>
      <c r="BS1238">
        <v>42017502</v>
      </c>
      <c r="BT1238" s="73">
        <v>45353.936805555553</v>
      </c>
      <c r="BU1238" t="s">
        <v>226</v>
      </c>
      <c r="BV1238" t="s">
        <v>248</v>
      </c>
      <c r="BW1238" t="s">
        <v>228</v>
      </c>
      <c r="CH1238" t="s">
        <v>229</v>
      </c>
      <c r="CI1238" t="s">
        <v>46</v>
      </c>
      <c r="CJ1238" t="s">
        <v>226</v>
      </c>
      <c r="CK1238" t="s">
        <v>248</v>
      </c>
      <c r="CL1238" t="s">
        <v>228</v>
      </c>
      <c r="CM1238" t="s">
        <v>234</v>
      </c>
      <c r="CN1238" t="s">
        <v>45</v>
      </c>
      <c r="CO1238">
        <v>-200</v>
      </c>
      <c r="CP1238">
        <v>42017502</v>
      </c>
      <c r="CQ1238" s="73">
        <v>45353.936805555553</v>
      </c>
      <c r="CR1238" t="s">
        <v>229</v>
      </c>
      <c r="CS1238" t="s">
        <v>46</v>
      </c>
      <c r="CU1238" t="s">
        <v>225</v>
      </c>
    </row>
    <row r="1239" spans="1:99">
      <c r="A1239" t="s">
        <v>93</v>
      </c>
      <c r="B1239" t="s">
        <v>98</v>
      </c>
      <c r="J1239" t="s">
        <v>225</v>
      </c>
      <c r="K1239" t="s">
        <v>225</v>
      </c>
      <c r="M1239" s="73">
        <v>45353.936805555553</v>
      </c>
      <c r="N1239">
        <v>42017501</v>
      </c>
      <c r="O1239">
        <v>-10</v>
      </c>
      <c r="P1239" t="s">
        <v>73</v>
      </c>
      <c r="Q1239">
        <v>-10</v>
      </c>
      <c r="R1239" t="s">
        <v>73</v>
      </c>
      <c r="U1239" t="s">
        <v>226</v>
      </c>
      <c r="V1239" t="s">
        <v>248</v>
      </c>
      <c r="W1239" t="s">
        <v>228</v>
      </c>
      <c r="X1239" t="s">
        <v>229</v>
      </c>
      <c r="Y1239" t="s">
        <v>93</v>
      </c>
      <c r="AD1239" t="s">
        <v>73</v>
      </c>
      <c r="AE1239">
        <v>-10</v>
      </c>
      <c r="AF1239">
        <v>42017501</v>
      </c>
      <c r="AG1239" s="73">
        <v>45353.936805555553</v>
      </c>
      <c r="AH1239" t="s">
        <v>226</v>
      </c>
      <c r="AI1239" t="s">
        <v>248</v>
      </c>
      <c r="AJ1239" t="s">
        <v>228</v>
      </c>
      <c r="AK1239" t="s">
        <v>229</v>
      </c>
      <c r="AL1239" t="s">
        <v>93</v>
      </c>
      <c r="AP1239" t="s">
        <v>230</v>
      </c>
      <c r="AQ1239" t="s">
        <v>231</v>
      </c>
      <c r="AT1239" t="s">
        <v>232</v>
      </c>
      <c r="AU1239">
        <v>-99</v>
      </c>
      <c r="AV1239" t="s">
        <v>73</v>
      </c>
      <c r="AW1239">
        <v>-10</v>
      </c>
      <c r="AX1239">
        <v>42017501</v>
      </c>
      <c r="AY1239" s="73">
        <v>45353.936805555553</v>
      </c>
      <c r="AZ1239" t="s">
        <v>226</v>
      </c>
      <c r="BA1239" t="s">
        <v>248</v>
      </c>
      <c r="BB1239" t="s">
        <v>228</v>
      </c>
      <c r="BC1239" t="s">
        <v>229</v>
      </c>
      <c r="BD1239" t="s">
        <v>93</v>
      </c>
      <c r="BI1239" t="s">
        <v>233</v>
      </c>
      <c r="BJ1239" t="s">
        <v>0</v>
      </c>
      <c r="BK1239">
        <v>42017490</v>
      </c>
      <c r="BN1239" t="s">
        <v>73</v>
      </c>
      <c r="BR1239">
        <v>-10</v>
      </c>
      <c r="BS1239">
        <v>42017501</v>
      </c>
      <c r="BT1239" s="73">
        <v>45353.936805555553</v>
      </c>
      <c r="BU1239" t="s">
        <v>226</v>
      </c>
      <c r="BV1239" t="s">
        <v>248</v>
      </c>
      <c r="BW1239" t="s">
        <v>228</v>
      </c>
      <c r="CH1239" t="s">
        <v>229</v>
      </c>
      <c r="CI1239" t="s">
        <v>93</v>
      </c>
      <c r="CJ1239" t="s">
        <v>226</v>
      </c>
      <c r="CK1239" t="s">
        <v>248</v>
      </c>
      <c r="CL1239" t="s">
        <v>228</v>
      </c>
      <c r="CM1239" t="s">
        <v>234</v>
      </c>
      <c r="CN1239" t="s">
        <v>73</v>
      </c>
      <c r="CO1239">
        <v>-10</v>
      </c>
      <c r="CP1239">
        <v>42017501</v>
      </c>
      <c r="CQ1239" s="73">
        <v>45353.936805555553</v>
      </c>
      <c r="CR1239" t="s">
        <v>229</v>
      </c>
      <c r="CS1239" t="s">
        <v>93</v>
      </c>
      <c r="CU1239" t="s">
        <v>225</v>
      </c>
    </row>
    <row r="1240" spans="1:99">
      <c r="A1240" t="s">
        <v>108</v>
      </c>
      <c r="B1240" t="s">
        <v>98</v>
      </c>
      <c r="J1240" t="s">
        <v>225</v>
      </c>
      <c r="K1240" t="s">
        <v>225</v>
      </c>
      <c r="M1240" s="73">
        <v>45353.936805555553</v>
      </c>
      <c r="N1240">
        <v>42017500</v>
      </c>
      <c r="O1240">
        <v>200</v>
      </c>
      <c r="P1240" t="s">
        <v>104</v>
      </c>
      <c r="Q1240">
        <v>200</v>
      </c>
      <c r="R1240" t="s">
        <v>104</v>
      </c>
      <c r="S1240">
        <v>10</v>
      </c>
      <c r="T1240" t="s">
        <v>73</v>
      </c>
      <c r="U1240" t="s">
        <v>226</v>
      </c>
      <c r="V1240" t="s">
        <v>248</v>
      </c>
      <c r="W1240" t="s">
        <v>235</v>
      </c>
      <c r="X1240" t="s">
        <v>229</v>
      </c>
      <c r="Y1240" t="s">
        <v>108</v>
      </c>
      <c r="AD1240" t="s">
        <v>104</v>
      </c>
      <c r="AE1240">
        <v>200</v>
      </c>
      <c r="AF1240">
        <v>42017500</v>
      </c>
      <c r="AG1240" s="73">
        <v>45353.936805555553</v>
      </c>
      <c r="AH1240" t="s">
        <v>226</v>
      </c>
      <c r="AI1240" t="s">
        <v>248</v>
      </c>
      <c r="AJ1240" t="s">
        <v>235</v>
      </c>
      <c r="AK1240" t="s">
        <v>229</v>
      </c>
      <c r="AL1240" t="s">
        <v>108</v>
      </c>
      <c r="AP1240" t="s">
        <v>230</v>
      </c>
      <c r="AQ1240" t="s">
        <v>231</v>
      </c>
      <c r="AT1240" t="s">
        <v>232</v>
      </c>
      <c r="AU1240">
        <v>-99</v>
      </c>
      <c r="AV1240" t="s">
        <v>104</v>
      </c>
      <c r="AW1240">
        <v>200</v>
      </c>
      <c r="AX1240">
        <v>42017500</v>
      </c>
      <c r="AY1240" s="73">
        <v>45353.936805555553</v>
      </c>
      <c r="AZ1240" t="s">
        <v>226</v>
      </c>
      <c r="BA1240" t="s">
        <v>248</v>
      </c>
      <c r="BB1240" t="s">
        <v>235</v>
      </c>
      <c r="BC1240" t="s">
        <v>229</v>
      </c>
      <c r="BD1240" t="s">
        <v>108</v>
      </c>
      <c r="BI1240" t="s">
        <v>233</v>
      </c>
      <c r="BJ1240" t="s">
        <v>0</v>
      </c>
      <c r="BK1240">
        <v>42017490</v>
      </c>
      <c r="BN1240" t="s">
        <v>104</v>
      </c>
      <c r="BO1240">
        <v>42017496</v>
      </c>
      <c r="BR1240">
        <v>200</v>
      </c>
      <c r="BS1240">
        <v>42017500</v>
      </c>
      <c r="BT1240" s="73">
        <v>45353.936805555553</v>
      </c>
      <c r="BU1240" t="s">
        <v>226</v>
      </c>
      <c r="BV1240" t="s">
        <v>248</v>
      </c>
      <c r="BW1240" t="s">
        <v>235</v>
      </c>
      <c r="CH1240" t="s">
        <v>229</v>
      </c>
      <c r="CI1240" t="s">
        <v>108</v>
      </c>
      <c r="CJ1240" t="s">
        <v>226</v>
      </c>
      <c r="CK1240" t="s">
        <v>248</v>
      </c>
      <c r="CL1240" t="s">
        <v>235</v>
      </c>
      <c r="CM1240" t="s">
        <v>236</v>
      </c>
      <c r="CN1240" t="s">
        <v>104</v>
      </c>
      <c r="CO1240">
        <v>200</v>
      </c>
      <c r="CP1240">
        <v>42017500</v>
      </c>
      <c r="CQ1240" s="73">
        <v>45353.936805555553</v>
      </c>
      <c r="CR1240" t="s">
        <v>229</v>
      </c>
      <c r="CS1240" t="s">
        <v>108</v>
      </c>
      <c r="CU1240" t="s">
        <v>225</v>
      </c>
    </row>
    <row r="1241" spans="1:99">
      <c r="A1241" t="s">
        <v>52</v>
      </c>
      <c r="B1241" t="s">
        <v>92</v>
      </c>
      <c r="J1241" t="s">
        <v>225</v>
      </c>
      <c r="K1241" t="s">
        <v>225</v>
      </c>
      <c r="M1241" s="73">
        <v>45353.935416666667</v>
      </c>
      <c r="N1241">
        <v>42017488</v>
      </c>
      <c r="O1241">
        <v>-1900</v>
      </c>
      <c r="P1241" t="s">
        <v>45</v>
      </c>
      <c r="Q1241">
        <v>-1900</v>
      </c>
      <c r="R1241" t="s">
        <v>45</v>
      </c>
      <c r="U1241" t="s">
        <v>226</v>
      </c>
      <c r="V1241" t="s">
        <v>249</v>
      </c>
      <c r="W1241" t="s">
        <v>228</v>
      </c>
      <c r="X1241" t="s">
        <v>229</v>
      </c>
      <c r="Y1241" t="s">
        <v>52</v>
      </c>
      <c r="AD1241" t="s">
        <v>45</v>
      </c>
      <c r="AE1241">
        <v>-1900</v>
      </c>
      <c r="AF1241">
        <v>42017488</v>
      </c>
      <c r="AG1241" s="73">
        <v>45353.935416666667</v>
      </c>
      <c r="AH1241" t="s">
        <v>226</v>
      </c>
      <c r="AI1241" t="s">
        <v>249</v>
      </c>
      <c r="AJ1241" t="s">
        <v>228</v>
      </c>
      <c r="AK1241" t="s">
        <v>229</v>
      </c>
      <c r="AL1241" t="s">
        <v>52</v>
      </c>
      <c r="AP1241" t="s">
        <v>230</v>
      </c>
      <c r="AQ1241" t="s">
        <v>231</v>
      </c>
      <c r="AT1241" t="s">
        <v>232</v>
      </c>
      <c r="AU1241">
        <v>-99</v>
      </c>
      <c r="AV1241" t="s">
        <v>45</v>
      </c>
      <c r="AW1241">
        <v>-1900</v>
      </c>
      <c r="AX1241">
        <v>42017488</v>
      </c>
      <c r="AY1241" s="73">
        <v>45353.935416666667</v>
      </c>
      <c r="AZ1241" t="s">
        <v>226</v>
      </c>
      <c r="BA1241" t="s">
        <v>249</v>
      </c>
      <c r="BB1241" t="s">
        <v>228</v>
      </c>
      <c r="BC1241" t="s">
        <v>229</v>
      </c>
      <c r="BD1241" t="s">
        <v>52</v>
      </c>
      <c r="BI1241" t="s">
        <v>233</v>
      </c>
      <c r="BJ1241" t="s">
        <v>0</v>
      </c>
      <c r="BK1241">
        <v>42017476</v>
      </c>
      <c r="BN1241" t="s">
        <v>45</v>
      </c>
      <c r="BR1241">
        <v>-1900</v>
      </c>
      <c r="BS1241">
        <v>42017488</v>
      </c>
      <c r="BT1241" s="73">
        <v>45353.935416666667</v>
      </c>
      <c r="BU1241" t="s">
        <v>226</v>
      </c>
      <c r="BV1241" t="s">
        <v>249</v>
      </c>
      <c r="BW1241" t="s">
        <v>228</v>
      </c>
      <c r="CH1241" t="s">
        <v>229</v>
      </c>
      <c r="CI1241" t="s">
        <v>52</v>
      </c>
      <c r="CJ1241" t="s">
        <v>226</v>
      </c>
      <c r="CK1241" t="s">
        <v>249</v>
      </c>
      <c r="CL1241" t="s">
        <v>228</v>
      </c>
      <c r="CM1241" t="s">
        <v>234</v>
      </c>
      <c r="CN1241" t="s">
        <v>45</v>
      </c>
      <c r="CO1241">
        <v>-1900</v>
      </c>
      <c r="CP1241">
        <v>42017488</v>
      </c>
      <c r="CQ1241" s="73">
        <v>45353.935416666667</v>
      </c>
      <c r="CR1241" t="s">
        <v>229</v>
      </c>
      <c r="CS1241" t="s">
        <v>52</v>
      </c>
      <c r="CU1241" t="s">
        <v>225</v>
      </c>
    </row>
    <row r="1242" spans="1:99">
      <c r="A1242" t="s">
        <v>101</v>
      </c>
      <c r="B1242" t="s">
        <v>98</v>
      </c>
      <c r="J1242" t="s">
        <v>225</v>
      </c>
      <c r="K1242" t="s">
        <v>225</v>
      </c>
      <c r="M1242" s="73">
        <v>45353.935416666667</v>
      </c>
      <c r="N1242">
        <v>42017487</v>
      </c>
      <c r="O1242">
        <v>-95</v>
      </c>
      <c r="P1242" t="s">
        <v>73</v>
      </c>
      <c r="Q1242">
        <v>-95</v>
      </c>
      <c r="R1242" t="s">
        <v>73</v>
      </c>
      <c r="U1242" t="s">
        <v>226</v>
      </c>
      <c r="V1242" t="s">
        <v>249</v>
      </c>
      <c r="W1242" t="s">
        <v>228</v>
      </c>
      <c r="X1242" t="s">
        <v>229</v>
      </c>
      <c r="Y1242" t="s">
        <v>101</v>
      </c>
      <c r="AD1242" t="s">
        <v>73</v>
      </c>
      <c r="AE1242">
        <v>-95</v>
      </c>
      <c r="AF1242">
        <v>42017487</v>
      </c>
      <c r="AG1242" s="73">
        <v>45353.935416666667</v>
      </c>
      <c r="AH1242" t="s">
        <v>226</v>
      </c>
      <c r="AI1242" t="s">
        <v>249</v>
      </c>
      <c r="AJ1242" t="s">
        <v>228</v>
      </c>
      <c r="AK1242" t="s">
        <v>229</v>
      </c>
      <c r="AL1242" t="s">
        <v>101</v>
      </c>
      <c r="AP1242" t="s">
        <v>230</v>
      </c>
      <c r="AQ1242" t="s">
        <v>231</v>
      </c>
      <c r="AT1242" t="s">
        <v>232</v>
      </c>
      <c r="AU1242">
        <v>-99</v>
      </c>
      <c r="AV1242" t="s">
        <v>73</v>
      </c>
      <c r="AW1242">
        <v>-95</v>
      </c>
      <c r="AX1242">
        <v>42017487</v>
      </c>
      <c r="AY1242" s="73">
        <v>45353.935416666667</v>
      </c>
      <c r="AZ1242" t="s">
        <v>226</v>
      </c>
      <c r="BA1242" t="s">
        <v>249</v>
      </c>
      <c r="BB1242" t="s">
        <v>228</v>
      </c>
      <c r="BC1242" t="s">
        <v>229</v>
      </c>
      <c r="BD1242" t="s">
        <v>101</v>
      </c>
      <c r="BI1242" t="s">
        <v>233</v>
      </c>
      <c r="BJ1242" t="s">
        <v>0</v>
      </c>
      <c r="BK1242">
        <v>42017476</v>
      </c>
      <c r="BN1242" t="s">
        <v>73</v>
      </c>
      <c r="BR1242">
        <v>-95</v>
      </c>
      <c r="BS1242">
        <v>42017487</v>
      </c>
      <c r="BT1242" s="73">
        <v>45353.935416666667</v>
      </c>
      <c r="BU1242" t="s">
        <v>226</v>
      </c>
      <c r="BV1242" t="s">
        <v>249</v>
      </c>
      <c r="BW1242" t="s">
        <v>228</v>
      </c>
      <c r="CH1242" t="s">
        <v>229</v>
      </c>
      <c r="CI1242" t="s">
        <v>101</v>
      </c>
      <c r="CJ1242" t="s">
        <v>226</v>
      </c>
      <c r="CK1242" t="s">
        <v>249</v>
      </c>
      <c r="CL1242" t="s">
        <v>228</v>
      </c>
      <c r="CM1242" t="s">
        <v>234</v>
      </c>
      <c r="CN1242" t="s">
        <v>73</v>
      </c>
      <c r="CO1242">
        <v>-95</v>
      </c>
      <c r="CP1242">
        <v>42017487</v>
      </c>
      <c r="CQ1242" s="73">
        <v>45353.935416666667</v>
      </c>
      <c r="CR1242" t="s">
        <v>229</v>
      </c>
      <c r="CS1242" t="s">
        <v>101</v>
      </c>
      <c r="CU1242" t="s">
        <v>225</v>
      </c>
    </row>
    <row r="1243" spans="1:99">
      <c r="A1243" t="s">
        <v>107</v>
      </c>
      <c r="B1243" t="s">
        <v>98</v>
      </c>
      <c r="J1243" t="s">
        <v>225</v>
      </c>
      <c r="K1243" t="s">
        <v>225</v>
      </c>
      <c r="M1243" s="73">
        <v>45353.935416666667</v>
      </c>
      <c r="N1243">
        <v>42017486</v>
      </c>
      <c r="O1243">
        <v>1900</v>
      </c>
      <c r="P1243" t="s">
        <v>104</v>
      </c>
      <c r="Q1243">
        <v>1900</v>
      </c>
      <c r="R1243" t="s">
        <v>104</v>
      </c>
      <c r="S1243">
        <v>95</v>
      </c>
      <c r="T1243" t="s">
        <v>73</v>
      </c>
      <c r="U1243" t="s">
        <v>226</v>
      </c>
      <c r="V1243" t="s">
        <v>249</v>
      </c>
      <c r="W1243" t="s">
        <v>235</v>
      </c>
      <c r="X1243" t="s">
        <v>229</v>
      </c>
      <c r="Y1243" t="s">
        <v>107</v>
      </c>
      <c r="AD1243" t="s">
        <v>104</v>
      </c>
      <c r="AE1243">
        <v>1900</v>
      </c>
      <c r="AF1243">
        <v>42017486</v>
      </c>
      <c r="AG1243" s="73">
        <v>45353.935416666667</v>
      </c>
      <c r="AH1243" t="s">
        <v>226</v>
      </c>
      <c r="AI1243" t="s">
        <v>249</v>
      </c>
      <c r="AJ1243" t="s">
        <v>235</v>
      </c>
      <c r="AK1243" t="s">
        <v>229</v>
      </c>
      <c r="AL1243" t="s">
        <v>107</v>
      </c>
      <c r="AP1243" t="s">
        <v>230</v>
      </c>
      <c r="AQ1243" t="s">
        <v>231</v>
      </c>
      <c r="AT1243" t="s">
        <v>232</v>
      </c>
      <c r="AU1243">
        <v>-99</v>
      </c>
      <c r="AV1243" t="s">
        <v>104</v>
      </c>
      <c r="AW1243">
        <v>1900</v>
      </c>
      <c r="AX1243">
        <v>42017486</v>
      </c>
      <c r="AY1243" s="73">
        <v>45353.935416666667</v>
      </c>
      <c r="AZ1243" t="s">
        <v>226</v>
      </c>
      <c r="BA1243" t="s">
        <v>249</v>
      </c>
      <c r="BB1243" t="s">
        <v>235</v>
      </c>
      <c r="BC1243" t="s">
        <v>229</v>
      </c>
      <c r="BD1243" t="s">
        <v>107</v>
      </c>
      <c r="BI1243" t="s">
        <v>233</v>
      </c>
      <c r="BJ1243" t="s">
        <v>0</v>
      </c>
      <c r="BK1243">
        <v>42017476</v>
      </c>
      <c r="BN1243" t="s">
        <v>104</v>
      </c>
      <c r="BO1243">
        <v>42017482</v>
      </c>
      <c r="BR1243">
        <v>1900</v>
      </c>
      <c r="BS1243">
        <v>42017486</v>
      </c>
      <c r="BT1243" s="73">
        <v>45353.935416666667</v>
      </c>
      <c r="BU1243" t="s">
        <v>226</v>
      </c>
      <c r="BV1243" t="s">
        <v>249</v>
      </c>
      <c r="BW1243" t="s">
        <v>235</v>
      </c>
      <c r="CH1243" t="s">
        <v>229</v>
      </c>
      <c r="CI1243" t="s">
        <v>107</v>
      </c>
      <c r="CJ1243" t="s">
        <v>226</v>
      </c>
      <c r="CK1243" t="s">
        <v>249</v>
      </c>
      <c r="CL1243" t="s">
        <v>235</v>
      </c>
      <c r="CM1243" t="s">
        <v>236</v>
      </c>
      <c r="CN1243" t="s">
        <v>104</v>
      </c>
      <c r="CO1243">
        <v>1900</v>
      </c>
      <c r="CP1243">
        <v>42017486</v>
      </c>
      <c r="CQ1243" s="73">
        <v>45353.935416666667</v>
      </c>
      <c r="CR1243" t="s">
        <v>229</v>
      </c>
      <c r="CS1243" t="s">
        <v>107</v>
      </c>
      <c r="CU1243" t="s">
        <v>225</v>
      </c>
    </row>
    <row r="1244" spans="1:99">
      <c r="A1244" t="s">
        <v>42</v>
      </c>
      <c r="B1244" t="s">
        <v>92</v>
      </c>
      <c r="J1244" t="s">
        <v>225</v>
      </c>
      <c r="K1244" t="s">
        <v>225</v>
      </c>
      <c r="M1244" s="73">
        <v>45353.934027777781</v>
      </c>
      <c r="N1244">
        <v>42017534</v>
      </c>
      <c r="O1244">
        <v>-1605</v>
      </c>
      <c r="P1244" t="s">
        <v>45</v>
      </c>
      <c r="Q1244">
        <v>-1605</v>
      </c>
      <c r="R1244" t="s">
        <v>45</v>
      </c>
      <c r="U1244" t="s">
        <v>226</v>
      </c>
      <c r="V1244" t="s">
        <v>250</v>
      </c>
      <c r="W1244" t="s">
        <v>228</v>
      </c>
      <c r="X1244" t="s">
        <v>229</v>
      </c>
      <c r="Y1244" t="s">
        <v>42</v>
      </c>
      <c r="AD1244" t="s">
        <v>45</v>
      </c>
      <c r="AE1244">
        <v>-1605</v>
      </c>
      <c r="AF1244">
        <v>42017534</v>
      </c>
      <c r="AG1244" s="73">
        <v>45353.934027777781</v>
      </c>
      <c r="AH1244" t="s">
        <v>226</v>
      </c>
      <c r="AI1244" t="s">
        <v>250</v>
      </c>
      <c r="AJ1244" t="s">
        <v>228</v>
      </c>
      <c r="AK1244" t="s">
        <v>229</v>
      </c>
      <c r="AL1244" t="s">
        <v>42</v>
      </c>
      <c r="AP1244" t="s">
        <v>230</v>
      </c>
      <c r="AQ1244" t="s">
        <v>231</v>
      </c>
      <c r="AT1244" t="s">
        <v>232</v>
      </c>
      <c r="AU1244">
        <v>-99</v>
      </c>
      <c r="AV1244" t="s">
        <v>45</v>
      </c>
      <c r="AW1244">
        <v>-1605</v>
      </c>
      <c r="AX1244">
        <v>42017534</v>
      </c>
      <c r="AY1244" s="73">
        <v>45353.934027777781</v>
      </c>
      <c r="AZ1244" t="s">
        <v>226</v>
      </c>
      <c r="BA1244" t="s">
        <v>250</v>
      </c>
      <c r="BB1244" t="s">
        <v>228</v>
      </c>
      <c r="BC1244" t="s">
        <v>229</v>
      </c>
      <c r="BD1244" t="s">
        <v>42</v>
      </c>
      <c r="BI1244" t="s">
        <v>233</v>
      </c>
      <c r="BJ1244" t="s">
        <v>0</v>
      </c>
      <c r="BK1244">
        <v>42017522</v>
      </c>
      <c r="BN1244" t="s">
        <v>45</v>
      </c>
      <c r="BR1244">
        <v>-1605</v>
      </c>
      <c r="BS1244">
        <v>42017534</v>
      </c>
      <c r="BT1244" s="73">
        <v>45353.934027777781</v>
      </c>
      <c r="BU1244" t="s">
        <v>226</v>
      </c>
      <c r="BV1244" t="s">
        <v>250</v>
      </c>
      <c r="BW1244" t="s">
        <v>228</v>
      </c>
      <c r="CH1244" t="s">
        <v>229</v>
      </c>
      <c r="CI1244" t="s">
        <v>42</v>
      </c>
      <c r="CJ1244" t="s">
        <v>226</v>
      </c>
      <c r="CK1244" t="s">
        <v>250</v>
      </c>
      <c r="CL1244" t="s">
        <v>228</v>
      </c>
      <c r="CM1244" t="s">
        <v>234</v>
      </c>
      <c r="CN1244" t="s">
        <v>45</v>
      </c>
      <c r="CO1244">
        <v>-1605</v>
      </c>
      <c r="CP1244">
        <v>42017534</v>
      </c>
      <c r="CQ1244" s="73">
        <v>45353.934027777781</v>
      </c>
      <c r="CR1244" t="s">
        <v>229</v>
      </c>
      <c r="CS1244" t="s">
        <v>42</v>
      </c>
      <c r="CU1244" t="s">
        <v>225</v>
      </c>
    </row>
    <row r="1245" spans="1:99">
      <c r="A1245" t="s">
        <v>42</v>
      </c>
      <c r="B1245" t="s">
        <v>92</v>
      </c>
      <c r="J1245" t="s">
        <v>225</v>
      </c>
      <c r="K1245" t="s">
        <v>225</v>
      </c>
      <c r="M1245" s="73">
        <v>45353.934027777781</v>
      </c>
      <c r="N1245">
        <v>42017533</v>
      </c>
      <c r="O1245">
        <v>1600</v>
      </c>
      <c r="P1245" t="s">
        <v>45</v>
      </c>
      <c r="Q1245">
        <v>1600</v>
      </c>
      <c r="R1245" t="s">
        <v>45</v>
      </c>
      <c r="U1245" t="s">
        <v>226</v>
      </c>
      <c r="V1245" t="s">
        <v>250</v>
      </c>
      <c r="W1245" t="s">
        <v>251</v>
      </c>
      <c r="X1245" t="s">
        <v>229</v>
      </c>
      <c r="Y1245" t="s">
        <v>42</v>
      </c>
      <c r="AD1245" t="s">
        <v>45</v>
      </c>
      <c r="AE1245">
        <v>1600</v>
      </c>
      <c r="AF1245">
        <v>42017533</v>
      </c>
      <c r="AG1245" s="73">
        <v>45353.934027777781</v>
      </c>
      <c r="AH1245" t="s">
        <v>226</v>
      </c>
      <c r="AI1245" t="s">
        <v>250</v>
      </c>
      <c r="AJ1245" t="s">
        <v>251</v>
      </c>
      <c r="AK1245" t="s">
        <v>229</v>
      </c>
      <c r="AL1245" t="s">
        <v>42</v>
      </c>
      <c r="AP1245" t="s">
        <v>230</v>
      </c>
      <c r="AQ1245" t="s">
        <v>231</v>
      </c>
      <c r="AT1245" t="s">
        <v>232</v>
      </c>
      <c r="AU1245">
        <v>42017473</v>
      </c>
      <c r="AV1245" t="s">
        <v>45</v>
      </c>
      <c r="AW1245">
        <v>1600</v>
      </c>
      <c r="AX1245">
        <v>42017533</v>
      </c>
      <c r="AY1245" s="73">
        <v>45353.934027777781</v>
      </c>
      <c r="AZ1245" t="s">
        <v>226</v>
      </c>
      <c r="BA1245" t="s">
        <v>250</v>
      </c>
      <c r="BB1245" t="s">
        <v>251</v>
      </c>
      <c r="BC1245" t="s">
        <v>229</v>
      </c>
      <c r="BD1245" t="s">
        <v>42</v>
      </c>
      <c r="BI1245" t="s">
        <v>233</v>
      </c>
      <c r="BJ1245" t="s">
        <v>0</v>
      </c>
      <c r="BK1245">
        <v>42017522</v>
      </c>
      <c r="BN1245" t="s">
        <v>45</v>
      </c>
      <c r="BR1245">
        <v>1600</v>
      </c>
      <c r="BS1245">
        <v>42017533</v>
      </c>
      <c r="BT1245" s="73">
        <v>45353.934027777781</v>
      </c>
      <c r="BU1245" t="s">
        <v>226</v>
      </c>
      <c r="BV1245" t="s">
        <v>250</v>
      </c>
      <c r="BW1245" t="s">
        <v>251</v>
      </c>
      <c r="CH1245" t="s">
        <v>229</v>
      </c>
      <c r="CI1245" t="s">
        <v>42</v>
      </c>
      <c r="CJ1245" t="s">
        <v>226</v>
      </c>
      <c r="CK1245" t="s">
        <v>250</v>
      </c>
      <c r="CL1245" t="s">
        <v>251</v>
      </c>
      <c r="CM1245" t="s">
        <v>252</v>
      </c>
      <c r="CN1245" t="s">
        <v>45</v>
      </c>
      <c r="CO1245">
        <v>1600</v>
      </c>
      <c r="CP1245">
        <v>42017533</v>
      </c>
      <c r="CQ1245" s="73">
        <v>45353.934027777781</v>
      </c>
      <c r="CR1245" t="s">
        <v>229</v>
      </c>
      <c r="CS1245" t="s">
        <v>42</v>
      </c>
      <c r="CU1245" t="s">
        <v>225</v>
      </c>
    </row>
    <row r="1246" spans="1:99">
      <c r="A1246" t="s">
        <v>111</v>
      </c>
      <c r="B1246" t="s">
        <v>77</v>
      </c>
      <c r="J1246" t="s">
        <v>225</v>
      </c>
      <c r="K1246" t="s">
        <v>225</v>
      </c>
      <c r="M1246" s="73">
        <v>45353.934027777781</v>
      </c>
      <c r="N1246">
        <v>42017532</v>
      </c>
      <c r="O1246">
        <v>5</v>
      </c>
      <c r="P1246" t="s">
        <v>45</v>
      </c>
      <c r="Q1246">
        <v>5</v>
      </c>
      <c r="R1246" t="s">
        <v>45</v>
      </c>
      <c r="U1246" t="s">
        <v>226</v>
      </c>
      <c r="V1246" t="s">
        <v>250</v>
      </c>
      <c r="W1246" t="s">
        <v>237</v>
      </c>
      <c r="X1246" t="s">
        <v>229</v>
      </c>
      <c r="Y1246" t="s">
        <v>111</v>
      </c>
      <c r="AD1246" t="s">
        <v>45</v>
      </c>
      <c r="AE1246">
        <v>5</v>
      </c>
      <c r="AF1246">
        <v>42017532</v>
      </c>
      <c r="AG1246" s="73">
        <v>45353.934027777781</v>
      </c>
      <c r="AH1246" t="s">
        <v>226</v>
      </c>
      <c r="AI1246" t="s">
        <v>250</v>
      </c>
      <c r="AJ1246" t="s">
        <v>237</v>
      </c>
      <c r="AK1246" t="s">
        <v>229</v>
      </c>
      <c r="AL1246" t="s">
        <v>111</v>
      </c>
      <c r="AP1246" t="s">
        <v>230</v>
      </c>
      <c r="AQ1246" t="s">
        <v>231</v>
      </c>
      <c r="AT1246" t="s">
        <v>232</v>
      </c>
      <c r="AU1246">
        <v>-99</v>
      </c>
      <c r="AV1246" t="s">
        <v>45</v>
      </c>
      <c r="AW1246">
        <v>5</v>
      </c>
      <c r="AX1246">
        <v>42017532</v>
      </c>
      <c r="AY1246" s="73">
        <v>45353.934027777781</v>
      </c>
      <c r="AZ1246" t="s">
        <v>226</v>
      </c>
      <c r="BA1246" t="s">
        <v>250</v>
      </c>
      <c r="BB1246" t="s">
        <v>237</v>
      </c>
      <c r="BC1246" t="s">
        <v>229</v>
      </c>
      <c r="BD1246" t="s">
        <v>111</v>
      </c>
      <c r="BI1246" t="s">
        <v>233</v>
      </c>
      <c r="BJ1246" t="s">
        <v>0</v>
      </c>
      <c r="BK1246">
        <v>42017522</v>
      </c>
      <c r="BN1246" t="s">
        <v>45</v>
      </c>
      <c r="BO1246">
        <v>42017528</v>
      </c>
      <c r="BR1246">
        <v>5</v>
      </c>
      <c r="BS1246">
        <v>42017532</v>
      </c>
      <c r="BT1246" s="73">
        <v>45353.934027777781</v>
      </c>
      <c r="BU1246" t="s">
        <v>226</v>
      </c>
      <c r="BV1246" t="s">
        <v>250</v>
      </c>
      <c r="BW1246" t="s">
        <v>237</v>
      </c>
      <c r="CH1246" t="s">
        <v>229</v>
      </c>
      <c r="CI1246" t="s">
        <v>111</v>
      </c>
      <c r="CJ1246" t="s">
        <v>226</v>
      </c>
      <c r="CK1246" t="s">
        <v>250</v>
      </c>
      <c r="CL1246" t="s">
        <v>237</v>
      </c>
      <c r="CM1246" t="s">
        <v>236</v>
      </c>
      <c r="CN1246" t="s">
        <v>45</v>
      </c>
      <c r="CO1246">
        <v>5</v>
      </c>
      <c r="CP1246">
        <v>42017532</v>
      </c>
      <c r="CQ1246" s="73">
        <v>45353.934027777781</v>
      </c>
      <c r="CR1246" t="s">
        <v>229</v>
      </c>
      <c r="CS1246" t="s">
        <v>111</v>
      </c>
      <c r="CU1246" t="s">
        <v>225</v>
      </c>
    </row>
    <row r="1247" spans="1:99">
      <c r="A1247" t="s">
        <v>42</v>
      </c>
      <c r="B1247" t="s">
        <v>92</v>
      </c>
      <c r="J1247" t="s">
        <v>225</v>
      </c>
      <c r="K1247" t="s">
        <v>225</v>
      </c>
      <c r="M1247" s="73">
        <v>45353.934027777781</v>
      </c>
      <c r="N1247">
        <v>42017473</v>
      </c>
      <c r="O1247">
        <v>-1600</v>
      </c>
      <c r="P1247" t="s">
        <v>45</v>
      </c>
      <c r="Q1247">
        <v>-1600</v>
      </c>
      <c r="R1247" t="s">
        <v>45</v>
      </c>
      <c r="U1247" t="s">
        <v>226</v>
      </c>
      <c r="V1247" t="s">
        <v>250</v>
      </c>
      <c r="W1247" t="s">
        <v>228</v>
      </c>
      <c r="X1247" t="s">
        <v>229</v>
      </c>
      <c r="Y1247" t="s">
        <v>42</v>
      </c>
      <c r="AD1247" t="s">
        <v>45</v>
      </c>
      <c r="AE1247">
        <v>-1600</v>
      </c>
      <c r="AF1247">
        <v>42017473</v>
      </c>
      <c r="AG1247" s="73">
        <v>45353.934027777781</v>
      </c>
      <c r="AH1247" t="s">
        <v>226</v>
      </c>
      <c r="AI1247" t="s">
        <v>250</v>
      </c>
      <c r="AJ1247" t="s">
        <v>228</v>
      </c>
      <c r="AK1247" t="s">
        <v>229</v>
      </c>
      <c r="AL1247" t="s">
        <v>42</v>
      </c>
      <c r="AP1247" t="s">
        <v>230</v>
      </c>
      <c r="AQ1247" t="s">
        <v>231</v>
      </c>
      <c r="AT1247" t="s">
        <v>232</v>
      </c>
      <c r="AU1247">
        <v>-99</v>
      </c>
      <c r="AV1247" t="s">
        <v>45</v>
      </c>
      <c r="AW1247">
        <v>-1600</v>
      </c>
      <c r="AX1247">
        <v>42017473</v>
      </c>
      <c r="AY1247" s="73">
        <v>45353.934027777781</v>
      </c>
      <c r="AZ1247" t="s">
        <v>226</v>
      </c>
      <c r="BA1247" t="s">
        <v>250</v>
      </c>
      <c r="BB1247" t="s">
        <v>228</v>
      </c>
      <c r="BC1247" t="s">
        <v>229</v>
      </c>
      <c r="BD1247" t="s">
        <v>42</v>
      </c>
      <c r="BI1247" t="s">
        <v>233</v>
      </c>
      <c r="BJ1247" t="s">
        <v>0</v>
      </c>
      <c r="BK1247">
        <v>42017461</v>
      </c>
      <c r="BN1247" t="s">
        <v>45</v>
      </c>
      <c r="BR1247">
        <v>-1600</v>
      </c>
      <c r="BS1247">
        <v>42017473</v>
      </c>
      <c r="BT1247" s="73">
        <v>45353.934027777781</v>
      </c>
      <c r="BU1247" t="s">
        <v>226</v>
      </c>
      <c r="BV1247" t="s">
        <v>250</v>
      </c>
      <c r="BW1247" t="s">
        <v>228</v>
      </c>
      <c r="CH1247" t="s">
        <v>229</v>
      </c>
      <c r="CI1247" t="s">
        <v>42</v>
      </c>
      <c r="CJ1247" t="s">
        <v>226</v>
      </c>
      <c r="CK1247" t="s">
        <v>250</v>
      </c>
      <c r="CL1247" t="s">
        <v>228</v>
      </c>
      <c r="CM1247" t="s">
        <v>234</v>
      </c>
      <c r="CN1247" t="s">
        <v>45</v>
      </c>
      <c r="CO1247">
        <v>-1600</v>
      </c>
      <c r="CP1247">
        <v>42017473</v>
      </c>
      <c r="CQ1247" s="73">
        <v>45353.934027777781</v>
      </c>
      <c r="CR1247" t="s">
        <v>229</v>
      </c>
      <c r="CS1247" t="s">
        <v>42</v>
      </c>
      <c r="CU1247" t="s">
        <v>225</v>
      </c>
    </row>
    <row r="1248" spans="1:99">
      <c r="A1248" t="s">
        <v>99</v>
      </c>
      <c r="B1248" t="s">
        <v>98</v>
      </c>
      <c r="J1248" t="s">
        <v>225</v>
      </c>
      <c r="K1248" t="s">
        <v>225</v>
      </c>
      <c r="M1248" s="73">
        <v>45353.934027777781</v>
      </c>
      <c r="N1248">
        <v>42017472</v>
      </c>
      <c r="O1248">
        <v>-80</v>
      </c>
      <c r="P1248" t="s">
        <v>73</v>
      </c>
      <c r="Q1248">
        <v>-80</v>
      </c>
      <c r="R1248" t="s">
        <v>73</v>
      </c>
      <c r="U1248" t="s">
        <v>226</v>
      </c>
      <c r="V1248" t="s">
        <v>250</v>
      </c>
      <c r="W1248" t="s">
        <v>228</v>
      </c>
      <c r="X1248" t="s">
        <v>229</v>
      </c>
      <c r="Y1248" t="s">
        <v>99</v>
      </c>
      <c r="AD1248" t="s">
        <v>73</v>
      </c>
      <c r="AE1248">
        <v>-80</v>
      </c>
      <c r="AF1248">
        <v>42017472</v>
      </c>
      <c r="AG1248" s="73">
        <v>45353.934027777781</v>
      </c>
      <c r="AH1248" t="s">
        <v>226</v>
      </c>
      <c r="AI1248" t="s">
        <v>250</v>
      </c>
      <c r="AJ1248" t="s">
        <v>228</v>
      </c>
      <c r="AK1248" t="s">
        <v>229</v>
      </c>
      <c r="AL1248" t="s">
        <v>99</v>
      </c>
      <c r="AP1248" t="s">
        <v>230</v>
      </c>
      <c r="AQ1248" t="s">
        <v>231</v>
      </c>
      <c r="AT1248" t="s">
        <v>232</v>
      </c>
      <c r="AU1248">
        <v>-99</v>
      </c>
      <c r="AV1248" t="s">
        <v>73</v>
      </c>
      <c r="AW1248">
        <v>-80</v>
      </c>
      <c r="AX1248">
        <v>42017472</v>
      </c>
      <c r="AY1248" s="73">
        <v>45353.934027777781</v>
      </c>
      <c r="AZ1248" t="s">
        <v>226</v>
      </c>
      <c r="BA1248" t="s">
        <v>250</v>
      </c>
      <c r="BB1248" t="s">
        <v>228</v>
      </c>
      <c r="BC1248" t="s">
        <v>229</v>
      </c>
      <c r="BD1248" t="s">
        <v>99</v>
      </c>
      <c r="BI1248" t="s">
        <v>233</v>
      </c>
      <c r="BJ1248" t="s">
        <v>0</v>
      </c>
      <c r="BK1248">
        <v>42017461</v>
      </c>
      <c r="BN1248" t="s">
        <v>73</v>
      </c>
      <c r="BR1248">
        <v>-80</v>
      </c>
      <c r="BS1248">
        <v>42017472</v>
      </c>
      <c r="BT1248" s="73">
        <v>45353.934027777781</v>
      </c>
      <c r="BU1248" t="s">
        <v>226</v>
      </c>
      <c r="BV1248" t="s">
        <v>250</v>
      </c>
      <c r="BW1248" t="s">
        <v>228</v>
      </c>
      <c r="CH1248" t="s">
        <v>229</v>
      </c>
      <c r="CI1248" t="s">
        <v>99</v>
      </c>
      <c r="CJ1248" t="s">
        <v>226</v>
      </c>
      <c r="CK1248" t="s">
        <v>250</v>
      </c>
      <c r="CL1248" t="s">
        <v>228</v>
      </c>
      <c r="CM1248" t="s">
        <v>234</v>
      </c>
      <c r="CN1248" t="s">
        <v>73</v>
      </c>
      <c r="CO1248">
        <v>-80</v>
      </c>
      <c r="CP1248">
        <v>42017472</v>
      </c>
      <c r="CQ1248" s="73">
        <v>45353.934027777781</v>
      </c>
      <c r="CR1248" t="s">
        <v>229</v>
      </c>
      <c r="CS1248" t="s">
        <v>99</v>
      </c>
      <c r="CU1248" t="s">
        <v>225</v>
      </c>
    </row>
    <row r="1249" spans="1:99">
      <c r="A1249" t="s">
        <v>103</v>
      </c>
      <c r="B1249" t="s">
        <v>98</v>
      </c>
      <c r="J1249" t="s">
        <v>225</v>
      </c>
      <c r="K1249" t="s">
        <v>225</v>
      </c>
      <c r="M1249" s="73">
        <v>45353.934027777781</v>
      </c>
      <c r="N1249">
        <v>42017471</v>
      </c>
      <c r="O1249">
        <v>1600</v>
      </c>
      <c r="P1249" t="s">
        <v>104</v>
      </c>
      <c r="Q1249">
        <v>1600</v>
      </c>
      <c r="R1249" t="s">
        <v>104</v>
      </c>
      <c r="S1249">
        <v>80</v>
      </c>
      <c r="T1249" t="s">
        <v>73</v>
      </c>
      <c r="U1249" t="s">
        <v>226</v>
      </c>
      <c r="V1249" t="s">
        <v>250</v>
      </c>
      <c r="W1249" t="s">
        <v>235</v>
      </c>
      <c r="X1249" t="s">
        <v>229</v>
      </c>
      <c r="Y1249" t="s">
        <v>103</v>
      </c>
      <c r="AD1249" t="s">
        <v>104</v>
      </c>
      <c r="AE1249">
        <v>1600</v>
      </c>
      <c r="AF1249">
        <v>42017471</v>
      </c>
      <c r="AG1249" s="73">
        <v>45353.934027777781</v>
      </c>
      <c r="AH1249" t="s">
        <v>226</v>
      </c>
      <c r="AI1249" t="s">
        <v>250</v>
      </c>
      <c r="AJ1249" t="s">
        <v>235</v>
      </c>
      <c r="AK1249" t="s">
        <v>229</v>
      </c>
      <c r="AL1249" t="s">
        <v>103</v>
      </c>
      <c r="AP1249" t="s">
        <v>230</v>
      </c>
      <c r="AQ1249" t="s">
        <v>231</v>
      </c>
      <c r="AT1249" t="s">
        <v>232</v>
      </c>
      <c r="AU1249">
        <v>-99</v>
      </c>
      <c r="AV1249" t="s">
        <v>104</v>
      </c>
      <c r="AW1249">
        <v>1600</v>
      </c>
      <c r="AX1249">
        <v>42017471</v>
      </c>
      <c r="AY1249" s="73">
        <v>45353.934027777781</v>
      </c>
      <c r="AZ1249" t="s">
        <v>226</v>
      </c>
      <c r="BA1249" t="s">
        <v>250</v>
      </c>
      <c r="BB1249" t="s">
        <v>235</v>
      </c>
      <c r="BC1249" t="s">
        <v>229</v>
      </c>
      <c r="BD1249" t="s">
        <v>103</v>
      </c>
      <c r="BI1249" t="s">
        <v>233</v>
      </c>
      <c r="BJ1249" t="s">
        <v>0</v>
      </c>
      <c r="BK1249">
        <v>42017461</v>
      </c>
      <c r="BN1249" t="s">
        <v>104</v>
      </c>
      <c r="BO1249">
        <v>42017467</v>
      </c>
      <c r="BR1249">
        <v>1600</v>
      </c>
      <c r="BS1249">
        <v>42017471</v>
      </c>
      <c r="BT1249" s="73">
        <v>45353.934027777781</v>
      </c>
      <c r="BU1249" t="s">
        <v>226</v>
      </c>
      <c r="BV1249" t="s">
        <v>250</v>
      </c>
      <c r="BW1249" t="s">
        <v>235</v>
      </c>
      <c r="CH1249" t="s">
        <v>229</v>
      </c>
      <c r="CI1249" t="s">
        <v>103</v>
      </c>
      <c r="CJ1249" t="s">
        <v>226</v>
      </c>
      <c r="CK1249" t="s">
        <v>250</v>
      </c>
      <c r="CL1249" t="s">
        <v>235</v>
      </c>
      <c r="CM1249" t="s">
        <v>236</v>
      </c>
      <c r="CN1249" t="s">
        <v>104</v>
      </c>
      <c r="CO1249">
        <v>1600</v>
      </c>
      <c r="CP1249">
        <v>42017471</v>
      </c>
      <c r="CQ1249" s="73">
        <v>45353.934027777781</v>
      </c>
      <c r="CR1249" t="s">
        <v>229</v>
      </c>
      <c r="CS1249" t="s">
        <v>103</v>
      </c>
      <c r="CU1249" t="s">
        <v>225</v>
      </c>
    </row>
    <row r="1250" spans="1:99">
      <c r="A1250" t="s">
        <v>42</v>
      </c>
      <c r="B1250" t="s">
        <v>92</v>
      </c>
      <c r="J1250" t="s">
        <v>225</v>
      </c>
      <c r="K1250" t="s">
        <v>225</v>
      </c>
      <c r="M1250" s="73">
        <v>45353.916666666664</v>
      </c>
      <c r="N1250">
        <v>42017520</v>
      </c>
      <c r="O1250">
        <v>-3303</v>
      </c>
      <c r="P1250" t="s">
        <v>45</v>
      </c>
      <c r="Q1250">
        <v>-3303</v>
      </c>
      <c r="R1250" t="s">
        <v>45</v>
      </c>
      <c r="U1250" t="s">
        <v>226</v>
      </c>
      <c r="V1250" t="s">
        <v>253</v>
      </c>
      <c r="W1250" t="s">
        <v>228</v>
      </c>
      <c r="X1250" t="s">
        <v>229</v>
      </c>
      <c r="Y1250" t="s">
        <v>42</v>
      </c>
      <c r="AD1250" t="s">
        <v>45</v>
      </c>
      <c r="AE1250">
        <v>-3303</v>
      </c>
      <c r="AF1250">
        <v>42017520</v>
      </c>
      <c r="AG1250" s="73">
        <v>45353.916666666664</v>
      </c>
      <c r="AH1250" t="s">
        <v>226</v>
      </c>
      <c r="AI1250" t="s">
        <v>253</v>
      </c>
      <c r="AJ1250" t="s">
        <v>228</v>
      </c>
      <c r="AK1250" t="s">
        <v>229</v>
      </c>
      <c r="AL1250" t="s">
        <v>42</v>
      </c>
      <c r="AP1250" t="s">
        <v>230</v>
      </c>
      <c r="AQ1250" t="s">
        <v>231</v>
      </c>
      <c r="AT1250" t="s">
        <v>232</v>
      </c>
      <c r="AU1250">
        <v>-99</v>
      </c>
      <c r="AV1250" t="s">
        <v>45</v>
      </c>
      <c r="AW1250">
        <v>-3303</v>
      </c>
      <c r="AX1250">
        <v>42017520</v>
      </c>
      <c r="AY1250" s="73">
        <v>45353.916666666664</v>
      </c>
      <c r="AZ1250" t="s">
        <v>226</v>
      </c>
      <c r="BA1250" t="s">
        <v>253</v>
      </c>
      <c r="BB1250" t="s">
        <v>228</v>
      </c>
      <c r="BC1250" t="s">
        <v>229</v>
      </c>
      <c r="BD1250" t="s">
        <v>42</v>
      </c>
      <c r="BI1250" t="s">
        <v>233</v>
      </c>
      <c r="BJ1250" t="s">
        <v>0</v>
      </c>
      <c r="BK1250">
        <v>42017504</v>
      </c>
      <c r="BN1250" t="s">
        <v>45</v>
      </c>
      <c r="BR1250">
        <v>-3303</v>
      </c>
      <c r="BS1250">
        <v>42017520</v>
      </c>
      <c r="BT1250" s="73">
        <v>45353.916666666664</v>
      </c>
      <c r="BU1250" t="s">
        <v>226</v>
      </c>
      <c r="BV1250" t="s">
        <v>253</v>
      </c>
      <c r="BW1250" t="s">
        <v>228</v>
      </c>
      <c r="CH1250" t="s">
        <v>229</v>
      </c>
      <c r="CI1250" t="s">
        <v>42</v>
      </c>
      <c r="CJ1250" t="s">
        <v>226</v>
      </c>
      <c r="CK1250" t="s">
        <v>253</v>
      </c>
      <c r="CL1250" t="s">
        <v>228</v>
      </c>
      <c r="CM1250" t="s">
        <v>234</v>
      </c>
      <c r="CN1250" t="s">
        <v>45</v>
      </c>
      <c r="CO1250">
        <v>-3303</v>
      </c>
      <c r="CP1250">
        <v>42017520</v>
      </c>
      <c r="CQ1250" s="73">
        <v>45353.916666666664</v>
      </c>
      <c r="CR1250" t="s">
        <v>229</v>
      </c>
      <c r="CS1250" t="s">
        <v>42</v>
      </c>
      <c r="CU1250" t="s">
        <v>225</v>
      </c>
    </row>
    <row r="1251" spans="1:99">
      <c r="A1251" t="s">
        <v>99</v>
      </c>
      <c r="B1251" t="s">
        <v>98</v>
      </c>
      <c r="J1251" t="s">
        <v>225</v>
      </c>
      <c r="K1251" t="s">
        <v>225</v>
      </c>
      <c r="M1251" s="73">
        <v>45353.916666666664</v>
      </c>
      <c r="N1251">
        <v>42017519</v>
      </c>
      <c r="O1251">
        <v>-165</v>
      </c>
      <c r="P1251" t="s">
        <v>73</v>
      </c>
      <c r="Q1251">
        <v>-165</v>
      </c>
      <c r="R1251" t="s">
        <v>73</v>
      </c>
      <c r="U1251" t="s">
        <v>226</v>
      </c>
      <c r="V1251" t="s">
        <v>253</v>
      </c>
      <c r="W1251" t="s">
        <v>228</v>
      </c>
      <c r="X1251" t="s">
        <v>229</v>
      </c>
      <c r="Y1251" t="s">
        <v>99</v>
      </c>
      <c r="AD1251" t="s">
        <v>73</v>
      </c>
      <c r="AE1251">
        <v>-165</v>
      </c>
      <c r="AF1251">
        <v>42017519</v>
      </c>
      <c r="AG1251" s="73">
        <v>45353.916666666664</v>
      </c>
      <c r="AH1251" t="s">
        <v>226</v>
      </c>
      <c r="AI1251" t="s">
        <v>253</v>
      </c>
      <c r="AJ1251" t="s">
        <v>228</v>
      </c>
      <c r="AK1251" t="s">
        <v>229</v>
      </c>
      <c r="AL1251" t="s">
        <v>99</v>
      </c>
      <c r="AP1251" t="s">
        <v>230</v>
      </c>
      <c r="AQ1251" t="s">
        <v>231</v>
      </c>
      <c r="AT1251" t="s">
        <v>232</v>
      </c>
      <c r="AU1251">
        <v>-99</v>
      </c>
      <c r="AV1251" t="s">
        <v>73</v>
      </c>
      <c r="AW1251">
        <v>-165</v>
      </c>
      <c r="AX1251">
        <v>42017519</v>
      </c>
      <c r="AY1251" s="73">
        <v>45353.916666666664</v>
      </c>
      <c r="AZ1251" t="s">
        <v>226</v>
      </c>
      <c r="BA1251" t="s">
        <v>253</v>
      </c>
      <c r="BB1251" t="s">
        <v>228</v>
      </c>
      <c r="BC1251" t="s">
        <v>229</v>
      </c>
      <c r="BD1251" t="s">
        <v>99</v>
      </c>
      <c r="BI1251" t="s">
        <v>233</v>
      </c>
      <c r="BJ1251" t="s">
        <v>0</v>
      </c>
      <c r="BK1251">
        <v>42017504</v>
      </c>
      <c r="BN1251" t="s">
        <v>73</v>
      </c>
      <c r="BR1251">
        <v>-165</v>
      </c>
      <c r="BS1251">
        <v>42017519</v>
      </c>
      <c r="BT1251" s="73">
        <v>45353.916666666664</v>
      </c>
      <c r="BU1251" t="s">
        <v>226</v>
      </c>
      <c r="BV1251" t="s">
        <v>253</v>
      </c>
      <c r="BW1251" t="s">
        <v>228</v>
      </c>
      <c r="CH1251" t="s">
        <v>229</v>
      </c>
      <c r="CI1251" t="s">
        <v>99</v>
      </c>
      <c r="CJ1251" t="s">
        <v>226</v>
      </c>
      <c r="CK1251" t="s">
        <v>253</v>
      </c>
      <c r="CL1251" t="s">
        <v>228</v>
      </c>
      <c r="CM1251" t="s">
        <v>234</v>
      </c>
      <c r="CN1251" t="s">
        <v>73</v>
      </c>
      <c r="CO1251">
        <v>-165</v>
      </c>
      <c r="CP1251">
        <v>42017519</v>
      </c>
      <c r="CQ1251" s="73">
        <v>45353.916666666664</v>
      </c>
      <c r="CR1251" t="s">
        <v>229</v>
      </c>
      <c r="CS1251" t="s">
        <v>99</v>
      </c>
      <c r="CU1251" t="s">
        <v>225</v>
      </c>
    </row>
    <row r="1252" spans="1:99">
      <c r="A1252" t="s">
        <v>103</v>
      </c>
      <c r="B1252" t="s">
        <v>98</v>
      </c>
      <c r="J1252" t="s">
        <v>225</v>
      </c>
      <c r="K1252" t="s">
        <v>225</v>
      </c>
      <c r="M1252" s="73">
        <v>45353.916666666664</v>
      </c>
      <c r="N1252">
        <v>42017518</v>
      </c>
      <c r="O1252">
        <v>3300</v>
      </c>
      <c r="P1252" t="s">
        <v>104</v>
      </c>
      <c r="Q1252">
        <v>3300</v>
      </c>
      <c r="R1252" t="s">
        <v>104</v>
      </c>
      <c r="S1252">
        <v>165</v>
      </c>
      <c r="T1252" t="s">
        <v>73</v>
      </c>
      <c r="U1252" t="s">
        <v>226</v>
      </c>
      <c r="V1252" t="s">
        <v>253</v>
      </c>
      <c r="W1252" t="s">
        <v>235</v>
      </c>
      <c r="X1252" t="s">
        <v>229</v>
      </c>
      <c r="Y1252" t="s">
        <v>103</v>
      </c>
      <c r="AD1252" t="s">
        <v>104</v>
      </c>
      <c r="AE1252">
        <v>3300</v>
      </c>
      <c r="AF1252">
        <v>42017518</v>
      </c>
      <c r="AG1252" s="73">
        <v>45353.916666666664</v>
      </c>
      <c r="AH1252" t="s">
        <v>226</v>
      </c>
      <c r="AI1252" t="s">
        <v>253</v>
      </c>
      <c r="AJ1252" t="s">
        <v>235</v>
      </c>
      <c r="AK1252" t="s">
        <v>229</v>
      </c>
      <c r="AL1252" t="s">
        <v>103</v>
      </c>
      <c r="AP1252" t="s">
        <v>230</v>
      </c>
      <c r="AQ1252" t="s">
        <v>231</v>
      </c>
      <c r="AT1252" t="s">
        <v>232</v>
      </c>
      <c r="AU1252">
        <v>-99</v>
      </c>
      <c r="AV1252" t="s">
        <v>104</v>
      </c>
      <c r="AW1252">
        <v>3300</v>
      </c>
      <c r="AX1252">
        <v>42017518</v>
      </c>
      <c r="AY1252" s="73">
        <v>45353.916666666664</v>
      </c>
      <c r="AZ1252" t="s">
        <v>226</v>
      </c>
      <c r="BA1252" t="s">
        <v>253</v>
      </c>
      <c r="BB1252" t="s">
        <v>235</v>
      </c>
      <c r="BC1252" t="s">
        <v>229</v>
      </c>
      <c r="BD1252" t="s">
        <v>103</v>
      </c>
      <c r="BI1252" t="s">
        <v>233</v>
      </c>
      <c r="BJ1252" t="s">
        <v>0</v>
      </c>
      <c r="BK1252">
        <v>42017504</v>
      </c>
      <c r="BN1252" t="s">
        <v>104</v>
      </c>
      <c r="BO1252">
        <v>42017510</v>
      </c>
      <c r="BR1252">
        <v>3300</v>
      </c>
      <c r="BS1252">
        <v>42017518</v>
      </c>
      <c r="BT1252" s="73">
        <v>45353.916666666664</v>
      </c>
      <c r="BU1252" t="s">
        <v>226</v>
      </c>
      <c r="BV1252" t="s">
        <v>253</v>
      </c>
      <c r="BW1252" t="s">
        <v>235</v>
      </c>
      <c r="CH1252" t="s">
        <v>229</v>
      </c>
      <c r="CI1252" t="s">
        <v>103</v>
      </c>
      <c r="CJ1252" t="s">
        <v>226</v>
      </c>
      <c r="CK1252" t="s">
        <v>253</v>
      </c>
      <c r="CL1252" t="s">
        <v>235</v>
      </c>
      <c r="CM1252" t="s">
        <v>236</v>
      </c>
      <c r="CN1252" t="s">
        <v>104</v>
      </c>
      <c r="CO1252">
        <v>3300</v>
      </c>
      <c r="CP1252">
        <v>42017518</v>
      </c>
      <c r="CQ1252" s="73">
        <v>45353.916666666664</v>
      </c>
      <c r="CR1252" t="s">
        <v>229</v>
      </c>
      <c r="CS1252" t="s">
        <v>103</v>
      </c>
      <c r="CU1252" t="s">
        <v>225</v>
      </c>
    </row>
    <row r="1253" spans="1:99">
      <c r="A1253" t="s">
        <v>111</v>
      </c>
      <c r="B1253" t="s">
        <v>77</v>
      </c>
      <c r="J1253" t="s">
        <v>225</v>
      </c>
      <c r="K1253" t="s">
        <v>225</v>
      </c>
      <c r="M1253" s="73">
        <v>45353.916666666664</v>
      </c>
      <c r="N1253">
        <v>42017517</v>
      </c>
      <c r="O1253">
        <v>3</v>
      </c>
      <c r="P1253" t="s">
        <v>45</v>
      </c>
      <c r="Q1253">
        <v>3</v>
      </c>
      <c r="R1253" t="s">
        <v>45</v>
      </c>
      <c r="U1253" t="s">
        <v>226</v>
      </c>
      <c r="V1253" t="s">
        <v>253</v>
      </c>
      <c r="W1253" t="s">
        <v>237</v>
      </c>
      <c r="X1253" t="s">
        <v>229</v>
      </c>
      <c r="Y1253" t="s">
        <v>111</v>
      </c>
      <c r="AD1253" t="s">
        <v>45</v>
      </c>
      <c r="AE1253">
        <v>3</v>
      </c>
      <c r="AF1253">
        <v>42017517</v>
      </c>
      <c r="AG1253" s="73">
        <v>45353.916666666664</v>
      </c>
      <c r="AH1253" t="s">
        <v>226</v>
      </c>
      <c r="AI1253" t="s">
        <v>253</v>
      </c>
      <c r="AJ1253" t="s">
        <v>237</v>
      </c>
      <c r="AK1253" t="s">
        <v>229</v>
      </c>
      <c r="AL1253" t="s">
        <v>111</v>
      </c>
      <c r="AP1253" t="s">
        <v>230</v>
      </c>
      <c r="AQ1253" t="s">
        <v>231</v>
      </c>
      <c r="AT1253" t="s">
        <v>232</v>
      </c>
      <c r="AU1253">
        <v>-99</v>
      </c>
      <c r="AV1253" t="s">
        <v>45</v>
      </c>
      <c r="AW1253">
        <v>3</v>
      </c>
      <c r="AX1253">
        <v>42017517</v>
      </c>
      <c r="AY1253" s="73">
        <v>45353.916666666664</v>
      </c>
      <c r="AZ1253" t="s">
        <v>226</v>
      </c>
      <c r="BA1253" t="s">
        <v>253</v>
      </c>
      <c r="BB1253" t="s">
        <v>237</v>
      </c>
      <c r="BC1253" t="s">
        <v>229</v>
      </c>
      <c r="BD1253" t="s">
        <v>111</v>
      </c>
      <c r="BI1253" t="s">
        <v>233</v>
      </c>
      <c r="BJ1253" t="s">
        <v>0</v>
      </c>
      <c r="BK1253">
        <v>42017504</v>
      </c>
      <c r="BN1253" t="s">
        <v>45</v>
      </c>
      <c r="BO1253">
        <v>42017512</v>
      </c>
      <c r="BR1253">
        <v>3</v>
      </c>
      <c r="BS1253">
        <v>42017517</v>
      </c>
      <c r="BT1253" s="73">
        <v>45353.916666666664</v>
      </c>
      <c r="BU1253" t="s">
        <v>226</v>
      </c>
      <c r="BV1253" t="s">
        <v>253</v>
      </c>
      <c r="BW1253" t="s">
        <v>237</v>
      </c>
      <c r="CH1253" t="s">
        <v>229</v>
      </c>
      <c r="CI1253" t="s">
        <v>111</v>
      </c>
      <c r="CJ1253" t="s">
        <v>226</v>
      </c>
      <c r="CK1253" t="s">
        <v>253</v>
      </c>
      <c r="CL1253" t="s">
        <v>237</v>
      </c>
      <c r="CM1253" t="s">
        <v>236</v>
      </c>
      <c r="CN1253" t="s">
        <v>45</v>
      </c>
      <c r="CO1253">
        <v>3</v>
      </c>
      <c r="CP1253">
        <v>42017517</v>
      </c>
      <c r="CQ1253" s="73">
        <v>45353.916666666664</v>
      </c>
      <c r="CR1253" t="s">
        <v>229</v>
      </c>
      <c r="CS1253" t="s">
        <v>111</v>
      </c>
      <c r="CU1253" t="s">
        <v>225</v>
      </c>
    </row>
    <row r="1254" spans="1:99">
      <c r="A1254" t="s">
        <v>42</v>
      </c>
      <c r="B1254" t="s">
        <v>92</v>
      </c>
      <c r="J1254" t="s">
        <v>225</v>
      </c>
      <c r="K1254" t="s">
        <v>225</v>
      </c>
      <c r="M1254" s="73">
        <v>45353.914317129631</v>
      </c>
      <c r="N1254">
        <v>42014062</v>
      </c>
      <c r="O1254">
        <v>-2200</v>
      </c>
      <c r="P1254" t="s">
        <v>45</v>
      </c>
      <c r="Q1254">
        <v>-2200</v>
      </c>
      <c r="R1254" t="s">
        <v>45</v>
      </c>
      <c r="U1254" t="s">
        <v>226</v>
      </c>
      <c r="V1254" t="s">
        <v>254</v>
      </c>
      <c r="W1254" t="s">
        <v>228</v>
      </c>
      <c r="X1254" t="s">
        <v>229</v>
      </c>
      <c r="Y1254" t="s">
        <v>42</v>
      </c>
      <c r="AD1254" t="s">
        <v>45</v>
      </c>
      <c r="AE1254">
        <v>-2200</v>
      </c>
      <c r="AF1254">
        <v>42014062</v>
      </c>
      <c r="AG1254" s="73">
        <v>45353.914317129631</v>
      </c>
      <c r="AH1254" t="s">
        <v>226</v>
      </c>
      <c r="AI1254" t="s">
        <v>254</v>
      </c>
      <c r="AJ1254" t="s">
        <v>228</v>
      </c>
      <c r="AK1254" t="s">
        <v>229</v>
      </c>
      <c r="AL1254" t="s">
        <v>42</v>
      </c>
      <c r="AP1254" t="s">
        <v>230</v>
      </c>
      <c r="AQ1254" t="s">
        <v>231</v>
      </c>
      <c r="AT1254" t="s">
        <v>232</v>
      </c>
      <c r="AU1254">
        <v>-99</v>
      </c>
      <c r="AV1254" t="s">
        <v>45</v>
      </c>
      <c r="AW1254">
        <v>-2200</v>
      </c>
      <c r="AX1254">
        <v>42014062</v>
      </c>
      <c r="AY1254" s="73">
        <v>45353.914317129631</v>
      </c>
      <c r="AZ1254" t="s">
        <v>226</v>
      </c>
      <c r="BA1254" t="s">
        <v>254</v>
      </c>
      <c r="BB1254" t="s">
        <v>228</v>
      </c>
      <c r="BC1254" t="s">
        <v>229</v>
      </c>
      <c r="BD1254" t="s">
        <v>42</v>
      </c>
      <c r="BI1254" t="s">
        <v>233</v>
      </c>
      <c r="BJ1254" t="s">
        <v>0</v>
      </c>
      <c r="BK1254">
        <v>42014050</v>
      </c>
      <c r="BN1254" t="s">
        <v>45</v>
      </c>
      <c r="BR1254">
        <v>-2200</v>
      </c>
      <c r="BS1254">
        <v>42014062</v>
      </c>
      <c r="BT1254" s="73">
        <v>45353.914317129631</v>
      </c>
      <c r="BU1254" t="s">
        <v>226</v>
      </c>
      <c r="BV1254" t="s">
        <v>254</v>
      </c>
      <c r="BW1254" t="s">
        <v>228</v>
      </c>
      <c r="CH1254" t="s">
        <v>229</v>
      </c>
      <c r="CI1254" t="s">
        <v>42</v>
      </c>
      <c r="CJ1254" t="s">
        <v>226</v>
      </c>
      <c r="CK1254" t="s">
        <v>254</v>
      </c>
      <c r="CL1254" t="s">
        <v>228</v>
      </c>
      <c r="CM1254" t="s">
        <v>234</v>
      </c>
      <c r="CN1254" t="s">
        <v>45</v>
      </c>
      <c r="CO1254">
        <v>-2200</v>
      </c>
      <c r="CP1254">
        <v>42014062</v>
      </c>
      <c r="CQ1254" s="73">
        <v>45353.914317129631</v>
      </c>
      <c r="CR1254" t="s">
        <v>229</v>
      </c>
      <c r="CS1254" t="s">
        <v>42</v>
      </c>
      <c r="CU1254" t="s">
        <v>225</v>
      </c>
    </row>
    <row r="1255" spans="1:99">
      <c r="A1255" t="s">
        <v>99</v>
      </c>
      <c r="B1255" t="s">
        <v>98</v>
      </c>
      <c r="J1255" t="s">
        <v>225</v>
      </c>
      <c r="K1255" t="s">
        <v>225</v>
      </c>
      <c r="M1255" s="73">
        <v>45353.914317129631</v>
      </c>
      <c r="N1255">
        <v>42014061</v>
      </c>
      <c r="O1255">
        <v>-110</v>
      </c>
      <c r="P1255" t="s">
        <v>73</v>
      </c>
      <c r="Q1255">
        <v>-110</v>
      </c>
      <c r="R1255" t="s">
        <v>73</v>
      </c>
      <c r="U1255" t="s">
        <v>226</v>
      </c>
      <c r="V1255" t="s">
        <v>254</v>
      </c>
      <c r="W1255" t="s">
        <v>228</v>
      </c>
      <c r="X1255" t="s">
        <v>229</v>
      </c>
      <c r="Y1255" t="s">
        <v>99</v>
      </c>
      <c r="AD1255" t="s">
        <v>73</v>
      </c>
      <c r="AE1255">
        <v>-110</v>
      </c>
      <c r="AF1255">
        <v>42014061</v>
      </c>
      <c r="AG1255" s="73">
        <v>45353.914317129631</v>
      </c>
      <c r="AH1255" t="s">
        <v>226</v>
      </c>
      <c r="AI1255" t="s">
        <v>254</v>
      </c>
      <c r="AJ1255" t="s">
        <v>228</v>
      </c>
      <c r="AK1255" t="s">
        <v>229</v>
      </c>
      <c r="AL1255" t="s">
        <v>99</v>
      </c>
      <c r="AP1255" t="s">
        <v>230</v>
      </c>
      <c r="AQ1255" t="s">
        <v>231</v>
      </c>
      <c r="AT1255" t="s">
        <v>232</v>
      </c>
      <c r="AU1255">
        <v>-99</v>
      </c>
      <c r="AV1255" t="s">
        <v>73</v>
      </c>
      <c r="AW1255">
        <v>-110</v>
      </c>
      <c r="AX1255">
        <v>42014061</v>
      </c>
      <c r="AY1255" s="73">
        <v>45353.914317129631</v>
      </c>
      <c r="AZ1255" t="s">
        <v>226</v>
      </c>
      <c r="BA1255" t="s">
        <v>254</v>
      </c>
      <c r="BB1255" t="s">
        <v>228</v>
      </c>
      <c r="BC1255" t="s">
        <v>229</v>
      </c>
      <c r="BD1255" t="s">
        <v>99</v>
      </c>
      <c r="BI1255" t="s">
        <v>233</v>
      </c>
      <c r="BJ1255" t="s">
        <v>0</v>
      </c>
      <c r="BK1255">
        <v>42014050</v>
      </c>
      <c r="BN1255" t="s">
        <v>73</v>
      </c>
      <c r="BR1255">
        <v>-110</v>
      </c>
      <c r="BS1255">
        <v>42014061</v>
      </c>
      <c r="BT1255" s="73">
        <v>45353.914317129631</v>
      </c>
      <c r="BU1255" t="s">
        <v>226</v>
      </c>
      <c r="BV1255" t="s">
        <v>254</v>
      </c>
      <c r="BW1255" t="s">
        <v>228</v>
      </c>
      <c r="CH1255" t="s">
        <v>229</v>
      </c>
      <c r="CI1255" t="s">
        <v>99</v>
      </c>
      <c r="CJ1255" t="s">
        <v>226</v>
      </c>
      <c r="CK1255" t="s">
        <v>254</v>
      </c>
      <c r="CL1255" t="s">
        <v>228</v>
      </c>
      <c r="CM1255" t="s">
        <v>234</v>
      </c>
      <c r="CN1255" t="s">
        <v>73</v>
      </c>
      <c r="CO1255">
        <v>-110</v>
      </c>
      <c r="CP1255">
        <v>42014061</v>
      </c>
      <c r="CQ1255" s="73">
        <v>45353.914317129631</v>
      </c>
      <c r="CR1255" t="s">
        <v>229</v>
      </c>
      <c r="CS1255" t="s">
        <v>99</v>
      </c>
      <c r="CU1255" t="s">
        <v>225</v>
      </c>
    </row>
    <row r="1256" spans="1:99">
      <c r="A1256" t="s">
        <v>103</v>
      </c>
      <c r="B1256" t="s">
        <v>98</v>
      </c>
      <c r="J1256" t="s">
        <v>225</v>
      </c>
      <c r="K1256" t="s">
        <v>225</v>
      </c>
      <c r="M1256" s="73">
        <v>45353.914317129631</v>
      </c>
      <c r="N1256">
        <v>42014060</v>
      </c>
      <c r="O1256">
        <v>2200</v>
      </c>
      <c r="P1256" t="s">
        <v>104</v>
      </c>
      <c r="Q1256">
        <v>2200</v>
      </c>
      <c r="R1256" t="s">
        <v>104</v>
      </c>
      <c r="S1256">
        <v>110</v>
      </c>
      <c r="T1256" t="s">
        <v>73</v>
      </c>
      <c r="U1256" t="s">
        <v>226</v>
      </c>
      <c r="V1256" t="s">
        <v>254</v>
      </c>
      <c r="W1256" t="s">
        <v>235</v>
      </c>
      <c r="X1256" t="s">
        <v>229</v>
      </c>
      <c r="Y1256" t="s">
        <v>103</v>
      </c>
      <c r="AD1256" t="s">
        <v>104</v>
      </c>
      <c r="AE1256">
        <v>2200</v>
      </c>
      <c r="AF1256">
        <v>42014060</v>
      </c>
      <c r="AG1256" s="73">
        <v>45353.914317129631</v>
      </c>
      <c r="AH1256" t="s">
        <v>226</v>
      </c>
      <c r="AI1256" t="s">
        <v>254</v>
      </c>
      <c r="AJ1256" t="s">
        <v>235</v>
      </c>
      <c r="AK1256" t="s">
        <v>229</v>
      </c>
      <c r="AL1256" t="s">
        <v>103</v>
      </c>
      <c r="AP1256" t="s">
        <v>230</v>
      </c>
      <c r="AQ1256" t="s">
        <v>231</v>
      </c>
      <c r="AT1256" t="s">
        <v>232</v>
      </c>
      <c r="AU1256">
        <v>-99</v>
      </c>
      <c r="AV1256" t="s">
        <v>104</v>
      </c>
      <c r="AW1256">
        <v>2200</v>
      </c>
      <c r="AX1256">
        <v>42014060</v>
      </c>
      <c r="AY1256" s="73">
        <v>45353.914317129631</v>
      </c>
      <c r="AZ1256" t="s">
        <v>226</v>
      </c>
      <c r="BA1256" t="s">
        <v>254</v>
      </c>
      <c r="BB1256" t="s">
        <v>235</v>
      </c>
      <c r="BC1256" t="s">
        <v>229</v>
      </c>
      <c r="BD1256" t="s">
        <v>103</v>
      </c>
      <c r="BI1256" t="s">
        <v>233</v>
      </c>
      <c r="BJ1256" t="s">
        <v>0</v>
      </c>
      <c r="BK1256">
        <v>42014050</v>
      </c>
      <c r="BN1256" t="s">
        <v>104</v>
      </c>
      <c r="BO1256">
        <v>42014056</v>
      </c>
      <c r="BR1256">
        <v>2200</v>
      </c>
      <c r="BS1256">
        <v>42014060</v>
      </c>
      <c r="BT1256" s="73">
        <v>45353.914317129631</v>
      </c>
      <c r="BU1256" t="s">
        <v>226</v>
      </c>
      <c r="BV1256" t="s">
        <v>254</v>
      </c>
      <c r="BW1256" t="s">
        <v>235</v>
      </c>
      <c r="CH1256" t="s">
        <v>229</v>
      </c>
      <c r="CI1256" t="s">
        <v>103</v>
      </c>
      <c r="CJ1256" t="s">
        <v>226</v>
      </c>
      <c r="CK1256" t="s">
        <v>254</v>
      </c>
      <c r="CL1256" t="s">
        <v>235</v>
      </c>
      <c r="CM1256" t="s">
        <v>236</v>
      </c>
      <c r="CN1256" t="s">
        <v>104</v>
      </c>
      <c r="CO1256">
        <v>2200</v>
      </c>
      <c r="CP1256">
        <v>42014060</v>
      </c>
      <c r="CQ1256" s="73">
        <v>45353.914317129631</v>
      </c>
      <c r="CR1256" t="s">
        <v>229</v>
      </c>
      <c r="CS1256" t="s">
        <v>103</v>
      </c>
      <c r="CU1256" t="s">
        <v>225</v>
      </c>
    </row>
    <row r="1257" spans="1:99">
      <c r="A1257" t="s">
        <v>42</v>
      </c>
      <c r="B1257" t="s">
        <v>92</v>
      </c>
      <c r="J1257" t="s">
        <v>225</v>
      </c>
      <c r="K1257" t="s">
        <v>225</v>
      </c>
      <c r="M1257" s="73">
        <v>45353.912870370368</v>
      </c>
      <c r="N1257">
        <v>42014048</v>
      </c>
      <c r="O1257">
        <v>-6036</v>
      </c>
      <c r="P1257" t="s">
        <v>45</v>
      </c>
      <c r="Q1257">
        <v>-6036</v>
      </c>
      <c r="R1257" t="s">
        <v>45</v>
      </c>
      <c r="U1257" t="s">
        <v>226</v>
      </c>
      <c r="V1257" t="s">
        <v>255</v>
      </c>
      <c r="W1257" t="s">
        <v>228</v>
      </c>
      <c r="X1257" t="s">
        <v>229</v>
      </c>
      <c r="Y1257" t="s">
        <v>42</v>
      </c>
      <c r="AD1257" t="s">
        <v>45</v>
      </c>
      <c r="AE1257">
        <v>-6036</v>
      </c>
      <c r="AF1257">
        <v>42014048</v>
      </c>
      <c r="AG1257" s="73">
        <v>45353.912870370368</v>
      </c>
      <c r="AH1257" t="s">
        <v>226</v>
      </c>
      <c r="AI1257" t="s">
        <v>255</v>
      </c>
      <c r="AJ1257" t="s">
        <v>228</v>
      </c>
      <c r="AK1257" t="s">
        <v>229</v>
      </c>
      <c r="AL1257" t="s">
        <v>42</v>
      </c>
      <c r="AP1257" t="s">
        <v>230</v>
      </c>
      <c r="AQ1257" t="s">
        <v>231</v>
      </c>
      <c r="AT1257" t="s">
        <v>232</v>
      </c>
      <c r="AU1257">
        <v>-99</v>
      </c>
      <c r="AV1257" t="s">
        <v>45</v>
      </c>
      <c r="AW1257">
        <v>-6036</v>
      </c>
      <c r="AX1257">
        <v>42014048</v>
      </c>
      <c r="AY1257" s="73">
        <v>45353.912870370368</v>
      </c>
      <c r="AZ1257" t="s">
        <v>226</v>
      </c>
      <c r="BA1257" t="s">
        <v>255</v>
      </c>
      <c r="BB1257" t="s">
        <v>228</v>
      </c>
      <c r="BC1257" t="s">
        <v>229</v>
      </c>
      <c r="BD1257" t="s">
        <v>42</v>
      </c>
      <c r="BI1257" t="s">
        <v>233</v>
      </c>
      <c r="BJ1257" t="s">
        <v>0</v>
      </c>
      <c r="BK1257">
        <v>42014032</v>
      </c>
      <c r="BN1257" t="s">
        <v>45</v>
      </c>
      <c r="BR1257">
        <v>-6036</v>
      </c>
      <c r="BS1257">
        <v>42014048</v>
      </c>
      <c r="BT1257" s="73">
        <v>45353.912870370368</v>
      </c>
      <c r="BU1257" t="s">
        <v>226</v>
      </c>
      <c r="BV1257" t="s">
        <v>255</v>
      </c>
      <c r="BW1257" t="s">
        <v>228</v>
      </c>
      <c r="CH1257" t="s">
        <v>229</v>
      </c>
      <c r="CI1257" t="s">
        <v>42</v>
      </c>
      <c r="CJ1257" t="s">
        <v>226</v>
      </c>
      <c r="CK1257" t="s">
        <v>255</v>
      </c>
      <c r="CL1257" t="s">
        <v>228</v>
      </c>
      <c r="CM1257" t="s">
        <v>234</v>
      </c>
      <c r="CN1257" t="s">
        <v>45</v>
      </c>
      <c r="CO1257">
        <v>-6036</v>
      </c>
      <c r="CP1257">
        <v>42014048</v>
      </c>
      <c r="CQ1257" s="73">
        <v>45353.912870370368</v>
      </c>
      <c r="CR1257" t="s">
        <v>229</v>
      </c>
      <c r="CS1257" t="s">
        <v>42</v>
      </c>
      <c r="CU1257" t="s">
        <v>225</v>
      </c>
    </row>
    <row r="1258" spans="1:99">
      <c r="A1258" t="s">
        <v>99</v>
      </c>
      <c r="B1258" t="s">
        <v>98</v>
      </c>
      <c r="J1258" t="s">
        <v>225</v>
      </c>
      <c r="K1258" t="s">
        <v>225</v>
      </c>
      <c r="M1258" s="73">
        <v>45353.912870370368</v>
      </c>
      <c r="N1258">
        <v>42014047</v>
      </c>
      <c r="O1258">
        <v>-301.5</v>
      </c>
      <c r="P1258" t="s">
        <v>73</v>
      </c>
      <c r="Q1258">
        <v>-301.5</v>
      </c>
      <c r="R1258" t="s">
        <v>73</v>
      </c>
      <c r="U1258" t="s">
        <v>226</v>
      </c>
      <c r="V1258" t="s">
        <v>255</v>
      </c>
      <c r="W1258" t="s">
        <v>228</v>
      </c>
      <c r="X1258" t="s">
        <v>229</v>
      </c>
      <c r="Y1258" t="s">
        <v>99</v>
      </c>
      <c r="AD1258" t="s">
        <v>73</v>
      </c>
      <c r="AE1258">
        <v>-301.5</v>
      </c>
      <c r="AF1258">
        <v>42014047</v>
      </c>
      <c r="AG1258" s="73">
        <v>45353.912870370368</v>
      </c>
      <c r="AH1258" t="s">
        <v>226</v>
      </c>
      <c r="AI1258" t="s">
        <v>255</v>
      </c>
      <c r="AJ1258" t="s">
        <v>228</v>
      </c>
      <c r="AK1258" t="s">
        <v>229</v>
      </c>
      <c r="AL1258" t="s">
        <v>99</v>
      </c>
      <c r="AP1258" t="s">
        <v>230</v>
      </c>
      <c r="AQ1258" t="s">
        <v>231</v>
      </c>
      <c r="AT1258" t="s">
        <v>232</v>
      </c>
      <c r="AU1258">
        <v>-99</v>
      </c>
      <c r="AV1258" t="s">
        <v>73</v>
      </c>
      <c r="AW1258">
        <v>-301.5</v>
      </c>
      <c r="AX1258">
        <v>42014047</v>
      </c>
      <c r="AY1258" s="73">
        <v>45353.912870370368</v>
      </c>
      <c r="AZ1258" t="s">
        <v>226</v>
      </c>
      <c r="BA1258" t="s">
        <v>255</v>
      </c>
      <c r="BB1258" t="s">
        <v>228</v>
      </c>
      <c r="BC1258" t="s">
        <v>229</v>
      </c>
      <c r="BD1258" t="s">
        <v>99</v>
      </c>
      <c r="BI1258" t="s">
        <v>233</v>
      </c>
      <c r="BJ1258" t="s">
        <v>0</v>
      </c>
      <c r="BK1258">
        <v>42014032</v>
      </c>
      <c r="BN1258" t="s">
        <v>73</v>
      </c>
      <c r="BR1258">
        <v>-301.5</v>
      </c>
      <c r="BS1258">
        <v>42014047</v>
      </c>
      <c r="BT1258" s="73">
        <v>45353.912870370368</v>
      </c>
      <c r="BU1258" t="s">
        <v>226</v>
      </c>
      <c r="BV1258" t="s">
        <v>255</v>
      </c>
      <c r="BW1258" t="s">
        <v>228</v>
      </c>
      <c r="CH1258" t="s">
        <v>229</v>
      </c>
      <c r="CI1258" t="s">
        <v>99</v>
      </c>
      <c r="CJ1258" t="s">
        <v>226</v>
      </c>
      <c r="CK1258" t="s">
        <v>255</v>
      </c>
      <c r="CL1258" t="s">
        <v>228</v>
      </c>
      <c r="CM1258" t="s">
        <v>234</v>
      </c>
      <c r="CN1258" t="s">
        <v>73</v>
      </c>
      <c r="CO1258">
        <v>-301.5</v>
      </c>
      <c r="CP1258">
        <v>42014047</v>
      </c>
      <c r="CQ1258" s="73">
        <v>45353.912870370368</v>
      </c>
      <c r="CR1258" t="s">
        <v>229</v>
      </c>
      <c r="CS1258" t="s">
        <v>99</v>
      </c>
      <c r="CU1258" t="s">
        <v>225</v>
      </c>
    </row>
    <row r="1259" spans="1:99">
      <c r="A1259" t="s">
        <v>103</v>
      </c>
      <c r="B1259" t="s">
        <v>98</v>
      </c>
      <c r="J1259" t="s">
        <v>225</v>
      </c>
      <c r="K1259" t="s">
        <v>225</v>
      </c>
      <c r="M1259" s="73">
        <v>45353.912870370368</v>
      </c>
      <c r="N1259">
        <v>42014046</v>
      </c>
      <c r="O1259">
        <v>6030</v>
      </c>
      <c r="P1259" t="s">
        <v>104</v>
      </c>
      <c r="Q1259">
        <v>6030</v>
      </c>
      <c r="R1259" t="s">
        <v>104</v>
      </c>
      <c r="S1259">
        <v>301.5</v>
      </c>
      <c r="T1259" t="s">
        <v>73</v>
      </c>
      <c r="U1259" t="s">
        <v>226</v>
      </c>
      <c r="V1259" t="s">
        <v>255</v>
      </c>
      <c r="W1259" t="s">
        <v>235</v>
      </c>
      <c r="X1259" t="s">
        <v>229</v>
      </c>
      <c r="Y1259" t="s">
        <v>103</v>
      </c>
      <c r="AD1259" t="s">
        <v>104</v>
      </c>
      <c r="AE1259">
        <v>6030</v>
      </c>
      <c r="AF1259">
        <v>42014046</v>
      </c>
      <c r="AG1259" s="73">
        <v>45353.912870370368</v>
      </c>
      <c r="AH1259" t="s">
        <v>226</v>
      </c>
      <c r="AI1259" t="s">
        <v>255</v>
      </c>
      <c r="AJ1259" t="s">
        <v>235</v>
      </c>
      <c r="AK1259" t="s">
        <v>229</v>
      </c>
      <c r="AL1259" t="s">
        <v>103</v>
      </c>
      <c r="AP1259" t="s">
        <v>230</v>
      </c>
      <c r="AQ1259" t="s">
        <v>231</v>
      </c>
      <c r="AT1259" t="s">
        <v>232</v>
      </c>
      <c r="AU1259">
        <v>-99</v>
      </c>
      <c r="AV1259" t="s">
        <v>104</v>
      </c>
      <c r="AW1259">
        <v>6030</v>
      </c>
      <c r="AX1259">
        <v>42014046</v>
      </c>
      <c r="AY1259" s="73">
        <v>45353.912870370368</v>
      </c>
      <c r="AZ1259" t="s">
        <v>226</v>
      </c>
      <c r="BA1259" t="s">
        <v>255</v>
      </c>
      <c r="BB1259" t="s">
        <v>235</v>
      </c>
      <c r="BC1259" t="s">
        <v>229</v>
      </c>
      <c r="BD1259" t="s">
        <v>103</v>
      </c>
      <c r="BI1259" t="s">
        <v>233</v>
      </c>
      <c r="BJ1259" t="s">
        <v>0</v>
      </c>
      <c r="BK1259">
        <v>42014032</v>
      </c>
      <c r="BN1259" t="s">
        <v>104</v>
      </c>
      <c r="BO1259">
        <v>42014038</v>
      </c>
      <c r="BR1259">
        <v>6030</v>
      </c>
      <c r="BS1259">
        <v>42014046</v>
      </c>
      <c r="BT1259" s="73">
        <v>45353.912870370368</v>
      </c>
      <c r="BU1259" t="s">
        <v>226</v>
      </c>
      <c r="BV1259" t="s">
        <v>255</v>
      </c>
      <c r="BW1259" t="s">
        <v>235</v>
      </c>
      <c r="CH1259" t="s">
        <v>229</v>
      </c>
      <c r="CI1259" t="s">
        <v>103</v>
      </c>
      <c r="CJ1259" t="s">
        <v>226</v>
      </c>
      <c r="CK1259" t="s">
        <v>255</v>
      </c>
      <c r="CL1259" t="s">
        <v>235</v>
      </c>
      <c r="CM1259" t="s">
        <v>236</v>
      </c>
      <c r="CN1259" t="s">
        <v>104</v>
      </c>
      <c r="CO1259">
        <v>6030</v>
      </c>
      <c r="CP1259">
        <v>42014046</v>
      </c>
      <c r="CQ1259" s="73">
        <v>45353.912870370368</v>
      </c>
      <c r="CR1259" t="s">
        <v>229</v>
      </c>
      <c r="CS1259" t="s">
        <v>103</v>
      </c>
      <c r="CU1259" t="s">
        <v>225</v>
      </c>
    </row>
    <row r="1260" spans="1:99">
      <c r="A1260" t="s">
        <v>111</v>
      </c>
      <c r="B1260" t="s">
        <v>77</v>
      </c>
      <c r="J1260" t="s">
        <v>225</v>
      </c>
      <c r="K1260" t="s">
        <v>225</v>
      </c>
      <c r="M1260" s="73">
        <v>45353.912870370368</v>
      </c>
      <c r="N1260">
        <v>42014045</v>
      </c>
      <c r="O1260">
        <v>6</v>
      </c>
      <c r="P1260" t="s">
        <v>45</v>
      </c>
      <c r="Q1260">
        <v>6</v>
      </c>
      <c r="R1260" t="s">
        <v>45</v>
      </c>
      <c r="U1260" t="s">
        <v>226</v>
      </c>
      <c r="V1260" t="s">
        <v>255</v>
      </c>
      <c r="W1260" t="s">
        <v>237</v>
      </c>
      <c r="X1260" t="s">
        <v>229</v>
      </c>
      <c r="Y1260" t="s">
        <v>111</v>
      </c>
      <c r="AD1260" t="s">
        <v>45</v>
      </c>
      <c r="AE1260">
        <v>6</v>
      </c>
      <c r="AF1260">
        <v>42014045</v>
      </c>
      <c r="AG1260" s="73">
        <v>45353.912870370368</v>
      </c>
      <c r="AH1260" t="s">
        <v>226</v>
      </c>
      <c r="AI1260" t="s">
        <v>255</v>
      </c>
      <c r="AJ1260" t="s">
        <v>237</v>
      </c>
      <c r="AK1260" t="s">
        <v>229</v>
      </c>
      <c r="AL1260" t="s">
        <v>111</v>
      </c>
      <c r="AP1260" t="s">
        <v>230</v>
      </c>
      <c r="AQ1260" t="s">
        <v>231</v>
      </c>
      <c r="AT1260" t="s">
        <v>232</v>
      </c>
      <c r="AU1260">
        <v>-99</v>
      </c>
      <c r="AV1260" t="s">
        <v>45</v>
      </c>
      <c r="AW1260">
        <v>6</v>
      </c>
      <c r="AX1260">
        <v>42014045</v>
      </c>
      <c r="AY1260" s="73">
        <v>45353.912870370368</v>
      </c>
      <c r="AZ1260" t="s">
        <v>226</v>
      </c>
      <c r="BA1260" t="s">
        <v>255</v>
      </c>
      <c r="BB1260" t="s">
        <v>237</v>
      </c>
      <c r="BC1260" t="s">
        <v>229</v>
      </c>
      <c r="BD1260" t="s">
        <v>111</v>
      </c>
      <c r="BI1260" t="s">
        <v>233</v>
      </c>
      <c r="BJ1260" t="s">
        <v>0</v>
      </c>
      <c r="BK1260">
        <v>42014032</v>
      </c>
      <c r="BN1260" t="s">
        <v>45</v>
      </c>
      <c r="BO1260">
        <v>42014040</v>
      </c>
      <c r="BR1260">
        <v>6</v>
      </c>
      <c r="BS1260">
        <v>42014045</v>
      </c>
      <c r="BT1260" s="73">
        <v>45353.912870370368</v>
      </c>
      <c r="BU1260" t="s">
        <v>226</v>
      </c>
      <c r="BV1260" t="s">
        <v>255</v>
      </c>
      <c r="BW1260" t="s">
        <v>237</v>
      </c>
      <c r="CH1260" t="s">
        <v>229</v>
      </c>
      <c r="CI1260" t="s">
        <v>111</v>
      </c>
      <c r="CJ1260" t="s">
        <v>226</v>
      </c>
      <c r="CK1260" t="s">
        <v>255</v>
      </c>
      <c r="CL1260" t="s">
        <v>237</v>
      </c>
      <c r="CM1260" t="s">
        <v>236</v>
      </c>
      <c r="CN1260" t="s">
        <v>45</v>
      </c>
      <c r="CO1260">
        <v>6</v>
      </c>
      <c r="CP1260">
        <v>42014045</v>
      </c>
      <c r="CQ1260" s="73">
        <v>45353.912870370368</v>
      </c>
      <c r="CR1260" t="s">
        <v>229</v>
      </c>
      <c r="CS1260" t="s">
        <v>111</v>
      </c>
      <c r="CU1260" t="s">
        <v>225</v>
      </c>
    </row>
    <row r="1261" spans="1:99">
      <c r="A1261" t="s">
        <v>52</v>
      </c>
      <c r="B1261" t="s">
        <v>92</v>
      </c>
      <c r="J1261" t="s">
        <v>225</v>
      </c>
      <c r="K1261" t="s">
        <v>225</v>
      </c>
      <c r="M1261" s="73">
        <v>45353.908726851849</v>
      </c>
      <c r="N1261">
        <v>42014030</v>
      </c>
      <c r="O1261">
        <v>-1271</v>
      </c>
      <c r="P1261" t="s">
        <v>45</v>
      </c>
      <c r="Q1261">
        <v>-1271</v>
      </c>
      <c r="R1261" t="s">
        <v>45</v>
      </c>
      <c r="U1261" t="s">
        <v>226</v>
      </c>
      <c r="V1261" t="s">
        <v>256</v>
      </c>
      <c r="W1261" t="s">
        <v>228</v>
      </c>
      <c r="X1261" t="s">
        <v>229</v>
      </c>
      <c r="Y1261" t="s">
        <v>52</v>
      </c>
      <c r="AD1261" t="s">
        <v>45</v>
      </c>
      <c r="AE1261">
        <v>-1271</v>
      </c>
      <c r="AF1261">
        <v>42014030</v>
      </c>
      <c r="AG1261" s="73">
        <v>45353.908726851849</v>
      </c>
      <c r="AH1261" t="s">
        <v>226</v>
      </c>
      <c r="AI1261" t="s">
        <v>256</v>
      </c>
      <c r="AJ1261" t="s">
        <v>228</v>
      </c>
      <c r="AK1261" t="s">
        <v>229</v>
      </c>
      <c r="AL1261" t="s">
        <v>52</v>
      </c>
      <c r="AP1261" t="s">
        <v>230</v>
      </c>
      <c r="AQ1261" t="s">
        <v>231</v>
      </c>
      <c r="AT1261" t="s">
        <v>232</v>
      </c>
      <c r="AU1261">
        <v>-99</v>
      </c>
      <c r="AV1261" t="s">
        <v>45</v>
      </c>
      <c r="AW1261">
        <v>-1271</v>
      </c>
      <c r="AX1261">
        <v>42014030</v>
      </c>
      <c r="AY1261" s="73">
        <v>45353.908726851849</v>
      </c>
      <c r="AZ1261" t="s">
        <v>226</v>
      </c>
      <c r="BA1261" t="s">
        <v>256</v>
      </c>
      <c r="BB1261" t="s">
        <v>228</v>
      </c>
      <c r="BC1261" t="s">
        <v>229</v>
      </c>
      <c r="BD1261" t="s">
        <v>52</v>
      </c>
      <c r="BI1261" t="s">
        <v>233</v>
      </c>
      <c r="BJ1261" t="s">
        <v>0</v>
      </c>
      <c r="BK1261">
        <v>42014014</v>
      </c>
      <c r="BN1261" t="s">
        <v>45</v>
      </c>
      <c r="BR1261">
        <v>-1271</v>
      </c>
      <c r="BS1261">
        <v>42014030</v>
      </c>
      <c r="BT1261" s="73">
        <v>45353.908726851849</v>
      </c>
      <c r="BU1261" t="s">
        <v>226</v>
      </c>
      <c r="BV1261" t="s">
        <v>256</v>
      </c>
      <c r="BW1261" t="s">
        <v>228</v>
      </c>
      <c r="CH1261" t="s">
        <v>229</v>
      </c>
      <c r="CI1261" t="s">
        <v>52</v>
      </c>
      <c r="CJ1261" t="s">
        <v>226</v>
      </c>
      <c r="CK1261" t="s">
        <v>256</v>
      </c>
      <c r="CL1261" t="s">
        <v>228</v>
      </c>
      <c r="CM1261" t="s">
        <v>234</v>
      </c>
      <c r="CN1261" t="s">
        <v>45</v>
      </c>
      <c r="CO1261">
        <v>-1271</v>
      </c>
      <c r="CP1261">
        <v>42014030</v>
      </c>
      <c r="CQ1261" s="73">
        <v>45353.908726851849</v>
      </c>
      <c r="CR1261" t="s">
        <v>229</v>
      </c>
      <c r="CS1261" t="s">
        <v>52</v>
      </c>
      <c r="CU1261" t="s">
        <v>225</v>
      </c>
    </row>
    <row r="1262" spans="1:99">
      <c r="A1262" t="s">
        <v>101</v>
      </c>
      <c r="B1262" t="s">
        <v>98</v>
      </c>
      <c r="J1262" t="s">
        <v>225</v>
      </c>
      <c r="K1262" t="s">
        <v>225</v>
      </c>
      <c r="M1262" s="73">
        <v>45353.908726851849</v>
      </c>
      <c r="N1262">
        <v>42014029</v>
      </c>
      <c r="O1262">
        <v>-63.5</v>
      </c>
      <c r="P1262" t="s">
        <v>73</v>
      </c>
      <c r="Q1262">
        <v>-63.5</v>
      </c>
      <c r="R1262" t="s">
        <v>73</v>
      </c>
      <c r="U1262" t="s">
        <v>226</v>
      </c>
      <c r="V1262" t="s">
        <v>256</v>
      </c>
      <c r="W1262" t="s">
        <v>228</v>
      </c>
      <c r="X1262" t="s">
        <v>229</v>
      </c>
      <c r="Y1262" t="s">
        <v>101</v>
      </c>
      <c r="AD1262" t="s">
        <v>73</v>
      </c>
      <c r="AE1262">
        <v>-63.5</v>
      </c>
      <c r="AF1262">
        <v>42014029</v>
      </c>
      <c r="AG1262" s="73">
        <v>45353.908726851849</v>
      </c>
      <c r="AH1262" t="s">
        <v>226</v>
      </c>
      <c r="AI1262" t="s">
        <v>256</v>
      </c>
      <c r="AJ1262" t="s">
        <v>228</v>
      </c>
      <c r="AK1262" t="s">
        <v>229</v>
      </c>
      <c r="AL1262" t="s">
        <v>101</v>
      </c>
      <c r="AP1262" t="s">
        <v>230</v>
      </c>
      <c r="AQ1262" t="s">
        <v>231</v>
      </c>
      <c r="AT1262" t="s">
        <v>232</v>
      </c>
      <c r="AU1262">
        <v>-99</v>
      </c>
      <c r="AV1262" t="s">
        <v>73</v>
      </c>
      <c r="AW1262">
        <v>-63.5</v>
      </c>
      <c r="AX1262">
        <v>42014029</v>
      </c>
      <c r="AY1262" s="73">
        <v>45353.908726851849</v>
      </c>
      <c r="AZ1262" t="s">
        <v>226</v>
      </c>
      <c r="BA1262" t="s">
        <v>256</v>
      </c>
      <c r="BB1262" t="s">
        <v>228</v>
      </c>
      <c r="BC1262" t="s">
        <v>229</v>
      </c>
      <c r="BD1262" t="s">
        <v>101</v>
      </c>
      <c r="BI1262" t="s">
        <v>233</v>
      </c>
      <c r="BJ1262" t="s">
        <v>0</v>
      </c>
      <c r="BK1262">
        <v>42014014</v>
      </c>
      <c r="BN1262" t="s">
        <v>73</v>
      </c>
      <c r="BR1262">
        <v>-63.5</v>
      </c>
      <c r="BS1262">
        <v>42014029</v>
      </c>
      <c r="BT1262" s="73">
        <v>45353.908726851849</v>
      </c>
      <c r="BU1262" t="s">
        <v>226</v>
      </c>
      <c r="BV1262" t="s">
        <v>256</v>
      </c>
      <c r="BW1262" t="s">
        <v>228</v>
      </c>
      <c r="CH1262" t="s">
        <v>229</v>
      </c>
      <c r="CI1262" t="s">
        <v>101</v>
      </c>
      <c r="CJ1262" t="s">
        <v>226</v>
      </c>
      <c r="CK1262" t="s">
        <v>256</v>
      </c>
      <c r="CL1262" t="s">
        <v>228</v>
      </c>
      <c r="CM1262" t="s">
        <v>234</v>
      </c>
      <c r="CN1262" t="s">
        <v>73</v>
      </c>
      <c r="CO1262">
        <v>-63.5</v>
      </c>
      <c r="CP1262">
        <v>42014029</v>
      </c>
      <c r="CQ1262" s="73">
        <v>45353.908726851849</v>
      </c>
      <c r="CR1262" t="s">
        <v>229</v>
      </c>
      <c r="CS1262" t="s">
        <v>101</v>
      </c>
      <c r="CU1262" t="s">
        <v>225</v>
      </c>
    </row>
    <row r="1263" spans="1:99">
      <c r="A1263" t="s">
        <v>107</v>
      </c>
      <c r="B1263" t="s">
        <v>98</v>
      </c>
      <c r="J1263" t="s">
        <v>225</v>
      </c>
      <c r="K1263" t="s">
        <v>225</v>
      </c>
      <c r="M1263" s="73">
        <v>45353.908726851849</v>
      </c>
      <c r="N1263">
        <v>42014028</v>
      </c>
      <c r="O1263">
        <v>1270</v>
      </c>
      <c r="P1263" t="s">
        <v>104</v>
      </c>
      <c r="Q1263">
        <v>1270</v>
      </c>
      <c r="R1263" t="s">
        <v>104</v>
      </c>
      <c r="S1263">
        <v>63.5</v>
      </c>
      <c r="T1263" t="s">
        <v>73</v>
      </c>
      <c r="U1263" t="s">
        <v>226</v>
      </c>
      <c r="V1263" t="s">
        <v>256</v>
      </c>
      <c r="W1263" t="s">
        <v>235</v>
      </c>
      <c r="X1263" t="s">
        <v>229</v>
      </c>
      <c r="Y1263" t="s">
        <v>107</v>
      </c>
      <c r="AD1263" t="s">
        <v>104</v>
      </c>
      <c r="AE1263">
        <v>1270</v>
      </c>
      <c r="AF1263">
        <v>42014028</v>
      </c>
      <c r="AG1263" s="73">
        <v>45353.908726851849</v>
      </c>
      <c r="AH1263" t="s">
        <v>226</v>
      </c>
      <c r="AI1263" t="s">
        <v>256</v>
      </c>
      <c r="AJ1263" t="s">
        <v>235</v>
      </c>
      <c r="AK1263" t="s">
        <v>229</v>
      </c>
      <c r="AL1263" t="s">
        <v>107</v>
      </c>
      <c r="AP1263" t="s">
        <v>230</v>
      </c>
      <c r="AQ1263" t="s">
        <v>231</v>
      </c>
      <c r="AT1263" t="s">
        <v>232</v>
      </c>
      <c r="AU1263">
        <v>-99</v>
      </c>
      <c r="AV1263" t="s">
        <v>104</v>
      </c>
      <c r="AW1263">
        <v>1270</v>
      </c>
      <c r="AX1263">
        <v>42014028</v>
      </c>
      <c r="AY1263" s="73">
        <v>45353.908726851849</v>
      </c>
      <c r="AZ1263" t="s">
        <v>226</v>
      </c>
      <c r="BA1263" t="s">
        <v>256</v>
      </c>
      <c r="BB1263" t="s">
        <v>235</v>
      </c>
      <c r="BC1263" t="s">
        <v>229</v>
      </c>
      <c r="BD1263" t="s">
        <v>107</v>
      </c>
      <c r="BI1263" t="s">
        <v>233</v>
      </c>
      <c r="BJ1263" t="s">
        <v>0</v>
      </c>
      <c r="BK1263">
        <v>42014014</v>
      </c>
      <c r="BN1263" t="s">
        <v>104</v>
      </c>
      <c r="BO1263">
        <v>42014020</v>
      </c>
      <c r="BR1263">
        <v>1270</v>
      </c>
      <c r="BS1263">
        <v>42014028</v>
      </c>
      <c r="BT1263" s="73">
        <v>45353.908726851849</v>
      </c>
      <c r="BU1263" t="s">
        <v>226</v>
      </c>
      <c r="BV1263" t="s">
        <v>256</v>
      </c>
      <c r="BW1263" t="s">
        <v>235</v>
      </c>
      <c r="CH1263" t="s">
        <v>229</v>
      </c>
      <c r="CI1263" t="s">
        <v>107</v>
      </c>
      <c r="CJ1263" t="s">
        <v>226</v>
      </c>
      <c r="CK1263" t="s">
        <v>256</v>
      </c>
      <c r="CL1263" t="s">
        <v>235</v>
      </c>
      <c r="CM1263" t="s">
        <v>236</v>
      </c>
      <c r="CN1263" t="s">
        <v>104</v>
      </c>
      <c r="CO1263">
        <v>1270</v>
      </c>
      <c r="CP1263">
        <v>42014028</v>
      </c>
      <c r="CQ1263" s="73">
        <v>45353.908726851849</v>
      </c>
      <c r="CR1263" t="s">
        <v>229</v>
      </c>
      <c r="CS1263" t="s">
        <v>107</v>
      </c>
      <c r="CU1263" t="s">
        <v>225</v>
      </c>
    </row>
    <row r="1264" spans="1:99">
      <c r="A1264" t="s">
        <v>111</v>
      </c>
      <c r="B1264" t="s">
        <v>77</v>
      </c>
      <c r="J1264" t="s">
        <v>225</v>
      </c>
      <c r="K1264" t="s">
        <v>225</v>
      </c>
      <c r="M1264" s="73">
        <v>45353.908726851849</v>
      </c>
      <c r="N1264">
        <v>42014027</v>
      </c>
      <c r="O1264">
        <v>1</v>
      </c>
      <c r="P1264" t="s">
        <v>45</v>
      </c>
      <c r="Q1264">
        <v>1</v>
      </c>
      <c r="R1264" t="s">
        <v>45</v>
      </c>
      <c r="U1264" t="s">
        <v>226</v>
      </c>
      <c r="V1264" t="s">
        <v>256</v>
      </c>
      <c r="W1264" t="s">
        <v>237</v>
      </c>
      <c r="X1264" t="s">
        <v>229</v>
      </c>
      <c r="Y1264" t="s">
        <v>111</v>
      </c>
      <c r="AD1264" t="s">
        <v>45</v>
      </c>
      <c r="AE1264">
        <v>1</v>
      </c>
      <c r="AF1264">
        <v>42014027</v>
      </c>
      <c r="AG1264" s="73">
        <v>45353.908726851849</v>
      </c>
      <c r="AH1264" t="s">
        <v>226</v>
      </c>
      <c r="AI1264" t="s">
        <v>256</v>
      </c>
      <c r="AJ1264" t="s">
        <v>237</v>
      </c>
      <c r="AK1264" t="s">
        <v>229</v>
      </c>
      <c r="AL1264" t="s">
        <v>111</v>
      </c>
      <c r="AP1264" t="s">
        <v>230</v>
      </c>
      <c r="AQ1264" t="s">
        <v>231</v>
      </c>
      <c r="AT1264" t="s">
        <v>232</v>
      </c>
      <c r="AU1264">
        <v>-99</v>
      </c>
      <c r="AV1264" t="s">
        <v>45</v>
      </c>
      <c r="AW1264">
        <v>1</v>
      </c>
      <c r="AX1264">
        <v>42014027</v>
      </c>
      <c r="AY1264" s="73">
        <v>45353.908726851849</v>
      </c>
      <c r="AZ1264" t="s">
        <v>226</v>
      </c>
      <c r="BA1264" t="s">
        <v>256</v>
      </c>
      <c r="BB1264" t="s">
        <v>237</v>
      </c>
      <c r="BC1264" t="s">
        <v>229</v>
      </c>
      <c r="BD1264" t="s">
        <v>111</v>
      </c>
      <c r="BI1264" t="s">
        <v>233</v>
      </c>
      <c r="BJ1264" t="s">
        <v>0</v>
      </c>
      <c r="BK1264">
        <v>42014014</v>
      </c>
      <c r="BN1264" t="s">
        <v>45</v>
      </c>
      <c r="BO1264">
        <v>42014022</v>
      </c>
      <c r="BR1264">
        <v>1</v>
      </c>
      <c r="BS1264">
        <v>42014027</v>
      </c>
      <c r="BT1264" s="73">
        <v>45353.908726851849</v>
      </c>
      <c r="BU1264" t="s">
        <v>226</v>
      </c>
      <c r="BV1264" t="s">
        <v>256</v>
      </c>
      <c r="BW1264" t="s">
        <v>237</v>
      </c>
      <c r="CH1264" t="s">
        <v>229</v>
      </c>
      <c r="CI1264" t="s">
        <v>111</v>
      </c>
      <c r="CJ1264" t="s">
        <v>226</v>
      </c>
      <c r="CK1264" t="s">
        <v>256</v>
      </c>
      <c r="CL1264" t="s">
        <v>237</v>
      </c>
      <c r="CM1264" t="s">
        <v>236</v>
      </c>
      <c r="CN1264" t="s">
        <v>45</v>
      </c>
      <c r="CO1264">
        <v>1</v>
      </c>
      <c r="CP1264">
        <v>42014027</v>
      </c>
      <c r="CQ1264" s="73">
        <v>45353.908726851849</v>
      </c>
      <c r="CR1264" t="s">
        <v>229</v>
      </c>
      <c r="CS1264" t="s">
        <v>111</v>
      </c>
      <c r="CU1264" t="s">
        <v>225</v>
      </c>
    </row>
    <row r="1265" spans="1:99">
      <c r="A1265" t="s">
        <v>42</v>
      </c>
      <c r="B1265" t="s">
        <v>92</v>
      </c>
      <c r="J1265" t="s">
        <v>225</v>
      </c>
      <c r="K1265" t="s">
        <v>225</v>
      </c>
      <c r="M1265" s="73">
        <v>45353.25</v>
      </c>
      <c r="N1265">
        <v>42004505</v>
      </c>
      <c r="O1265">
        <v>-753</v>
      </c>
      <c r="P1265" t="s">
        <v>45</v>
      </c>
      <c r="Q1265">
        <v>-753</v>
      </c>
      <c r="R1265" t="s">
        <v>45</v>
      </c>
      <c r="U1265" t="s">
        <v>226</v>
      </c>
      <c r="V1265" t="s">
        <v>257</v>
      </c>
      <c r="W1265" t="s">
        <v>228</v>
      </c>
      <c r="X1265" t="s">
        <v>229</v>
      </c>
      <c r="Y1265" t="s">
        <v>42</v>
      </c>
      <c r="AD1265" t="s">
        <v>45</v>
      </c>
      <c r="AE1265">
        <v>-753</v>
      </c>
      <c r="AF1265">
        <v>42004505</v>
      </c>
      <c r="AG1265" s="73">
        <v>45353.25</v>
      </c>
      <c r="AH1265" t="s">
        <v>226</v>
      </c>
      <c r="AI1265" t="s">
        <v>257</v>
      </c>
      <c r="AJ1265" t="s">
        <v>228</v>
      </c>
      <c r="AK1265" t="s">
        <v>229</v>
      </c>
      <c r="AL1265" t="s">
        <v>42</v>
      </c>
      <c r="AP1265" t="s">
        <v>230</v>
      </c>
      <c r="AQ1265" t="s">
        <v>231</v>
      </c>
      <c r="AT1265" t="s">
        <v>232</v>
      </c>
      <c r="AU1265">
        <v>-99</v>
      </c>
      <c r="AV1265" t="s">
        <v>45</v>
      </c>
      <c r="AW1265">
        <v>-753</v>
      </c>
      <c r="AX1265">
        <v>42004505</v>
      </c>
      <c r="AY1265" s="73">
        <v>45353.25</v>
      </c>
      <c r="AZ1265" t="s">
        <v>226</v>
      </c>
      <c r="BA1265" t="s">
        <v>257</v>
      </c>
      <c r="BB1265" t="s">
        <v>228</v>
      </c>
      <c r="BC1265" t="s">
        <v>229</v>
      </c>
      <c r="BD1265" t="s">
        <v>42</v>
      </c>
      <c r="BI1265" t="s">
        <v>233</v>
      </c>
      <c r="BJ1265" t="s">
        <v>0</v>
      </c>
      <c r="BK1265">
        <v>42004489</v>
      </c>
      <c r="BN1265" t="s">
        <v>45</v>
      </c>
      <c r="BR1265">
        <v>-753</v>
      </c>
      <c r="BS1265">
        <v>42004505</v>
      </c>
      <c r="BT1265" s="73">
        <v>45353.25</v>
      </c>
      <c r="BU1265" t="s">
        <v>226</v>
      </c>
      <c r="BV1265" t="s">
        <v>257</v>
      </c>
      <c r="BW1265" t="s">
        <v>228</v>
      </c>
      <c r="CH1265" t="s">
        <v>229</v>
      </c>
      <c r="CI1265" t="s">
        <v>42</v>
      </c>
      <c r="CJ1265" t="s">
        <v>226</v>
      </c>
      <c r="CK1265" t="s">
        <v>257</v>
      </c>
      <c r="CL1265" t="s">
        <v>228</v>
      </c>
      <c r="CM1265" t="s">
        <v>234</v>
      </c>
      <c r="CN1265" t="s">
        <v>45</v>
      </c>
      <c r="CO1265">
        <v>-753</v>
      </c>
      <c r="CP1265">
        <v>42004505</v>
      </c>
      <c r="CQ1265" s="73">
        <v>45353.25</v>
      </c>
      <c r="CR1265" t="s">
        <v>229</v>
      </c>
      <c r="CS1265" t="s">
        <v>42</v>
      </c>
      <c r="CU1265" t="s">
        <v>225</v>
      </c>
    </row>
    <row r="1266" spans="1:99">
      <c r="A1266" t="s">
        <v>99</v>
      </c>
      <c r="B1266" t="s">
        <v>98</v>
      </c>
      <c r="J1266" t="s">
        <v>225</v>
      </c>
      <c r="K1266" t="s">
        <v>225</v>
      </c>
      <c r="M1266" s="73">
        <v>45353.25</v>
      </c>
      <c r="N1266">
        <v>42004504</v>
      </c>
      <c r="O1266">
        <v>-37.5</v>
      </c>
      <c r="P1266" t="s">
        <v>73</v>
      </c>
      <c r="Q1266">
        <v>-37.5</v>
      </c>
      <c r="R1266" t="s">
        <v>73</v>
      </c>
      <c r="U1266" t="s">
        <v>226</v>
      </c>
      <c r="V1266" t="s">
        <v>257</v>
      </c>
      <c r="W1266" t="s">
        <v>228</v>
      </c>
      <c r="X1266" t="s">
        <v>229</v>
      </c>
      <c r="Y1266" t="s">
        <v>99</v>
      </c>
      <c r="AD1266" t="s">
        <v>73</v>
      </c>
      <c r="AE1266">
        <v>-37.5</v>
      </c>
      <c r="AF1266">
        <v>42004504</v>
      </c>
      <c r="AG1266" s="73">
        <v>45353.25</v>
      </c>
      <c r="AH1266" t="s">
        <v>226</v>
      </c>
      <c r="AI1266" t="s">
        <v>257</v>
      </c>
      <c r="AJ1266" t="s">
        <v>228</v>
      </c>
      <c r="AK1266" t="s">
        <v>229</v>
      </c>
      <c r="AL1266" t="s">
        <v>99</v>
      </c>
      <c r="AP1266" t="s">
        <v>230</v>
      </c>
      <c r="AQ1266" t="s">
        <v>231</v>
      </c>
      <c r="AT1266" t="s">
        <v>232</v>
      </c>
      <c r="AU1266">
        <v>-99</v>
      </c>
      <c r="AV1266" t="s">
        <v>73</v>
      </c>
      <c r="AW1266">
        <v>-37.5</v>
      </c>
      <c r="AX1266">
        <v>42004504</v>
      </c>
      <c r="AY1266" s="73">
        <v>45353.25</v>
      </c>
      <c r="AZ1266" t="s">
        <v>226</v>
      </c>
      <c r="BA1266" t="s">
        <v>257</v>
      </c>
      <c r="BB1266" t="s">
        <v>228</v>
      </c>
      <c r="BC1266" t="s">
        <v>229</v>
      </c>
      <c r="BD1266" t="s">
        <v>99</v>
      </c>
      <c r="BI1266" t="s">
        <v>233</v>
      </c>
      <c r="BJ1266" t="s">
        <v>0</v>
      </c>
      <c r="BK1266">
        <v>42004489</v>
      </c>
      <c r="BN1266" t="s">
        <v>73</v>
      </c>
      <c r="BR1266">
        <v>-37.5</v>
      </c>
      <c r="BS1266">
        <v>42004504</v>
      </c>
      <c r="BT1266" s="73">
        <v>45353.25</v>
      </c>
      <c r="BU1266" t="s">
        <v>226</v>
      </c>
      <c r="BV1266" t="s">
        <v>257</v>
      </c>
      <c r="BW1266" t="s">
        <v>228</v>
      </c>
      <c r="CH1266" t="s">
        <v>229</v>
      </c>
      <c r="CI1266" t="s">
        <v>99</v>
      </c>
      <c r="CJ1266" t="s">
        <v>226</v>
      </c>
      <c r="CK1266" t="s">
        <v>257</v>
      </c>
      <c r="CL1266" t="s">
        <v>228</v>
      </c>
      <c r="CM1266" t="s">
        <v>234</v>
      </c>
      <c r="CN1266" t="s">
        <v>73</v>
      </c>
      <c r="CO1266">
        <v>-37.5</v>
      </c>
      <c r="CP1266">
        <v>42004504</v>
      </c>
      <c r="CQ1266" s="73">
        <v>45353.25</v>
      </c>
      <c r="CR1266" t="s">
        <v>229</v>
      </c>
      <c r="CS1266" t="s">
        <v>99</v>
      </c>
      <c r="CU1266" t="s">
        <v>225</v>
      </c>
    </row>
    <row r="1267" spans="1:99">
      <c r="A1267" t="s">
        <v>103</v>
      </c>
      <c r="B1267" t="s">
        <v>98</v>
      </c>
      <c r="J1267" t="s">
        <v>225</v>
      </c>
      <c r="K1267" t="s">
        <v>225</v>
      </c>
      <c r="M1267" s="73">
        <v>45353.25</v>
      </c>
      <c r="N1267">
        <v>42004503</v>
      </c>
      <c r="O1267">
        <v>750</v>
      </c>
      <c r="P1267" t="s">
        <v>104</v>
      </c>
      <c r="Q1267">
        <v>750</v>
      </c>
      <c r="R1267" t="s">
        <v>104</v>
      </c>
      <c r="S1267">
        <v>37.5</v>
      </c>
      <c r="T1267" t="s">
        <v>73</v>
      </c>
      <c r="U1267" t="s">
        <v>226</v>
      </c>
      <c r="V1267" t="s">
        <v>257</v>
      </c>
      <c r="W1267" t="s">
        <v>235</v>
      </c>
      <c r="X1267" t="s">
        <v>229</v>
      </c>
      <c r="Y1267" t="s">
        <v>103</v>
      </c>
      <c r="AD1267" t="s">
        <v>104</v>
      </c>
      <c r="AE1267">
        <v>750</v>
      </c>
      <c r="AF1267">
        <v>42004503</v>
      </c>
      <c r="AG1267" s="73">
        <v>45353.25</v>
      </c>
      <c r="AH1267" t="s">
        <v>226</v>
      </c>
      <c r="AI1267" t="s">
        <v>257</v>
      </c>
      <c r="AJ1267" t="s">
        <v>235</v>
      </c>
      <c r="AK1267" t="s">
        <v>229</v>
      </c>
      <c r="AL1267" t="s">
        <v>103</v>
      </c>
      <c r="AP1267" t="s">
        <v>230</v>
      </c>
      <c r="AQ1267" t="s">
        <v>231</v>
      </c>
      <c r="AT1267" t="s">
        <v>232</v>
      </c>
      <c r="AU1267">
        <v>-99</v>
      </c>
      <c r="AV1267" t="s">
        <v>104</v>
      </c>
      <c r="AW1267">
        <v>750</v>
      </c>
      <c r="AX1267">
        <v>42004503</v>
      </c>
      <c r="AY1267" s="73">
        <v>45353.25</v>
      </c>
      <c r="AZ1267" t="s">
        <v>226</v>
      </c>
      <c r="BA1267" t="s">
        <v>257</v>
      </c>
      <c r="BB1267" t="s">
        <v>235</v>
      </c>
      <c r="BC1267" t="s">
        <v>229</v>
      </c>
      <c r="BD1267" t="s">
        <v>103</v>
      </c>
      <c r="BI1267" t="s">
        <v>233</v>
      </c>
      <c r="BJ1267" t="s">
        <v>0</v>
      </c>
      <c r="BK1267">
        <v>42004489</v>
      </c>
      <c r="BN1267" t="s">
        <v>104</v>
      </c>
      <c r="BO1267">
        <v>42004495</v>
      </c>
      <c r="BR1267">
        <v>750</v>
      </c>
      <c r="BS1267">
        <v>42004503</v>
      </c>
      <c r="BT1267" s="73">
        <v>45353.25</v>
      </c>
      <c r="BU1267" t="s">
        <v>226</v>
      </c>
      <c r="BV1267" t="s">
        <v>257</v>
      </c>
      <c r="BW1267" t="s">
        <v>235</v>
      </c>
      <c r="CH1267" t="s">
        <v>229</v>
      </c>
      <c r="CI1267" t="s">
        <v>103</v>
      </c>
      <c r="CJ1267" t="s">
        <v>226</v>
      </c>
      <c r="CK1267" t="s">
        <v>257</v>
      </c>
      <c r="CL1267" t="s">
        <v>235</v>
      </c>
      <c r="CM1267" t="s">
        <v>236</v>
      </c>
      <c r="CN1267" t="s">
        <v>104</v>
      </c>
      <c r="CO1267">
        <v>750</v>
      </c>
      <c r="CP1267">
        <v>42004503</v>
      </c>
      <c r="CQ1267" s="73">
        <v>45353.25</v>
      </c>
      <c r="CR1267" t="s">
        <v>229</v>
      </c>
      <c r="CS1267" t="s">
        <v>103</v>
      </c>
      <c r="CU1267" t="s">
        <v>225</v>
      </c>
    </row>
    <row r="1268" spans="1:99">
      <c r="A1268" t="s">
        <v>111</v>
      </c>
      <c r="B1268" t="s">
        <v>77</v>
      </c>
      <c r="J1268" t="s">
        <v>225</v>
      </c>
      <c r="K1268" t="s">
        <v>225</v>
      </c>
      <c r="M1268" s="73">
        <v>45353.25</v>
      </c>
      <c r="N1268">
        <v>42004502</v>
      </c>
      <c r="O1268">
        <v>3</v>
      </c>
      <c r="P1268" t="s">
        <v>45</v>
      </c>
      <c r="Q1268">
        <v>3</v>
      </c>
      <c r="R1268" t="s">
        <v>45</v>
      </c>
      <c r="U1268" t="s">
        <v>226</v>
      </c>
      <c r="V1268" t="s">
        <v>257</v>
      </c>
      <c r="W1268" t="s">
        <v>237</v>
      </c>
      <c r="X1268" t="s">
        <v>229</v>
      </c>
      <c r="Y1268" t="s">
        <v>111</v>
      </c>
      <c r="AD1268" t="s">
        <v>45</v>
      </c>
      <c r="AE1268">
        <v>3</v>
      </c>
      <c r="AF1268">
        <v>42004502</v>
      </c>
      <c r="AG1268" s="73">
        <v>45353.25</v>
      </c>
      <c r="AH1268" t="s">
        <v>226</v>
      </c>
      <c r="AI1268" t="s">
        <v>257</v>
      </c>
      <c r="AJ1268" t="s">
        <v>237</v>
      </c>
      <c r="AK1268" t="s">
        <v>229</v>
      </c>
      <c r="AL1268" t="s">
        <v>111</v>
      </c>
      <c r="AP1268" t="s">
        <v>230</v>
      </c>
      <c r="AQ1268" t="s">
        <v>231</v>
      </c>
      <c r="AT1268" t="s">
        <v>232</v>
      </c>
      <c r="AU1268">
        <v>-99</v>
      </c>
      <c r="AV1268" t="s">
        <v>45</v>
      </c>
      <c r="AW1268">
        <v>3</v>
      </c>
      <c r="AX1268">
        <v>42004502</v>
      </c>
      <c r="AY1268" s="73">
        <v>45353.25</v>
      </c>
      <c r="AZ1268" t="s">
        <v>226</v>
      </c>
      <c r="BA1268" t="s">
        <v>257</v>
      </c>
      <c r="BB1268" t="s">
        <v>237</v>
      </c>
      <c r="BC1268" t="s">
        <v>229</v>
      </c>
      <c r="BD1268" t="s">
        <v>111</v>
      </c>
      <c r="BI1268" t="s">
        <v>233</v>
      </c>
      <c r="BJ1268" t="s">
        <v>0</v>
      </c>
      <c r="BK1268">
        <v>42004489</v>
      </c>
      <c r="BN1268" t="s">
        <v>45</v>
      </c>
      <c r="BO1268">
        <v>42004497</v>
      </c>
      <c r="BR1268">
        <v>3</v>
      </c>
      <c r="BS1268">
        <v>42004502</v>
      </c>
      <c r="BT1268" s="73">
        <v>45353.25</v>
      </c>
      <c r="BU1268" t="s">
        <v>226</v>
      </c>
      <c r="BV1268" t="s">
        <v>257</v>
      </c>
      <c r="BW1268" t="s">
        <v>237</v>
      </c>
      <c r="CH1268" t="s">
        <v>229</v>
      </c>
      <c r="CI1268" t="s">
        <v>111</v>
      </c>
      <c r="CJ1268" t="s">
        <v>226</v>
      </c>
      <c r="CK1268" t="s">
        <v>257</v>
      </c>
      <c r="CL1268" t="s">
        <v>237</v>
      </c>
      <c r="CM1268" t="s">
        <v>236</v>
      </c>
      <c r="CN1268" t="s">
        <v>45</v>
      </c>
      <c r="CO1268">
        <v>3</v>
      </c>
      <c r="CP1268">
        <v>42004502</v>
      </c>
      <c r="CQ1268" s="73">
        <v>45353.25</v>
      </c>
      <c r="CR1268" t="s">
        <v>229</v>
      </c>
      <c r="CS1268" t="s">
        <v>111</v>
      </c>
      <c r="CU1268" t="s">
        <v>225</v>
      </c>
    </row>
    <row r="1269" spans="1:99">
      <c r="A1269" t="s">
        <v>52</v>
      </c>
      <c r="B1269" t="s">
        <v>92</v>
      </c>
      <c r="J1269" t="s">
        <v>225</v>
      </c>
      <c r="K1269" t="s">
        <v>225</v>
      </c>
      <c r="M1269" s="73">
        <v>45353.25</v>
      </c>
      <c r="N1269">
        <v>42004466</v>
      </c>
      <c r="O1269">
        <v>-160</v>
      </c>
      <c r="P1269" t="s">
        <v>45</v>
      </c>
      <c r="Q1269">
        <v>-160</v>
      </c>
      <c r="R1269" t="s">
        <v>45</v>
      </c>
      <c r="U1269" t="s">
        <v>226</v>
      </c>
      <c r="V1269" t="s">
        <v>258</v>
      </c>
      <c r="W1269" t="s">
        <v>228</v>
      </c>
      <c r="X1269" t="s">
        <v>229</v>
      </c>
      <c r="Y1269" t="s">
        <v>52</v>
      </c>
      <c r="AD1269" t="s">
        <v>45</v>
      </c>
      <c r="AE1269">
        <v>-160</v>
      </c>
      <c r="AF1269">
        <v>42004466</v>
      </c>
      <c r="AG1269" s="73">
        <v>45353.25</v>
      </c>
      <c r="AH1269" t="s">
        <v>226</v>
      </c>
      <c r="AI1269" t="s">
        <v>258</v>
      </c>
      <c r="AJ1269" t="s">
        <v>228</v>
      </c>
      <c r="AK1269" t="s">
        <v>229</v>
      </c>
      <c r="AL1269" t="s">
        <v>52</v>
      </c>
      <c r="AP1269" t="s">
        <v>230</v>
      </c>
      <c r="AQ1269" t="s">
        <v>231</v>
      </c>
      <c r="AT1269" t="s">
        <v>232</v>
      </c>
      <c r="AU1269">
        <v>-99</v>
      </c>
      <c r="AV1269" t="s">
        <v>45</v>
      </c>
      <c r="AW1269">
        <v>-160</v>
      </c>
      <c r="AX1269">
        <v>42004466</v>
      </c>
      <c r="AY1269" s="73">
        <v>45353.25</v>
      </c>
      <c r="AZ1269" t="s">
        <v>226</v>
      </c>
      <c r="BA1269" t="s">
        <v>258</v>
      </c>
      <c r="BB1269" t="s">
        <v>228</v>
      </c>
      <c r="BC1269" t="s">
        <v>229</v>
      </c>
      <c r="BD1269" t="s">
        <v>52</v>
      </c>
      <c r="BI1269" t="s">
        <v>233</v>
      </c>
      <c r="BJ1269" t="s">
        <v>0</v>
      </c>
      <c r="BK1269">
        <v>42004454</v>
      </c>
      <c r="BN1269" t="s">
        <v>45</v>
      </c>
      <c r="BR1269">
        <v>-160</v>
      </c>
      <c r="BS1269">
        <v>42004466</v>
      </c>
      <c r="BT1269" s="73">
        <v>45353.25</v>
      </c>
      <c r="BU1269" t="s">
        <v>226</v>
      </c>
      <c r="BV1269" t="s">
        <v>258</v>
      </c>
      <c r="BW1269" t="s">
        <v>228</v>
      </c>
      <c r="CH1269" t="s">
        <v>229</v>
      </c>
      <c r="CI1269" t="s">
        <v>52</v>
      </c>
      <c r="CJ1269" t="s">
        <v>226</v>
      </c>
      <c r="CK1269" t="s">
        <v>258</v>
      </c>
      <c r="CL1269" t="s">
        <v>228</v>
      </c>
      <c r="CM1269" t="s">
        <v>234</v>
      </c>
      <c r="CN1269" t="s">
        <v>45</v>
      </c>
      <c r="CO1269">
        <v>-160</v>
      </c>
      <c r="CP1269">
        <v>42004466</v>
      </c>
      <c r="CQ1269" s="73">
        <v>45353.25</v>
      </c>
      <c r="CR1269" t="s">
        <v>229</v>
      </c>
      <c r="CS1269" t="s">
        <v>52</v>
      </c>
      <c r="CU1269" t="s">
        <v>225</v>
      </c>
    </row>
    <row r="1270" spans="1:99">
      <c r="A1270" t="s">
        <v>101</v>
      </c>
      <c r="B1270" t="s">
        <v>98</v>
      </c>
      <c r="J1270" t="s">
        <v>225</v>
      </c>
      <c r="K1270" t="s">
        <v>225</v>
      </c>
      <c r="M1270" s="73">
        <v>45353.25</v>
      </c>
      <c r="N1270">
        <v>42004465</v>
      </c>
      <c r="O1270">
        <v>-8</v>
      </c>
      <c r="P1270" t="s">
        <v>73</v>
      </c>
      <c r="Q1270">
        <v>-8</v>
      </c>
      <c r="R1270" t="s">
        <v>73</v>
      </c>
      <c r="U1270" t="s">
        <v>226</v>
      </c>
      <c r="V1270" t="s">
        <v>258</v>
      </c>
      <c r="W1270" t="s">
        <v>228</v>
      </c>
      <c r="X1270" t="s">
        <v>229</v>
      </c>
      <c r="Y1270" t="s">
        <v>101</v>
      </c>
      <c r="AD1270" t="s">
        <v>73</v>
      </c>
      <c r="AE1270">
        <v>-8</v>
      </c>
      <c r="AF1270">
        <v>42004465</v>
      </c>
      <c r="AG1270" s="73">
        <v>45353.25</v>
      </c>
      <c r="AH1270" t="s">
        <v>226</v>
      </c>
      <c r="AI1270" t="s">
        <v>258</v>
      </c>
      <c r="AJ1270" t="s">
        <v>228</v>
      </c>
      <c r="AK1270" t="s">
        <v>229</v>
      </c>
      <c r="AL1270" t="s">
        <v>101</v>
      </c>
      <c r="AP1270" t="s">
        <v>230</v>
      </c>
      <c r="AQ1270" t="s">
        <v>231</v>
      </c>
      <c r="AT1270" t="s">
        <v>232</v>
      </c>
      <c r="AU1270">
        <v>-99</v>
      </c>
      <c r="AV1270" t="s">
        <v>73</v>
      </c>
      <c r="AW1270">
        <v>-8</v>
      </c>
      <c r="AX1270">
        <v>42004465</v>
      </c>
      <c r="AY1270" s="73">
        <v>45353.25</v>
      </c>
      <c r="AZ1270" t="s">
        <v>226</v>
      </c>
      <c r="BA1270" t="s">
        <v>258</v>
      </c>
      <c r="BB1270" t="s">
        <v>228</v>
      </c>
      <c r="BC1270" t="s">
        <v>229</v>
      </c>
      <c r="BD1270" t="s">
        <v>101</v>
      </c>
      <c r="BI1270" t="s">
        <v>233</v>
      </c>
      <c r="BJ1270" t="s">
        <v>0</v>
      </c>
      <c r="BK1270">
        <v>42004454</v>
      </c>
      <c r="BN1270" t="s">
        <v>73</v>
      </c>
      <c r="BR1270">
        <v>-8</v>
      </c>
      <c r="BS1270">
        <v>42004465</v>
      </c>
      <c r="BT1270" s="73">
        <v>45353.25</v>
      </c>
      <c r="BU1270" t="s">
        <v>226</v>
      </c>
      <c r="BV1270" t="s">
        <v>258</v>
      </c>
      <c r="BW1270" t="s">
        <v>228</v>
      </c>
      <c r="CH1270" t="s">
        <v>229</v>
      </c>
      <c r="CI1270" t="s">
        <v>101</v>
      </c>
      <c r="CJ1270" t="s">
        <v>226</v>
      </c>
      <c r="CK1270" t="s">
        <v>258</v>
      </c>
      <c r="CL1270" t="s">
        <v>228</v>
      </c>
      <c r="CM1270" t="s">
        <v>234</v>
      </c>
      <c r="CN1270" t="s">
        <v>73</v>
      </c>
      <c r="CO1270">
        <v>-8</v>
      </c>
      <c r="CP1270">
        <v>42004465</v>
      </c>
      <c r="CQ1270" s="73">
        <v>45353.25</v>
      </c>
      <c r="CR1270" t="s">
        <v>229</v>
      </c>
      <c r="CS1270" t="s">
        <v>101</v>
      </c>
      <c r="CU1270" t="s">
        <v>225</v>
      </c>
    </row>
    <row r="1271" spans="1:99">
      <c r="A1271" t="s">
        <v>107</v>
      </c>
      <c r="B1271" t="s">
        <v>98</v>
      </c>
      <c r="J1271" t="s">
        <v>225</v>
      </c>
      <c r="K1271" t="s">
        <v>225</v>
      </c>
      <c r="M1271" s="73">
        <v>45353.25</v>
      </c>
      <c r="N1271">
        <v>42004464</v>
      </c>
      <c r="O1271">
        <v>160</v>
      </c>
      <c r="P1271" t="s">
        <v>104</v>
      </c>
      <c r="Q1271">
        <v>160</v>
      </c>
      <c r="R1271" t="s">
        <v>104</v>
      </c>
      <c r="S1271">
        <v>8</v>
      </c>
      <c r="T1271" t="s">
        <v>73</v>
      </c>
      <c r="U1271" t="s">
        <v>226</v>
      </c>
      <c r="V1271" t="s">
        <v>258</v>
      </c>
      <c r="W1271" t="s">
        <v>235</v>
      </c>
      <c r="X1271" t="s">
        <v>229</v>
      </c>
      <c r="Y1271" t="s">
        <v>107</v>
      </c>
      <c r="AD1271" t="s">
        <v>104</v>
      </c>
      <c r="AE1271">
        <v>160</v>
      </c>
      <c r="AF1271">
        <v>42004464</v>
      </c>
      <c r="AG1271" s="73">
        <v>45353.25</v>
      </c>
      <c r="AH1271" t="s">
        <v>226</v>
      </c>
      <c r="AI1271" t="s">
        <v>258</v>
      </c>
      <c r="AJ1271" t="s">
        <v>235</v>
      </c>
      <c r="AK1271" t="s">
        <v>229</v>
      </c>
      <c r="AL1271" t="s">
        <v>107</v>
      </c>
      <c r="AP1271" t="s">
        <v>230</v>
      </c>
      <c r="AQ1271" t="s">
        <v>231</v>
      </c>
      <c r="AT1271" t="s">
        <v>232</v>
      </c>
      <c r="AU1271">
        <v>-99</v>
      </c>
      <c r="AV1271" t="s">
        <v>104</v>
      </c>
      <c r="AW1271">
        <v>160</v>
      </c>
      <c r="AX1271">
        <v>42004464</v>
      </c>
      <c r="AY1271" s="73">
        <v>45353.25</v>
      </c>
      <c r="AZ1271" t="s">
        <v>226</v>
      </c>
      <c r="BA1271" t="s">
        <v>258</v>
      </c>
      <c r="BB1271" t="s">
        <v>235</v>
      </c>
      <c r="BC1271" t="s">
        <v>229</v>
      </c>
      <c r="BD1271" t="s">
        <v>107</v>
      </c>
      <c r="BI1271" t="s">
        <v>233</v>
      </c>
      <c r="BJ1271" t="s">
        <v>0</v>
      </c>
      <c r="BK1271">
        <v>42004454</v>
      </c>
      <c r="BN1271" t="s">
        <v>104</v>
      </c>
      <c r="BO1271">
        <v>42004460</v>
      </c>
      <c r="BR1271">
        <v>160</v>
      </c>
      <c r="BS1271">
        <v>42004464</v>
      </c>
      <c r="BT1271" s="73">
        <v>45353.25</v>
      </c>
      <c r="BU1271" t="s">
        <v>226</v>
      </c>
      <c r="BV1271" t="s">
        <v>258</v>
      </c>
      <c r="BW1271" t="s">
        <v>235</v>
      </c>
      <c r="CH1271" t="s">
        <v>229</v>
      </c>
      <c r="CI1271" t="s">
        <v>107</v>
      </c>
      <c r="CJ1271" t="s">
        <v>226</v>
      </c>
      <c r="CK1271" t="s">
        <v>258</v>
      </c>
      <c r="CL1271" t="s">
        <v>235</v>
      </c>
      <c r="CM1271" t="s">
        <v>236</v>
      </c>
      <c r="CN1271" t="s">
        <v>104</v>
      </c>
      <c r="CO1271">
        <v>160</v>
      </c>
      <c r="CP1271">
        <v>42004464</v>
      </c>
      <c r="CQ1271" s="73">
        <v>45353.25</v>
      </c>
      <c r="CR1271" t="s">
        <v>229</v>
      </c>
      <c r="CS1271" t="s">
        <v>107</v>
      </c>
      <c r="CU1271" t="s">
        <v>225</v>
      </c>
    </row>
    <row r="1272" spans="1:99">
      <c r="A1272" t="s">
        <v>42</v>
      </c>
      <c r="B1272" t="s">
        <v>92</v>
      </c>
      <c r="J1272" t="s">
        <v>225</v>
      </c>
      <c r="K1272" t="s">
        <v>225</v>
      </c>
      <c r="M1272" s="73">
        <v>45352.947222222225</v>
      </c>
      <c r="N1272">
        <v>41999107</v>
      </c>
      <c r="O1272">
        <v>-4112</v>
      </c>
      <c r="P1272" t="s">
        <v>45</v>
      </c>
      <c r="Q1272">
        <v>-4112</v>
      </c>
      <c r="R1272" t="s">
        <v>45</v>
      </c>
      <c r="U1272" t="s">
        <v>226</v>
      </c>
      <c r="V1272" t="s">
        <v>259</v>
      </c>
      <c r="W1272" t="s">
        <v>228</v>
      </c>
      <c r="X1272" t="s">
        <v>229</v>
      </c>
      <c r="Y1272" t="s">
        <v>42</v>
      </c>
      <c r="AD1272" t="s">
        <v>45</v>
      </c>
      <c r="AE1272">
        <v>-4112</v>
      </c>
      <c r="AF1272">
        <v>41999107</v>
      </c>
      <c r="AG1272" s="73">
        <v>45352.947222222225</v>
      </c>
      <c r="AH1272" t="s">
        <v>226</v>
      </c>
      <c r="AI1272" t="s">
        <v>259</v>
      </c>
      <c r="AJ1272" t="s">
        <v>228</v>
      </c>
      <c r="AK1272" t="s">
        <v>229</v>
      </c>
      <c r="AL1272" t="s">
        <v>42</v>
      </c>
      <c r="AP1272" t="s">
        <v>230</v>
      </c>
      <c r="AQ1272" t="s">
        <v>231</v>
      </c>
      <c r="AT1272" t="s">
        <v>232</v>
      </c>
      <c r="AU1272">
        <v>-99</v>
      </c>
      <c r="AV1272" t="s">
        <v>45</v>
      </c>
      <c r="AW1272">
        <v>-4112</v>
      </c>
      <c r="AX1272">
        <v>41999107</v>
      </c>
      <c r="AY1272" s="73">
        <v>45352.947222222225</v>
      </c>
      <c r="AZ1272" t="s">
        <v>226</v>
      </c>
      <c r="BA1272" t="s">
        <v>259</v>
      </c>
      <c r="BB1272" t="s">
        <v>228</v>
      </c>
      <c r="BC1272" t="s">
        <v>229</v>
      </c>
      <c r="BD1272" t="s">
        <v>42</v>
      </c>
      <c r="BI1272" t="s">
        <v>233</v>
      </c>
      <c r="BJ1272" t="s">
        <v>0</v>
      </c>
      <c r="BK1272">
        <v>41999091</v>
      </c>
      <c r="BN1272" t="s">
        <v>45</v>
      </c>
      <c r="BR1272">
        <v>-4112</v>
      </c>
      <c r="BS1272">
        <v>41999107</v>
      </c>
      <c r="BT1272" s="73">
        <v>45352.947222222225</v>
      </c>
      <c r="BU1272" t="s">
        <v>226</v>
      </c>
      <c r="BV1272" t="s">
        <v>259</v>
      </c>
      <c r="BW1272" t="s">
        <v>228</v>
      </c>
      <c r="CH1272" t="s">
        <v>229</v>
      </c>
      <c r="CI1272" t="s">
        <v>42</v>
      </c>
      <c r="CJ1272" t="s">
        <v>226</v>
      </c>
      <c r="CK1272" t="s">
        <v>259</v>
      </c>
      <c r="CL1272" t="s">
        <v>228</v>
      </c>
      <c r="CM1272" t="s">
        <v>234</v>
      </c>
      <c r="CN1272" t="s">
        <v>45</v>
      </c>
      <c r="CO1272">
        <v>-4112</v>
      </c>
      <c r="CP1272">
        <v>41999107</v>
      </c>
      <c r="CQ1272" s="73">
        <v>45352.947222222225</v>
      </c>
      <c r="CR1272" t="s">
        <v>229</v>
      </c>
      <c r="CS1272" t="s">
        <v>42</v>
      </c>
      <c r="CU1272" t="s">
        <v>225</v>
      </c>
    </row>
    <row r="1273" spans="1:99">
      <c r="A1273" t="s">
        <v>99</v>
      </c>
      <c r="B1273" t="s">
        <v>98</v>
      </c>
      <c r="J1273" t="s">
        <v>225</v>
      </c>
      <c r="K1273" t="s">
        <v>225</v>
      </c>
      <c r="M1273" s="73">
        <v>45352.947222222225</v>
      </c>
      <c r="N1273">
        <v>41999106</v>
      </c>
      <c r="O1273">
        <v>-205.5</v>
      </c>
      <c r="P1273" t="s">
        <v>73</v>
      </c>
      <c r="Q1273">
        <v>-205.5</v>
      </c>
      <c r="R1273" t="s">
        <v>73</v>
      </c>
      <c r="U1273" t="s">
        <v>226</v>
      </c>
      <c r="V1273" t="s">
        <v>259</v>
      </c>
      <c r="W1273" t="s">
        <v>228</v>
      </c>
      <c r="X1273" t="s">
        <v>229</v>
      </c>
      <c r="Y1273" t="s">
        <v>99</v>
      </c>
      <c r="AD1273" t="s">
        <v>73</v>
      </c>
      <c r="AE1273">
        <v>-205.5</v>
      </c>
      <c r="AF1273">
        <v>41999106</v>
      </c>
      <c r="AG1273" s="73">
        <v>45352.947222222225</v>
      </c>
      <c r="AH1273" t="s">
        <v>226</v>
      </c>
      <c r="AI1273" t="s">
        <v>259</v>
      </c>
      <c r="AJ1273" t="s">
        <v>228</v>
      </c>
      <c r="AK1273" t="s">
        <v>229</v>
      </c>
      <c r="AL1273" t="s">
        <v>99</v>
      </c>
      <c r="AP1273" t="s">
        <v>230</v>
      </c>
      <c r="AQ1273" t="s">
        <v>231</v>
      </c>
      <c r="AT1273" t="s">
        <v>232</v>
      </c>
      <c r="AU1273">
        <v>-99</v>
      </c>
      <c r="AV1273" t="s">
        <v>73</v>
      </c>
      <c r="AW1273">
        <v>-205.5</v>
      </c>
      <c r="AX1273">
        <v>41999106</v>
      </c>
      <c r="AY1273" s="73">
        <v>45352.947222222225</v>
      </c>
      <c r="AZ1273" t="s">
        <v>226</v>
      </c>
      <c r="BA1273" t="s">
        <v>259</v>
      </c>
      <c r="BB1273" t="s">
        <v>228</v>
      </c>
      <c r="BC1273" t="s">
        <v>229</v>
      </c>
      <c r="BD1273" t="s">
        <v>99</v>
      </c>
      <c r="BI1273" t="s">
        <v>233</v>
      </c>
      <c r="BJ1273" t="s">
        <v>0</v>
      </c>
      <c r="BK1273">
        <v>41999091</v>
      </c>
      <c r="BN1273" t="s">
        <v>73</v>
      </c>
      <c r="BR1273">
        <v>-205.5</v>
      </c>
      <c r="BS1273">
        <v>41999106</v>
      </c>
      <c r="BT1273" s="73">
        <v>45352.947222222225</v>
      </c>
      <c r="BU1273" t="s">
        <v>226</v>
      </c>
      <c r="BV1273" t="s">
        <v>259</v>
      </c>
      <c r="BW1273" t="s">
        <v>228</v>
      </c>
      <c r="CH1273" t="s">
        <v>229</v>
      </c>
      <c r="CI1273" t="s">
        <v>99</v>
      </c>
      <c r="CJ1273" t="s">
        <v>226</v>
      </c>
      <c r="CK1273" t="s">
        <v>259</v>
      </c>
      <c r="CL1273" t="s">
        <v>228</v>
      </c>
      <c r="CM1273" t="s">
        <v>234</v>
      </c>
      <c r="CN1273" t="s">
        <v>73</v>
      </c>
      <c r="CO1273">
        <v>-205.5</v>
      </c>
      <c r="CP1273">
        <v>41999106</v>
      </c>
      <c r="CQ1273" s="73">
        <v>45352.947222222225</v>
      </c>
      <c r="CR1273" t="s">
        <v>229</v>
      </c>
      <c r="CS1273" t="s">
        <v>99</v>
      </c>
      <c r="CU1273" t="s">
        <v>225</v>
      </c>
    </row>
    <row r="1274" spans="1:99">
      <c r="A1274" t="s">
        <v>103</v>
      </c>
      <c r="B1274" t="s">
        <v>98</v>
      </c>
      <c r="J1274" t="s">
        <v>225</v>
      </c>
      <c r="K1274" t="s">
        <v>225</v>
      </c>
      <c r="M1274" s="73">
        <v>45352.947222222225</v>
      </c>
      <c r="N1274">
        <v>41999105</v>
      </c>
      <c r="O1274">
        <v>4110</v>
      </c>
      <c r="P1274" t="s">
        <v>104</v>
      </c>
      <c r="Q1274">
        <v>4110</v>
      </c>
      <c r="R1274" t="s">
        <v>104</v>
      </c>
      <c r="S1274">
        <v>205.5</v>
      </c>
      <c r="T1274" t="s">
        <v>73</v>
      </c>
      <c r="U1274" t="s">
        <v>226</v>
      </c>
      <c r="V1274" t="s">
        <v>259</v>
      </c>
      <c r="W1274" t="s">
        <v>235</v>
      </c>
      <c r="X1274" t="s">
        <v>229</v>
      </c>
      <c r="Y1274" t="s">
        <v>103</v>
      </c>
      <c r="AD1274" t="s">
        <v>104</v>
      </c>
      <c r="AE1274">
        <v>4110</v>
      </c>
      <c r="AF1274">
        <v>41999105</v>
      </c>
      <c r="AG1274" s="73">
        <v>45352.947222222225</v>
      </c>
      <c r="AH1274" t="s">
        <v>226</v>
      </c>
      <c r="AI1274" t="s">
        <v>259</v>
      </c>
      <c r="AJ1274" t="s">
        <v>235</v>
      </c>
      <c r="AK1274" t="s">
        <v>229</v>
      </c>
      <c r="AL1274" t="s">
        <v>103</v>
      </c>
      <c r="AP1274" t="s">
        <v>230</v>
      </c>
      <c r="AQ1274" t="s">
        <v>231</v>
      </c>
      <c r="AT1274" t="s">
        <v>232</v>
      </c>
      <c r="AU1274">
        <v>-99</v>
      </c>
      <c r="AV1274" t="s">
        <v>104</v>
      </c>
      <c r="AW1274">
        <v>4110</v>
      </c>
      <c r="AX1274">
        <v>41999105</v>
      </c>
      <c r="AY1274" s="73">
        <v>45352.947222222225</v>
      </c>
      <c r="AZ1274" t="s">
        <v>226</v>
      </c>
      <c r="BA1274" t="s">
        <v>259</v>
      </c>
      <c r="BB1274" t="s">
        <v>235</v>
      </c>
      <c r="BC1274" t="s">
        <v>229</v>
      </c>
      <c r="BD1274" t="s">
        <v>103</v>
      </c>
      <c r="BI1274" t="s">
        <v>233</v>
      </c>
      <c r="BJ1274" t="s">
        <v>0</v>
      </c>
      <c r="BK1274">
        <v>41999091</v>
      </c>
      <c r="BN1274" t="s">
        <v>104</v>
      </c>
      <c r="BO1274">
        <v>41999097</v>
      </c>
      <c r="BR1274">
        <v>4110</v>
      </c>
      <c r="BS1274">
        <v>41999105</v>
      </c>
      <c r="BT1274" s="73">
        <v>45352.947222222225</v>
      </c>
      <c r="BU1274" t="s">
        <v>226</v>
      </c>
      <c r="BV1274" t="s">
        <v>259</v>
      </c>
      <c r="BW1274" t="s">
        <v>235</v>
      </c>
      <c r="CH1274" t="s">
        <v>229</v>
      </c>
      <c r="CI1274" t="s">
        <v>103</v>
      </c>
      <c r="CJ1274" t="s">
        <v>226</v>
      </c>
      <c r="CK1274" t="s">
        <v>259</v>
      </c>
      <c r="CL1274" t="s">
        <v>235</v>
      </c>
      <c r="CM1274" t="s">
        <v>236</v>
      </c>
      <c r="CN1274" t="s">
        <v>104</v>
      </c>
      <c r="CO1274">
        <v>4110</v>
      </c>
      <c r="CP1274">
        <v>41999105</v>
      </c>
      <c r="CQ1274" s="73">
        <v>45352.947222222225</v>
      </c>
      <c r="CR1274" t="s">
        <v>229</v>
      </c>
      <c r="CS1274" t="s">
        <v>103</v>
      </c>
      <c r="CU1274" t="s">
        <v>225</v>
      </c>
    </row>
    <row r="1275" spans="1:99">
      <c r="A1275" t="s">
        <v>111</v>
      </c>
      <c r="B1275" t="s">
        <v>77</v>
      </c>
      <c r="J1275" t="s">
        <v>225</v>
      </c>
      <c r="K1275" t="s">
        <v>225</v>
      </c>
      <c r="M1275" s="73">
        <v>45352.947222222225</v>
      </c>
      <c r="N1275">
        <v>41999104</v>
      </c>
      <c r="O1275">
        <v>2</v>
      </c>
      <c r="P1275" t="s">
        <v>45</v>
      </c>
      <c r="Q1275">
        <v>2</v>
      </c>
      <c r="R1275" t="s">
        <v>45</v>
      </c>
      <c r="U1275" t="s">
        <v>226</v>
      </c>
      <c r="V1275" t="s">
        <v>259</v>
      </c>
      <c r="W1275" t="s">
        <v>237</v>
      </c>
      <c r="X1275" t="s">
        <v>229</v>
      </c>
      <c r="Y1275" t="s">
        <v>111</v>
      </c>
      <c r="AD1275" t="s">
        <v>45</v>
      </c>
      <c r="AE1275">
        <v>2</v>
      </c>
      <c r="AF1275">
        <v>41999104</v>
      </c>
      <c r="AG1275" s="73">
        <v>45352.947222222225</v>
      </c>
      <c r="AH1275" t="s">
        <v>226</v>
      </c>
      <c r="AI1275" t="s">
        <v>259</v>
      </c>
      <c r="AJ1275" t="s">
        <v>237</v>
      </c>
      <c r="AK1275" t="s">
        <v>229</v>
      </c>
      <c r="AL1275" t="s">
        <v>111</v>
      </c>
      <c r="AP1275" t="s">
        <v>230</v>
      </c>
      <c r="AQ1275" t="s">
        <v>231</v>
      </c>
      <c r="AT1275" t="s">
        <v>232</v>
      </c>
      <c r="AU1275">
        <v>-99</v>
      </c>
      <c r="AV1275" t="s">
        <v>45</v>
      </c>
      <c r="AW1275">
        <v>2</v>
      </c>
      <c r="AX1275">
        <v>41999104</v>
      </c>
      <c r="AY1275" s="73">
        <v>45352.947222222225</v>
      </c>
      <c r="AZ1275" t="s">
        <v>226</v>
      </c>
      <c r="BA1275" t="s">
        <v>259</v>
      </c>
      <c r="BB1275" t="s">
        <v>237</v>
      </c>
      <c r="BC1275" t="s">
        <v>229</v>
      </c>
      <c r="BD1275" t="s">
        <v>111</v>
      </c>
      <c r="BI1275" t="s">
        <v>233</v>
      </c>
      <c r="BJ1275" t="s">
        <v>0</v>
      </c>
      <c r="BK1275">
        <v>41999091</v>
      </c>
      <c r="BN1275" t="s">
        <v>45</v>
      </c>
      <c r="BO1275">
        <v>41999099</v>
      </c>
      <c r="BR1275">
        <v>2</v>
      </c>
      <c r="BS1275">
        <v>41999104</v>
      </c>
      <c r="BT1275" s="73">
        <v>45352.947222222225</v>
      </c>
      <c r="BU1275" t="s">
        <v>226</v>
      </c>
      <c r="BV1275" t="s">
        <v>259</v>
      </c>
      <c r="BW1275" t="s">
        <v>237</v>
      </c>
      <c r="CH1275" t="s">
        <v>229</v>
      </c>
      <c r="CI1275" t="s">
        <v>111</v>
      </c>
      <c r="CJ1275" t="s">
        <v>226</v>
      </c>
      <c r="CK1275" t="s">
        <v>259</v>
      </c>
      <c r="CL1275" t="s">
        <v>237</v>
      </c>
      <c r="CM1275" t="s">
        <v>236</v>
      </c>
      <c r="CN1275" t="s">
        <v>45</v>
      </c>
      <c r="CO1275">
        <v>2</v>
      </c>
      <c r="CP1275">
        <v>41999104</v>
      </c>
      <c r="CQ1275" s="73">
        <v>45352.947222222225</v>
      </c>
      <c r="CR1275" t="s">
        <v>229</v>
      </c>
      <c r="CS1275" t="s">
        <v>111</v>
      </c>
      <c r="CU1275" t="s">
        <v>225</v>
      </c>
    </row>
    <row r="1276" spans="1:99">
      <c r="A1276" t="s">
        <v>42</v>
      </c>
      <c r="B1276" t="s">
        <v>92</v>
      </c>
      <c r="J1276" t="s">
        <v>225</v>
      </c>
      <c r="K1276" t="s">
        <v>225</v>
      </c>
      <c r="M1276" s="73">
        <v>45352.944444444445</v>
      </c>
      <c r="N1276">
        <v>41999082</v>
      </c>
      <c r="O1276">
        <v>-4507</v>
      </c>
      <c r="P1276" t="s">
        <v>45</v>
      </c>
      <c r="Q1276">
        <v>-4507</v>
      </c>
      <c r="R1276" t="s">
        <v>45</v>
      </c>
      <c r="U1276" t="s">
        <v>226</v>
      </c>
      <c r="V1276" t="s">
        <v>260</v>
      </c>
      <c r="W1276" t="s">
        <v>228</v>
      </c>
      <c r="X1276" t="s">
        <v>229</v>
      </c>
      <c r="Y1276" t="s">
        <v>42</v>
      </c>
      <c r="AD1276" t="s">
        <v>45</v>
      </c>
      <c r="AE1276">
        <v>-4507</v>
      </c>
      <c r="AF1276">
        <v>41999082</v>
      </c>
      <c r="AG1276" s="73">
        <v>45352.944444444445</v>
      </c>
      <c r="AH1276" t="s">
        <v>226</v>
      </c>
      <c r="AI1276" t="s">
        <v>260</v>
      </c>
      <c r="AJ1276" t="s">
        <v>228</v>
      </c>
      <c r="AK1276" t="s">
        <v>229</v>
      </c>
      <c r="AL1276" t="s">
        <v>42</v>
      </c>
      <c r="AP1276" t="s">
        <v>230</v>
      </c>
      <c r="AQ1276" t="s">
        <v>231</v>
      </c>
      <c r="AT1276" t="s">
        <v>232</v>
      </c>
      <c r="AU1276">
        <v>-99</v>
      </c>
      <c r="AV1276" t="s">
        <v>45</v>
      </c>
      <c r="AW1276">
        <v>-4507</v>
      </c>
      <c r="AX1276">
        <v>41999082</v>
      </c>
      <c r="AY1276" s="73">
        <v>45352.944444444445</v>
      </c>
      <c r="AZ1276" t="s">
        <v>226</v>
      </c>
      <c r="BA1276" t="s">
        <v>260</v>
      </c>
      <c r="BB1276" t="s">
        <v>228</v>
      </c>
      <c r="BC1276" t="s">
        <v>229</v>
      </c>
      <c r="BD1276" t="s">
        <v>42</v>
      </c>
      <c r="BI1276" t="s">
        <v>233</v>
      </c>
      <c r="BJ1276" t="s">
        <v>0</v>
      </c>
      <c r="BK1276">
        <v>41999066</v>
      </c>
      <c r="BN1276" t="s">
        <v>45</v>
      </c>
      <c r="BR1276">
        <v>-4507</v>
      </c>
      <c r="BS1276">
        <v>41999082</v>
      </c>
      <c r="BT1276" s="73">
        <v>45352.944444444445</v>
      </c>
      <c r="BU1276" t="s">
        <v>226</v>
      </c>
      <c r="BV1276" t="s">
        <v>260</v>
      </c>
      <c r="BW1276" t="s">
        <v>228</v>
      </c>
      <c r="CH1276" t="s">
        <v>229</v>
      </c>
      <c r="CI1276" t="s">
        <v>42</v>
      </c>
      <c r="CJ1276" t="s">
        <v>226</v>
      </c>
      <c r="CK1276" t="s">
        <v>260</v>
      </c>
      <c r="CL1276" t="s">
        <v>228</v>
      </c>
      <c r="CM1276" t="s">
        <v>234</v>
      </c>
      <c r="CN1276" t="s">
        <v>45</v>
      </c>
      <c r="CO1276">
        <v>-4507</v>
      </c>
      <c r="CP1276">
        <v>41999082</v>
      </c>
      <c r="CQ1276" s="73">
        <v>45352.944444444445</v>
      </c>
      <c r="CR1276" t="s">
        <v>229</v>
      </c>
      <c r="CS1276" t="s">
        <v>42</v>
      </c>
      <c r="CU1276" t="s">
        <v>225</v>
      </c>
    </row>
    <row r="1277" spans="1:99">
      <c r="A1277" t="s">
        <v>99</v>
      </c>
      <c r="B1277" t="s">
        <v>98</v>
      </c>
      <c r="J1277" t="s">
        <v>225</v>
      </c>
      <c r="K1277" t="s">
        <v>225</v>
      </c>
      <c r="M1277" s="73">
        <v>45352.944444444445</v>
      </c>
      <c r="N1277">
        <v>41999081</v>
      </c>
      <c r="O1277">
        <v>-225</v>
      </c>
      <c r="P1277" t="s">
        <v>73</v>
      </c>
      <c r="Q1277">
        <v>-225</v>
      </c>
      <c r="R1277" t="s">
        <v>73</v>
      </c>
      <c r="U1277" t="s">
        <v>226</v>
      </c>
      <c r="V1277" t="s">
        <v>260</v>
      </c>
      <c r="W1277" t="s">
        <v>228</v>
      </c>
      <c r="X1277" t="s">
        <v>229</v>
      </c>
      <c r="Y1277" t="s">
        <v>99</v>
      </c>
      <c r="AD1277" t="s">
        <v>73</v>
      </c>
      <c r="AE1277">
        <v>-225</v>
      </c>
      <c r="AF1277">
        <v>41999081</v>
      </c>
      <c r="AG1277" s="73">
        <v>45352.944444444445</v>
      </c>
      <c r="AH1277" t="s">
        <v>226</v>
      </c>
      <c r="AI1277" t="s">
        <v>260</v>
      </c>
      <c r="AJ1277" t="s">
        <v>228</v>
      </c>
      <c r="AK1277" t="s">
        <v>229</v>
      </c>
      <c r="AL1277" t="s">
        <v>99</v>
      </c>
      <c r="AP1277" t="s">
        <v>230</v>
      </c>
      <c r="AQ1277" t="s">
        <v>231</v>
      </c>
      <c r="AT1277" t="s">
        <v>232</v>
      </c>
      <c r="AU1277">
        <v>-99</v>
      </c>
      <c r="AV1277" t="s">
        <v>73</v>
      </c>
      <c r="AW1277">
        <v>-225</v>
      </c>
      <c r="AX1277">
        <v>41999081</v>
      </c>
      <c r="AY1277" s="73">
        <v>45352.944444444445</v>
      </c>
      <c r="AZ1277" t="s">
        <v>226</v>
      </c>
      <c r="BA1277" t="s">
        <v>260</v>
      </c>
      <c r="BB1277" t="s">
        <v>228</v>
      </c>
      <c r="BC1277" t="s">
        <v>229</v>
      </c>
      <c r="BD1277" t="s">
        <v>99</v>
      </c>
      <c r="BI1277" t="s">
        <v>233</v>
      </c>
      <c r="BJ1277" t="s">
        <v>0</v>
      </c>
      <c r="BK1277">
        <v>41999066</v>
      </c>
      <c r="BN1277" t="s">
        <v>73</v>
      </c>
      <c r="BR1277">
        <v>-225</v>
      </c>
      <c r="BS1277">
        <v>41999081</v>
      </c>
      <c r="BT1277" s="73">
        <v>45352.944444444445</v>
      </c>
      <c r="BU1277" t="s">
        <v>226</v>
      </c>
      <c r="BV1277" t="s">
        <v>260</v>
      </c>
      <c r="BW1277" t="s">
        <v>228</v>
      </c>
      <c r="CH1277" t="s">
        <v>229</v>
      </c>
      <c r="CI1277" t="s">
        <v>99</v>
      </c>
      <c r="CJ1277" t="s">
        <v>226</v>
      </c>
      <c r="CK1277" t="s">
        <v>260</v>
      </c>
      <c r="CL1277" t="s">
        <v>228</v>
      </c>
      <c r="CM1277" t="s">
        <v>234</v>
      </c>
      <c r="CN1277" t="s">
        <v>73</v>
      </c>
      <c r="CO1277">
        <v>-225</v>
      </c>
      <c r="CP1277">
        <v>41999081</v>
      </c>
      <c r="CQ1277" s="73">
        <v>45352.944444444445</v>
      </c>
      <c r="CR1277" t="s">
        <v>229</v>
      </c>
      <c r="CS1277" t="s">
        <v>99</v>
      </c>
      <c r="CU1277" t="s">
        <v>225</v>
      </c>
    </row>
    <row r="1278" spans="1:99">
      <c r="A1278" t="s">
        <v>103</v>
      </c>
      <c r="B1278" t="s">
        <v>98</v>
      </c>
      <c r="J1278" t="s">
        <v>225</v>
      </c>
      <c r="K1278" t="s">
        <v>225</v>
      </c>
      <c r="M1278" s="73">
        <v>45352.944444444445</v>
      </c>
      <c r="N1278">
        <v>41999080</v>
      </c>
      <c r="O1278">
        <v>4500</v>
      </c>
      <c r="P1278" t="s">
        <v>104</v>
      </c>
      <c r="Q1278">
        <v>4500</v>
      </c>
      <c r="R1278" t="s">
        <v>104</v>
      </c>
      <c r="S1278">
        <v>225</v>
      </c>
      <c r="T1278" t="s">
        <v>73</v>
      </c>
      <c r="U1278" t="s">
        <v>226</v>
      </c>
      <c r="V1278" t="s">
        <v>260</v>
      </c>
      <c r="W1278" t="s">
        <v>235</v>
      </c>
      <c r="X1278" t="s">
        <v>229</v>
      </c>
      <c r="Y1278" t="s">
        <v>103</v>
      </c>
      <c r="AD1278" t="s">
        <v>104</v>
      </c>
      <c r="AE1278">
        <v>4500</v>
      </c>
      <c r="AF1278">
        <v>41999080</v>
      </c>
      <c r="AG1278" s="73">
        <v>45352.944444444445</v>
      </c>
      <c r="AH1278" t="s">
        <v>226</v>
      </c>
      <c r="AI1278" t="s">
        <v>260</v>
      </c>
      <c r="AJ1278" t="s">
        <v>235</v>
      </c>
      <c r="AK1278" t="s">
        <v>229</v>
      </c>
      <c r="AL1278" t="s">
        <v>103</v>
      </c>
      <c r="AP1278" t="s">
        <v>230</v>
      </c>
      <c r="AQ1278" t="s">
        <v>231</v>
      </c>
      <c r="AT1278" t="s">
        <v>232</v>
      </c>
      <c r="AU1278">
        <v>-99</v>
      </c>
      <c r="AV1278" t="s">
        <v>104</v>
      </c>
      <c r="AW1278">
        <v>4500</v>
      </c>
      <c r="AX1278">
        <v>41999080</v>
      </c>
      <c r="AY1278" s="73">
        <v>45352.944444444445</v>
      </c>
      <c r="AZ1278" t="s">
        <v>226</v>
      </c>
      <c r="BA1278" t="s">
        <v>260</v>
      </c>
      <c r="BB1278" t="s">
        <v>235</v>
      </c>
      <c r="BC1278" t="s">
        <v>229</v>
      </c>
      <c r="BD1278" t="s">
        <v>103</v>
      </c>
      <c r="BI1278" t="s">
        <v>233</v>
      </c>
      <c r="BJ1278" t="s">
        <v>0</v>
      </c>
      <c r="BK1278">
        <v>41999066</v>
      </c>
      <c r="BN1278" t="s">
        <v>104</v>
      </c>
      <c r="BO1278">
        <v>41999072</v>
      </c>
      <c r="BR1278">
        <v>4500</v>
      </c>
      <c r="BS1278">
        <v>41999080</v>
      </c>
      <c r="BT1278" s="73">
        <v>45352.944444444445</v>
      </c>
      <c r="BU1278" t="s">
        <v>226</v>
      </c>
      <c r="BV1278" t="s">
        <v>260</v>
      </c>
      <c r="BW1278" t="s">
        <v>235</v>
      </c>
      <c r="CH1278" t="s">
        <v>229</v>
      </c>
      <c r="CI1278" t="s">
        <v>103</v>
      </c>
      <c r="CJ1278" t="s">
        <v>226</v>
      </c>
      <c r="CK1278" t="s">
        <v>260</v>
      </c>
      <c r="CL1278" t="s">
        <v>235</v>
      </c>
      <c r="CM1278" t="s">
        <v>236</v>
      </c>
      <c r="CN1278" t="s">
        <v>104</v>
      </c>
      <c r="CO1278">
        <v>4500</v>
      </c>
      <c r="CP1278">
        <v>41999080</v>
      </c>
      <c r="CQ1278" s="73">
        <v>45352.944444444445</v>
      </c>
      <c r="CR1278" t="s">
        <v>229</v>
      </c>
      <c r="CS1278" t="s">
        <v>103</v>
      </c>
      <c r="CU1278" t="s">
        <v>225</v>
      </c>
    </row>
    <row r="1279" spans="1:99">
      <c r="A1279" t="s">
        <v>111</v>
      </c>
      <c r="B1279" t="s">
        <v>77</v>
      </c>
      <c r="J1279" t="s">
        <v>225</v>
      </c>
      <c r="K1279" t="s">
        <v>225</v>
      </c>
      <c r="M1279" s="73">
        <v>45352.944444444445</v>
      </c>
      <c r="N1279">
        <v>41999079</v>
      </c>
      <c r="O1279">
        <v>7</v>
      </c>
      <c r="P1279" t="s">
        <v>45</v>
      </c>
      <c r="Q1279">
        <v>7</v>
      </c>
      <c r="R1279" t="s">
        <v>45</v>
      </c>
      <c r="U1279" t="s">
        <v>226</v>
      </c>
      <c r="V1279" t="s">
        <v>260</v>
      </c>
      <c r="W1279" t="s">
        <v>237</v>
      </c>
      <c r="X1279" t="s">
        <v>229</v>
      </c>
      <c r="Y1279" t="s">
        <v>111</v>
      </c>
      <c r="AD1279" t="s">
        <v>45</v>
      </c>
      <c r="AE1279">
        <v>7</v>
      </c>
      <c r="AF1279">
        <v>41999079</v>
      </c>
      <c r="AG1279" s="73">
        <v>45352.944444444445</v>
      </c>
      <c r="AH1279" t="s">
        <v>226</v>
      </c>
      <c r="AI1279" t="s">
        <v>260</v>
      </c>
      <c r="AJ1279" t="s">
        <v>237</v>
      </c>
      <c r="AK1279" t="s">
        <v>229</v>
      </c>
      <c r="AL1279" t="s">
        <v>111</v>
      </c>
      <c r="AP1279" t="s">
        <v>230</v>
      </c>
      <c r="AQ1279" t="s">
        <v>231</v>
      </c>
      <c r="AT1279" t="s">
        <v>232</v>
      </c>
      <c r="AU1279">
        <v>-99</v>
      </c>
      <c r="AV1279" t="s">
        <v>45</v>
      </c>
      <c r="AW1279">
        <v>7</v>
      </c>
      <c r="AX1279">
        <v>41999079</v>
      </c>
      <c r="AY1279" s="73">
        <v>45352.944444444445</v>
      </c>
      <c r="AZ1279" t="s">
        <v>226</v>
      </c>
      <c r="BA1279" t="s">
        <v>260</v>
      </c>
      <c r="BB1279" t="s">
        <v>237</v>
      </c>
      <c r="BC1279" t="s">
        <v>229</v>
      </c>
      <c r="BD1279" t="s">
        <v>111</v>
      </c>
      <c r="BI1279" t="s">
        <v>233</v>
      </c>
      <c r="BJ1279" t="s">
        <v>0</v>
      </c>
      <c r="BK1279">
        <v>41999066</v>
      </c>
      <c r="BN1279" t="s">
        <v>45</v>
      </c>
      <c r="BO1279">
        <v>41999074</v>
      </c>
      <c r="BR1279">
        <v>7</v>
      </c>
      <c r="BS1279">
        <v>41999079</v>
      </c>
      <c r="BT1279" s="73">
        <v>45352.944444444445</v>
      </c>
      <c r="BU1279" t="s">
        <v>226</v>
      </c>
      <c r="BV1279" t="s">
        <v>260</v>
      </c>
      <c r="BW1279" t="s">
        <v>237</v>
      </c>
      <c r="CH1279" t="s">
        <v>229</v>
      </c>
      <c r="CI1279" t="s">
        <v>111</v>
      </c>
      <c r="CJ1279" t="s">
        <v>226</v>
      </c>
      <c r="CK1279" t="s">
        <v>260</v>
      </c>
      <c r="CL1279" t="s">
        <v>237</v>
      </c>
      <c r="CM1279" t="s">
        <v>236</v>
      </c>
      <c r="CN1279" t="s">
        <v>45</v>
      </c>
      <c r="CO1279">
        <v>7</v>
      </c>
      <c r="CP1279">
        <v>41999079</v>
      </c>
      <c r="CQ1279" s="73">
        <v>45352.944444444445</v>
      </c>
      <c r="CR1279" t="s">
        <v>229</v>
      </c>
      <c r="CS1279" t="s">
        <v>111</v>
      </c>
      <c r="CU1279" t="s">
        <v>225</v>
      </c>
    </row>
    <row r="1280" spans="1:99">
      <c r="A1280" t="s">
        <v>52</v>
      </c>
      <c r="B1280" t="s">
        <v>92</v>
      </c>
      <c r="J1280" t="s">
        <v>225</v>
      </c>
      <c r="K1280" t="s">
        <v>225</v>
      </c>
      <c r="M1280" s="73">
        <v>45352.925000000003</v>
      </c>
      <c r="N1280">
        <v>41998919</v>
      </c>
      <c r="O1280">
        <v>-500</v>
      </c>
      <c r="P1280" t="s">
        <v>45</v>
      </c>
      <c r="Q1280">
        <v>-500</v>
      </c>
      <c r="R1280" t="s">
        <v>45</v>
      </c>
      <c r="U1280" t="s">
        <v>226</v>
      </c>
      <c r="V1280" t="s">
        <v>261</v>
      </c>
      <c r="W1280" t="s">
        <v>228</v>
      </c>
      <c r="X1280" t="s">
        <v>229</v>
      </c>
      <c r="Y1280" t="s">
        <v>52</v>
      </c>
      <c r="AD1280" t="s">
        <v>45</v>
      </c>
      <c r="AE1280">
        <v>-500</v>
      </c>
      <c r="AF1280">
        <v>41998919</v>
      </c>
      <c r="AG1280" s="73">
        <v>45352.925000000003</v>
      </c>
      <c r="AH1280" t="s">
        <v>226</v>
      </c>
      <c r="AI1280" t="s">
        <v>261</v>
      </c>
      <c r="AJ1280" t="s">
        <v>228</v>
      </c>
      <c r="AK1280" t="s">
        <v>229</v>
      </c>
      <c r="AL1280" t="s">
        <v>52</v>
      </c>
      <c r="AP1280" t="s">
        <v>230</v>
      </c>
      <c r="AQ1280" t="s">
        <v>231</v>
      </c>
      <c r="AT1280" t="s">
        <v>232</v>
      </c>
      <c r="AU1280">
        <v>-99</v>
      </c>
      <c r="AV1280" t="s">
        <v>45</v>
      </c>
      <c r="AW1280">
        <v>-500</v>
      </c>
      <c r="AX1280">
        <v>41998919</v>
      </c>
      <c r="AY1280" s="73">
        <v>45352.925000000003</v>
      </c>
      <c r="AZ1280" t="s">
        <v>226</v>
      </c>
      <c r="BA1280" t="s">
        <v>261</v>
      </c>
      <c r="BB1280" t="s">
        <v>228</v>
      </c>
      <c r="BC1280" t="s">
        <v>229</v>
      </c>
      <c r="BD1280" t="s">
        <v>52</v>
      </c>
      <c r="BI1280" t="s">
        <v>233</v>
      </c>
      <c r="BJ1280" t="s">
        <v>0</v>
      </c>
      <c r="BK1280">
        <v>41998907</v>
      </c>
      <c r="BN1280" t="s">
        <v>45</v>
      </c>
      <c r="BR1280">
        <v>-500</v>
      </c>
      <c r="BS1280">
        <v>41998919</v>
      </c>
      <c r="BT1280" s="73">
        <v>45352.925000000003</v>
      </c>
      <c r="BU1280" t="s">
        <v>226</v>
      </c>
      <c r="BV1280" t="s">
        <v>261</v>
      </c>
      <c r="BW1280" t="s">
        <v>228</v>
      </c>
      <c r="CH1280" t="s">
        <v>229</v>
      </c>
      <c r="CI1280" t="s">
        <v>52</v>
      </c>
      <c r="CJ1280" t="s">
        <v>226</v>
      </c>
      <c r="CK1280" t="s">
        <v>261</v>
      </c>
      <c r="CL1280" t="s">
        <v>228</v>
      </c>
      <c r="CM1280" t="s">
        <v>234</v>
      </c>
      <c r="CN1280" t="s">
        <v>45</v>
      </c>
      <c r="CO1280">
        <v>-500</v>
      </c>
      <c r="CP1280">
        <v>41998919</v>
      </c>
      <c r="CQ1280" s="73">
        <v>45352.925000000003</v>
      </c>
      <c r="CR1280" t="s">
        <v>229</v>
      </c>
      <c r="CS1280" t="s">
        <v>52</v>
      </c>
      <c r="CU1280" t="s">
        <v>225</v>
      </c>
    </row>
    <row r="1281" spans="1:99">
      <c r="A1281" t="s">
        <v>101</v>
      </c>
      <c r="B1281" t="s">
        <v>98</v>
      </c>
      <c r="J1281" t="s">
        <v>225</v>
      </c>
      <c r="K1281" t="s">
        <v>225</v>
      </c>
      <c r="M1281" s="73">
        <v>45352.925000000003</v>
      </c>
      <c r="N1281">
        <v>41998918</v>
      </c>
      <c r="O1281">
        <v>-25</v>
      </c>
      <c r="P1281" t="s">
        <v>73</v>
      </c>
      <c r="Q1281">
        <v>-25</v>
      </c>
      <c r="R1281" t="s">
        <v>73</v>
      </c>
      <c r="U1281" t="s">
        <v>226</v>
      </c>
      <c r="V1281" t="s">
        <v>261</v>
      </c>
      <c r="W1281" t="s">
        <v>228</v>
      </c>
      <c r="X1281" t="s">
        <v>229</v>
      </c>
      <c r="Y1281" t="s">
        <v>101</v>
      </c>
      <c r="AD1281" t="s">
        <v>73</v>
      </c>
      <c r="AE1281">
        <v>-25</v>
      </c>
      <c r="AF1281">
        <v>41998918</v>
      </c>
      <c r="AG1281" s="73">
        <v>45352.925000000003</v>
      </c>
      <c r="AH1281" t="s">
        <v>226</v>
      </c>
      <c r="AI1281" t="s">
        <v>261</v>
      </c>
      <c r="AJ1281" t="s">
        <v>228</v>
      </c>
      <c r="AK1281" t="s">
        <v>229</v>
      </c>
      <c r="AL1281" t="s">
        <v>101</v>
      </c>
      <c r="AP1281" t="s">
        <v>230</v>
      </c>
      <c r="AQ1281" t="s">
        <v>231</v>
      </c>
      <c r="AT1281" t="s">
        <v>232</v>
      </c>
      <c r="AU1281">
        <v>-99</v>
      </c>
      <c r="AV1281" t="s">
        <v>73</v>
      </c>
      <c r="AW1281">
        <v>-25</v>
      </c>
      <c r="AX1281">
        <v>41998918</v>
      </c>
      <c r="AY1281" s="73">
        <v>45352.925000000003</v>
      </c>
      <c r="AZ1281" t="s">
        <v>226</v>
      </c>
      <c r="BA1281" t="s">
        <v>261</v>
      </c>
      <c r="BB1281" t="s">
        <v>228</v>
      </c>
      <c r="BC1281" t="s">
        <v>229</v>
      </c>
      <c r="BD1281" t="s">
        <v>101</v>
      </c>
      <c r="BI1281" t="s">
        <v>233</v>
      </c>
      <c r="BJ1281" t="s">
        <v>0</v>
      </c>
      <c r="BK1281">
        <v>41998907</v>
      </c>
      <c r="BN1281" t="s">
        <v>73</v>
      </c>
      <c r="BR1281">
        <v>-25</v>
      </c>
      <c r="BS1281">
        <v>41998918</v>
      </c>
      <c r="BT1281" s="73">
        <v>45352.925000000003</v>
      </c>
      <c r="BU1281" t="s">
        <v>226</v>
      </c>
      <c r="BV1281" t="s">
        <v>261</v>
      </c>
      <c r="BW1281" t="s">
        <v>228</v>
      </c>
      <c r="CH1281" t="s">
        <v>229</v>
      </c>
      <c r="CI1281" t="s">
        <v>101</v>
      </c>
      <c r="CJ1281" t="s">
        <v>226</v>
      </c>
      <c r="CK1281" t="s">
        <v>261</v>
      </c>
      <c r="CL1281" t="s">
        <v>228</v>
      </c>
      <c r="CM1281" t="s">
        <v>234</v>
      </c>
      <c r="CN1281" t="s">
        <v>73</v>
      </c>
      <c r="CO1281">
        <v>-25</v>
      </c>
      <c r="CP1281">
        <v>41998918</v>
      </c>
      <c r="CQ1281" s="73">
        <v>45352.925000000003</v>
      </c>
      <c r="CR1281" t="s">
        <v>229</v>
      </c>
      <c r="CS1281" t="s">
        <v>101</v>
      </c>
      <c r="CU1281" t="s">
        <v>225</v>
      </c>
    </row>
    <row r="1282" spans="1:99">
      <c r="A1282" t="s">
        <v>107</v>
      </c>
      <c r="B1282" t="s">
        <v>98</v>
      </c>
      <c r="J1282" t="s">
        <v>225</v>
      </c>
      <c r="K1282" t="s">
        <v>225</v>
      </c>
      <c r="M1282" s="73">
        <v>45352.925000000003</v>
      </c>
      <c r="N1282">
        <v>41998917</v>
      </c>
      <c r="O1282">
        <v>500</v>
      </c>
      <c r="P1282" t="s">
        <v>104</v>
      </c>
      <c r="Q1282">
        <v>500</v>
      </c>
      <c r="R1282" t="s">
        <v>104</v>
      </c>
      <c r="S1282">
        <v>25</v>
      </c>
      <c r="T1282" t="s">
        <v>73</v>
      </c>
      <c r="U1282" t="s">
        <v>226</v>
      </c>
      <c r="V1282" t="s">
        <v>261</v>
      </c>
      <c r="W1282" t="s">
        <v>235</v>
      </c>
      <c r="X1282" t="s">
        <v>229</v>
      </c>
      <c r="Y1282" t="s">
        <v>107</v>
      </c>
      <c r="AD1282" t="s">
        <v>104</v>
      </c>
      <c r="AE1282">
        <v>500</v>
      </c>
      <c r="AF1282">
        <v>41998917</v>
      </c>
      <c r="AG1282" s="73">
        <v>45352.925000000003</v>
      </c>
      <c r="AH1282" t="s">
        <v>226</v>
      </c>
      <c r="AI1282" t="s">
        <v>261</v>
      </c>
      <c r="AJ1282" t="s">
        <v>235</v>
      </c>
      <c r="AK1282" t="s">
        <v>229</v>
      </c>
      <c r="AL1282" t="s">
        <v>107</v>
      </c>
      <c r="AP1282" t="s">
        <v>230</v>
      </c>
      <c r="AQ1282" t="s">
        <v>231</v>
      </c>
      <c r="AT1282" t="s">
        <v>232</v>
      </c>
      <c r="AU1282">
        <v>-99</v>
      </c>
      <c r="AV1282" t="s">
        <v>104</v>
      </c>
      <c r="AW1282">
        <v>500</v>
      </c>
      <c r="AX1282">
        <v>41998917</v>
      </c>
      <c r="AY1282" s="73">
        <v>45352.925000000003</v>
      </c>
      <c r="AZ1282" t="s">
        <v>226</v>
      </c>
      <c r="BA1282" t="s">
        <v>261</v>
      </c>
      <c r="BB1282" t="s">
        <v>235</v>
      </c>
      <c r="BC1282" t="s">
        <v>229</v>
      </c>
      <c r="BD1282" t="s">
        <v>107</v>
      </c>
      <c r="BI1282" t="s">
        <v>233</v>
      </c>
      <c r="BJ1282" t="s">
        <v>0</v>
      </c>
      <c r="BK1282">
        <v>41998907</v>
      </c>
      <c r="BN1282" t="s">
        <v>104</v>
      </c>
      <c r="BO1282">
        <v>41998913</v>
      </c>
      <c r="BR1282">
        <v>500</v>
      </c>
      <c r="BS1282">
        <v>41998917</v>
      </c>
      <c r="BT1282" s="73">
        <v>45352.925000000003</v>
      </c>
      <c r="BU1282" t="s">
        <v>226</v>
      </c>
      <c r="BV1282" t="s">
        <v>261</v>
      </c>
      <c r="BW1282" t="s">
        <v>235</v>
      </c>
      <c r="CH1282" t="s">
        <v>229</v>
      </c>
      <c r="CI1282" t="s">
        <v>107</v>
      </c>
      <c r="CJ1282" t="s">
        <v>226</v>
      </c>
      <c r="CK1282" t="s">
        <v>261</v>
      </c>
      <c r="CL1282" t="s">
        <v>235</v>
      </c>
      <c r="CM1282" t="s">
        <v>236</v>
      </c>
      <c r="CN1282" t="s">
        <v>104</v>
      </c>
      <c r="CO1282">
        <v>500</v>
      </c>
      <c r="CP1282">
        <v>41998917</v>
      </c>
      <c r="CQ1282" s="73">
        <v>45352.925000000003</v>
      </c>
      <c r="CR1282" t="s">
        <v>229</v>
      </c>
      <c r="CS1282" t="s">
        <v>107</v>
      </c>
      <c r="CU1282" t="s">
        <v>225</v>
      </c>
    </row>
    <row r="1283" spans="1:99">
      <c r="A1283" t="s">
        <v>113</v>
      </c>
      <c r="B1283" t="s">
        <v>90</v>
      </c>
      <c r="J1283" t="s">
        <v>225</v>
      </c>
      <c r="K1283" t="s">
        <v>225</v>
      </c>
      <c r="M1283" s="73">
        <v>45352.923622685186</v>
      </c>
      <c r="N1283">
        <v>42199880</v>
      </c>
      <c r="O1283">
        <v>-220</v>
      </c>
      <c r="P1283" t="s">
        <v>115</v>
      </c>
      <c r="Q1283">
        <v>-220</v>
      </c>
      <c r="R1283" t="s">
        <v>115</v>
      </c>
      <c r="U1283" t="s">
        <v>226</v>
      </c>
      <c r="V1283" t="s">
        <v>262</v>
      </c>
      <c r="W1283" t="s">
        <v>228</v>
      </c>
      <c r="X1283" t="s">
        <v>229</v>
      </c>
      <c r="Y1283" t="s">
        <v>113</v>
      </c>
      <c r="AD1283" t="s">
        <v>115</v>
      </c>
      <c r="AE1283">
        <v>-220</v>
      </c>
      <c r="AF1283">
        <v>42199880</v>
      </c>
      <c r="AG1283" s="73">
        <v>45352.923622685186</v>
      </c>
      <c r="AH1283" t="s">
        <v>226</v>
      </c>
      <c r="AI1283" t="s">
        <v>262</v>
      </c>
      <c r="AJ1283" t="s">
        <v>228</v>
      </c>
      <c r="AK1283" t="s">
        <v>229</v>
      </c>
      <c r="AL1283" t="s">
        <v>113</v>
      </c>
      <c r="AP1283" t="s">
        <v>230</v>
      </c>
      <c r="AQ1283" t="s">
        <v>231</v>
      </c>
      <c r="AT1283" t="s">
        <v>232</v>
      </c>
      <c r="AU1283">
        <v>-99</v>
      </c>
      <c r="AV1283" t="s">
        <v>115</v>
      </c>
      <c r="AW1283">
        <v>-220</v>
      </c>
      <c r="AX1283">
        <v>42199880</v>
      </c>
      <c r="AY1283" s="73">
        <v>45352.923622685186</v>
      </c>
      <c r="AZ1283" t="s">
        <v>226</v>
      </c>
      <c r="BA1283" t="s">
        <v>262</v>
      </c>
      <c r="BB1283" t="s">
        <v>228</v>
      </c>
      <c r="BC1283" t="s">
        <v>229</v>
      </c>
      <c r="BD1283" t="s">
        <v>113</v>
      </c>
      <c r="BI1283" t="s">
        <v>233</v>
      </c>
      <c r="BJ1283" t="s">
        <v>0</v>
      </c>
      <c r="BK1283">
        <v>42199876</v>
      </c>
      <c r="BN1283" t="s">
        <v>115</v>
      </c>
      <c r="BR1283">
        <v>-220</v>
      </c>
      <c r="BS1283">
        <v>42199880</v>
      </c>
      <c r="BT1283" s="73">
        <v>45352.923622685186</v>
      </c>
      <c r="BU1283" t="s">
        <v>226</v>
      </c>
      <c r="BV1283" t="s">
        <v>262</v>
      </c>
      <c r="BW1283" t="s">
        <v>228</v>
      </c>
      <c r="CH1283" t="s">
        <v>229</v>
      </c>
      <c r="CI1283" t="s">
        <v>113</v>
      </c>
      <c r="CJ1283" t="s">
        <v>226</v>
      </c>
      <c r="CK1283" t="s">
        <v>262</v>
      </c>
      <c r="CL1283" t="s">
        <v>228</v>
      </c>
      <c r="CM1283" t="s">
        <v>234</v>
      </c>
      <c r="CN1283" t="s">
        <v>115</v>
      </c>
      <c r="CO1283">
        <v>-220</v>
      </c>
      <c r="CP1283">
        <v>42199880</v>
      </c>
      <c r="CQ1283" s="73">
        <v>45352.923622685186</v>
      </c>
      <c r="CR1283" t="s">
        <v>229</v>
      </c>
      <c r="CS1283" t="s">
        <v>113</v>
      </c>
      <c r="CU1283" t="s">
        <v>225</v>
      </c>
    </row>
    <row r="1284" spans="1:99">
      <c r="A1284" t="s">
        <v>113</v>
      </c>
      <c r="B1284" t="s">
        <v>90</v>
      </c>
      <c r="J1284" t="s">
        <v>225</v>
      </c>
      <c r="K1284" t="s">
        <v>225</v>
      </c>
      <c r="M1284" s="73">
        <v>45352.923622685186</v>
      </c>
      <c r="N1284">
        <v>42199851</v>
      </c>
      <c r="O1284">
        <v>-95</v>
      </c>
      <c r="P1284" t="s">
        <v>115</v>
      </c>
      <c r="Q1284">
        <v>-95</v>
      </c>
      <c r="R1284" t="s">
        <v>115</v>
      </c>
      <c r="U1284" t="s">
        <v>226</v>
      </c>
      <c r="V1284" t="s">
        <v>263</v>
      </c>
      <c r="W1284" t="s">
        <v>228</v>
      </c>
      <c r="X1284" t="s">
        <v>229</v>
      </c>
      <c r="Y1284" t="s">
        <v>113</v>
      </c>
      <c r="AD1284" t="s">
        <v>115</v>
      </c>
      <c r="AE1284">
        <v>-95</v>
      </c>
      <c r="AF1284">
        <v>42199851</v>
      </c>
      <c r="AG1284" s="73">
        <v>45352.923622685186</v>
      </c>
      <c r="AH1284" t="s">
        <v>226</v>
      </c>
      <c r="AI1284" t="s">
        <v>263</v>
      </c>
      <c r="AJ1284" t="s">
        <v>228</v>
      </c>
      <c r="AK1284" t="s">
        <v>229</v>
      </c>
      <c r="AL1284" t="s">
        <v>113</v>
      </c>
      <c r="AP1284" t="s">
        <v>230</v>
      </c>
      <c r="AQ1284" t="s">
        <v>231</v>
      </c>
      <c r="AT1284" t="s">
        <v>232</v>
      </c>
      <c r="AU1284">
        <v>-99</v>
      </c>
      <c r="AV1284" t="s">
        <v>115</v>
      </c>
      <c r="AW1284">
        <v>-95</v>
      </c>
      <c r="AX1284">
        <v>42199851</v>
      </c>
      <c r="AY1284" s="73">
        <v>45352.923622685186</v>
      </c>
      <c r="AZ1284" t="s">
        <v>226</v>
      </c>
      <c r="BA1284" t="s">
        <v>263</v>
      </c>
      <c r="BB1284" t="s">
        <v>228</v>
      </c>
      <c r="BC1284" t="s">
        <v>229</v>
      </c>
      <c r="BD1284" t="s">
        <v>113</v>
      </c>
      <c r="BI1284" t="s">
        <v>233</v>
      </c>
      <c r="BJ1284" t="s">
        <v>0</v>
      </c>
      <c r="BK1284">
        <v>42199844</v>
      </c>
      <c r="BN1284" t="s">
        <v>115</v>
      </c>
      <c r="BR1284">
        <v>-95</v>
      </c>
      <c r="BS1284">
        <v>42199851</v>
      </c>
      <c r="BT1284" s="73">
        <v>45352.923622685186</v>
      </c>
      <c r="BU1284" t="s">
        <v>226</v>
      </c>
      <c r="BV1284" t="s">
        <v>263</v>
      </c>
      <c r="BW1284" t="s">
        <v>228</v>
      </c>
      <c r="CH1284" t="s">
        <v>229</v>
      </c>
      <c r="CI1284" t="s">
        <v>113</v>
      </c>
      <c r="CJ1284" t="s">
        <v>226</v>
      </c>
      <c r="CK1284" t="s">
        <v>263</v>
      </c>
      <c r="CL1284" t="s">
        <v>228</v>
      </c>
      <c r="CM1284" t="s">
        <v>234</v>
      </c>
      <c r="CN1284" t="s">
        <v>115</v>
      </c>
      <c r="CO1284">
        <v>-95</v>
      </c>
      <c r="CP1284">
        <v>42199851</v>
      </c>
      <c r="CQ1284" s="73">
        <v>45352.923622685186</v>
      </c>
      <c r="CR1284" t="s">
        <v>229</v>
      </c>
      <c r="CS1284" t="s">
        <v>113</v>
      </c>
      <c r="CU1284" t="s">
        <v>225</v>
      </c>
    </row>
    <row r="1285" spans="1:99">
      <c r="A1285" t="s">
        <v>133</v>
      </c>
      <c r="B1285" t="s">
        <v>90</v>
      </c>
      <c r="J1285" t="s">
        <v>225</v>
      </c>
      <c r="K1285" t="s">
        <v>225</v>
      </c>
      <c r="M1285" s="73">
        <v>45352.923622685186</v>
      </c>
      <c r="N1285">
        <v>41999738</v>
      </c>
      <c r="O1285">
        <v>-427.9</v>
      </c>
      <c r="P1285" t="s">
        <v>73</v>
      </c>
      <c r="Q1285">
        <v>-427.9</v>
      </c>
      <c r="R1285" t="s">
        <v>73</v>
      </c>
      <c r="U1285" t="s">
        <v>226</v>
      </c>
      <c r="V1285" t="s">
        <v>262</v>
      </c>
      <c r="W1285" t="s">
        <v>228</v>
      </c>
      <c r="X1285" t="s">
        <v>229</v>
      </c>
      <c r="Y1285" t="s">
        <v>133</v>
      </c>
      <c r="AD1285" t="s">
        <v>73</v>
      </c>
      <c r="AE1285">
        <v>-427.9</v>
      </c>
      <c r="AF1285">
        <v>41999738</v>
      </c>
      <c r="AG1285" s="73">
        <v>45352.923622685186</v>
      </c>
      <c r="AH1285" t="s">
        <v>226</v>
      </c>
      <c r="AI1285" t="s">
        <v>262</v>
      </c>
      <c r="AJ1285" t="s">
        <v>228</v>
      </c>
      <c r="AK1285" t="s">
        <v>229</v>
      </c>
      <c r="AL1285" t="s">
        <v>133</v>
      </c>
      <c r="AP1285" t="s">
        <v>230</v>
      </c>
      <c r="AQ1285" t="s">
        <v>231</v>
      </c>
      <c r="AT1285" t="s">
        <v>232</v>
      </c>
      <c r="AU1285">
        <v>-99</v>
      </c>
      <c r="AV1285" t="s">
        <v>73</v>
      </c>
      <c r="AW1285">
        <v>-427.9</v>
      </c>
      <c r="AX1285">
        <v>41999738</v>
      </c>
      <c r="AY1285" s="73">
        <v>45352.923622685186</v>
      </c>
      <c r="AZ1285" t="s">
        <v>226</v>
      </c>
      <c r="BA1285" t="s">
        <v>262</v>
      </c>
      <c r="BB1285" t="s">
        <v>228</v>
      </c>
      <c r="BC1285" t="s">
        <v>229</v>
      </c>
      <c r="BD1285" t="s">
        <v>133</v>
      </c>
      <c r="BI1285" t="s">
        <v>233</v>
      </c>
      <c r="BJ1285" t="s">
        <v>0</v>
      </c>
      <c r="BK1285">
        <v>41999702</v>
      </c>
      <c r="BN1285" t="s">
        <v>73</v>
      </c>
      <c r="BR1285">
        <v>-427.9</v>
      </c>
      <c r="BS1285">
        <v>41999738</v>
      </c>
      <c r="BT1285" s="73">
        <v>45352.923622685186</v>
      </c>
      <c r="BU1285" t="s">
        <v>226</v>
      </c>
      <c r="BV1285" t="s">
        <v>262</v>
      </c>
      <c r="BW1285" t="s">
        <v>228</v>
      </c>
      <c r="CH1285" t="s">
        <v>229</v>
      </c>
      <c r="CI1285" t="s">
        <v>133</v>
      </c>
      <c r="CJ1285" t="s">
        <v>226</v>
      </c>
      <c r="CK1285" t="s">
        <v>262</v>
      </c>
      <c r="CL1285" t="s">
        <v>228</v>
      </c>
      <c r="CM1285" t="s">
        <v>234</v>
      </c>
      <c r="CN1285" t="s">
        <v>73</v>
      </c>
      <c r="CO1285">
        <v>-427.9</v>
      </c>
      <c r="CP1285">
        <v>41999738</v>
      </c>
      <c r="CQ1285" s="73">
        <v>45352.923622685186</v>
      </c>
      <c r="CR1285" t="s">
        <v>229</v>
      </c>
      <c r="CS1285" t="s">
        <v>133</v>
      </c>
      <c r="CU1285" t="s">
        <v>225</v>
      </c>
    </row>
    <row r="1286" spans="1:99">
      <c r="A1286" t="s">
        <v>131</v>
      </c>
      <c r="B1286" t="s">
        <v>90</v>
      </c>
      <c r="J1286" t="s">
        <v>225</v>
      </c>
      <c r="K1286" t="s">
        <v>225</v>
      </c>
      <c r="M1286" s="73">
        <v>45352.923622685186</v>
      </c>
      <c r="N1286">
        <v>41999737</v>
      </c>
      <c r="O1286">
        <v>-118.5</v>
      </c>
      <c r="P1286" t="s">
        <v>73</v>
      </c>
      <c r="Q1286">
        <v>-118.5</v>
      </c>
      <c r="R1286" t="s">
        <v>73</v>
      </c>
      <c r="U1286" t="s">
        <v>226</v>
      </c>
      <c r="V1286" t="s">
        <v>262</v>
      </c>
      <c r="W1286" t="s">
        <v>228</v>
      </c>
      <c r="X1286" t="s">
        <v>229</v>
      </c>
      <c r="Y1286" t="s">
        <v>131</v>
      </c>
      <c r="AD1286" t="s">
        <v>73</v>
      </c>
      <c r="AE1286">
        <v>-118.5</v>
      </c>
      <c r="AF1286">
        <v>41999737</v>
      </c>
      <c r="AG1286" s="73">
        <v>45352.923622685186</v>
      </c>
      <c r="AH1286" t="s">
        <v>226</v>
      </c>
      <c r="AI1286" t="s">
        <v>262</v>
      </c>
      <c r="AJ1286" t="s">
        <v>228</v>
      </c>
      <c r="AK1286" t="s">
        <v>229</v>
      </c>
      <c r="AL1286" t="s">
        <v>131</v>
      </c>
      <c r="AP1286" t="s">
        <v>230</v>
      </c>
      <c r="AQ1286" t="s">
        <v>231</v>
      </c>
      <c r="AT1286" t="s">
        <v>232</v>
      </c>
      <c r="AU1286">
        <v>-99</v>
      </c>
      <c r="AV1286" t="s">
        <v>73</v>
      </c>
      <c r="AW1286">
        <v>-118.5</v>
      </c>
      <c r="AX1286">
        <v>41999737</v>
      </c>
      <c r="AY1286" s="73">
        <v>45352.923622685186</v>
      </c>
      <c r="AZ1286" t="s">
        <v>226</v>
      </c>
      <c r="BA1286" t="s">
        <v>262</v>
      </c>
      <c r="BB1286" t="s">
        <v>228</v>
      </c>
      <c r="BC1286" t="s">
        <v>229</v>
      </c>
      <c r="BD1286" t="s">
        <v>131</v>
      </c>
      <c r="BI1286" t="s">
        <v>233</v>
      </c>
      <c r="BJ1286" t="s">
        <v>0</v>
      </c>
      <c r="BK1286">
        <v>41999702</v>
      </c>
      <c r="BN1286" t="s">
        <v>73</v>
      </c>
      <c r="BR1286">
        <v>-118.5</v>
      </c>
      <c r="BS1286">
        <v>41999737</v>
      </c>
      <c r="BT1286" s="73">
        <v>45352.923622685186</v>
      </c>
      <c r="BU1286" t="s">
        <v>226</v>
      </c>
      <c r="BV1286" t="s">
        <v>262</v>
      </c>
      <c r="BW1286" t="s">
        <v>228</v>
      </c>
      <c r="CH1286" t="s">
        <v>229</v>
      </c>
      <c r="CI1286" t="s">
        <v>131</v>
      </c>
      <c r="CJ1286" t="s">
        <v>226</v>
      </c>
      <c r="CK1286" t="s">
        <v>262</v>
      </c>
      <c r="CL1286" t="s">
        <v>228</v>
      </c>
      <c r="CM1286" t="s">
        <v>234</v>
      </c>
      <c r="CN1286" t="s">
        <v>73</v>
      </c>
      <c r="CO1286">
        <v>-118.5</v>
      </c>
      <c r="CP1286">
        <v>41999737</v>
      </c>
      <c r="CQ1286" s="73">
        <v>45352.923622685186</v>
      </c>
      <c r="CR1286" t="s">
        <v>229</v>
      </c>
      <c r="CS1286" t="s">
        <v>131</v>
      </c>
      <c r="CU1286" t="s">
        <v>225</v>
      </c>
    </row>
    <row r="1287" spans="1:99">
      <c r="A1287" t="s">
        <v>87</v>
      </c>
      <c r="B1287" t="s">
        <v>90</v>
      </c>
      <c r="J1287" t="s">
        <v>225</v>
      </c>
      <c r="K1287" t="s">
        <v>225</v>
      </c>
      <c r="M1287" s="73">
        <v>45352.923622685186</v>
      </c>
      <c r="N1287">
        <v>41999736</v>
      </c>
      <c r="O1287">
        <v>-43.4</v>
      </c>
      <c r="P1287" t="s">
        <v>73</v>
      </c>
      <c r="Q1287">
        <v>-43.4</v>
      </c>
      <c r="R1287" t="s">
        <v>73</v>
      </c>
      <c r="U1287" t="s">
        <v>226</v>
      </c>
      <c r="V1287" t="s">
        <v>262</v>
      </c>
      <c r="W1287" t="s">
        <v>228</v>
      </c>
      <c r="X1287" t="s">
        <v>229</v>
      </c>
      <c r="Y1287" t="s">
        <v>87</v>
      </c>
      <c r="AD1287" t="s">
        <v>73</v>
      </c>
      <c r="AE1287">
        <v>-43.4</v>
      </c>
      <c r="AF1287">
        <v>41999736</v>
      </c>
      <c r="AG1287" s="73">
        <v>45352.923622685186</v>
      </c>
      <c r="AH1287" t="s">
        <v>226</v>
      </c>
      <c r="AI1287" t="s">
        <v>262</v>
      </c>
      <c r="AJ1287" t="s">
        <v>228</v>
      </c>
      <c r="AK1287" t="s">
        <v>229</v>
      </c>
      <c r="AL1287" t="s">
        <v>87</v>
      </c>
      <c r="AP1287" t="s">
        <v>230</v>
      </c>
      <c r="AQ1287" t="s">
        <v>231</v>
      </c>
      <c r="AT1287" t="s">
        <v>232</v>
      </c>
      <c r="AU1287">
        <v>-99</v>
      </c>
      <c r="AV1287" t="s">
        <v>73</v>
      </c>
      <c r="AW1287">
        <v>-43.4</v>
      </c>
      <c r="AX1287">
        <v>41999736</v>
      </c>
      <c r="AY1287" s="73">
        <v>45352.923622685186</v>
      </c>
      <c r="AZ1287" t="s">
        <v>226</v>
      </c>
      <c r="BA1287" t="s">
        <v>262</v>
      </c>
      <c r="BB1287" t="s">
        <v>228</v>
      </c>
      <c r="BC1287" t="s">
        <v>229</v>
      </c>
      <c r="BD1287" t="s">
        <v>87</v>
      </c>
      <c r="BI1287" t="s">
        <v>233</v>
      </c>
      <c r="BJ1287" t="s">
        <v>0</v>
      </c>
      <c r="BK1287">
        <v>41999702</v>
      </c>
      <c r="BN1287" t="s">
        <v>73</v>
      </c>
      <c r="BR1287">
        <v>-43.4</v>
      </c>
      <c r="BS1287">
        <v>41999736</v>
      </c>
      <c r="BT1287" s="73">
        <v>45352.923622685186</v>
      </c>
      <c r="BU1287" t="s">
        <v>226</v>
      </c>
      <c r="BV1287" t="s">
        <v>262</v>
      </c>
      <c r="BW1287" t="s">
        <v>228</v>
      </c>
      <c r="CH1287" t="s">
        <v>229</v>
      </c>
      <c r="CI1287" t="s">
        <v>87</v>
      </c>
      <c r="CJ1287" t="s">
        <v>226</v>
      </c>
      <c r="CK1287" t="s">
        <v>262</v>
      </c>
      <c r="CL1287" t="s">
        <v>228</v>
      </c>
      <c r="CM1287" t="s">
        <v>234</v>
      </c>
      <c r="CN1287" t="s">
        <v>73</v>
      </c>
      <c r="CO1287">
        <v>-43.4</v>
      </c>
      <c r="CP1287">
        <v>41999736</v>
      </c>
      <c r="CQ1287" s="73">
        <v>45352.923622685186</v>
      </c>
      <c r="CR1287" t="s">
        <v>229</v>
      </c>
      <c r="CS1287" t="s">
        <v>87</v>
      </c>
      <c r="CU1287" t="s">
        <v>225</v>
      </c>
    </row>
    <row r="1288" spans="1:99">
      <c r="A1288" t="s">
        <v>129</v>
      </c>
      <c r="B1288" t="s">
        <v>90</v>
      </c>
      <c r="J1288" t="s">
        <v>225</v>
      </c>
      <c r="K1288" t="s">
        <v>225</v>
      </c>
      <c r="M1288" s="73">
        <v>45352.923622685186</v>
      </c>
      <c r="N1288">
        <v>41999735</v>
      </c>
      <c r="O1288">
        <v>-4</v>
      </c>
      <c r="P1288" t="s">
        <v>73</v>
      </c>
      <c r="Q1288">
        <v>-4</v>
      </c>
      <c r="R1288" t="s">
        <v>73</v>
      </c>
      <c r="U1288" t="s">
        <v>226</v>
      </c>
      <c r="V1288" t="s">
        <v>262</v>
      </c>
      <c r="W1288" t="s">
        <v>228</v>
      </c>
      <c r="X1288" t="s">
        <v>229</v>
      </c>
      <c r="Y1288" t="s">
        <v>129</v>
      </c>
      <c r="AD1288" t="s">
        <v>73</v>
      </c>
      <c r="AE1288">
        <v>-4</v>
      </c>
      <c r="AF1288">
        <v>41999735</v>
      </c>
      <c r="AG1288" s="73">
        <v>45352.923622685186</v>
      </c>
      <c r="AH1288" t="s">
        <v>226</v>
      </c>
      <c r="AI1288" t="s">
        <v>262</v>
      </c>
      <c r="AJ1288" t="s">
        <v>228</v>
      </c>
      <c r="AK1288" t="s">
        <v>229</v>
      </c>
      <c r="AL1288" t="s">
        <v>129</v>
      </c>
      <c r="AP1288" t="s">
        <v>230</v>
      </c>
      <c r="AQ1288" t="s">
        <v>231</v>
      </c>
      <c r="AT1288" t="s">
        <v>232</v>
      </c>
      <c r="AU1288">
        <v>-99</v>
      </c>
      <c r="AV1288" t="s">
        <v>73</v>
      </c>
      <c r="AW1288">
        <v>-4</v>
      </c>
      <c r="AX1288">
        <v>41999735</v>
      </c>
      <c r="AY1288" s="73">
        <v>45352.923622685186</v>
      </c>
      <c r="AZ1288" t="s">
        <v>226</v>
      </c>
      <c r="BA1288" t="s">
        <v>262</v>
      </c>
      <c r="BB1288" t="s">
        <v>228</v>
      </c>
      <c r="BC1288" t="s">
        <v>229</v>
      </c>
      <c r="BD1288" t="s">
        <v>129</v>
      </c>
      <c r="BI1288" t="s">
        <v>233</v>
      </c>
      <c r="BJ1288" t="s">
        <v>0</v>
      </c>
      <c r="BK1288">
        <v>41999702</v>
      </c>
      <c r="BN1288" t="s">
        <v>73</v>
      </c>
      <c r="BR1288">
        <v>-4</v>
      </c>
      <c r="BS1288">
        <v>41999735</v>
      </c>
      <c r="BT1288" s="73">
        <v>45352.923622685186</v>
      </c>
      <c r="BU1288" t="s">
        <v>226</v>
      </c>
      <c r="BV1288" t="s">
        <v>262</v>
      </c>
      <c r="BW1288" t="s">
        <v>228</v>
      </c>
      <c r="CH1288" t="s">
        <v>229</v>
      </c>
      <c r="CI1288" t="s">
        <v>129</v>
      </c>
      <c r="CJ1288" t="s">
        <v>226</v>
      </c>
      <c r="CK1288" t="s">
        <v>262</v>
      </c>
      <c r="CL1288" t="s">
        <v>228</v>
      </c>
      <c r="CM1288" t="s">
        <v>234</v>
      </c>
      <c r="CN1288" t="s">
        <v>73</v>
      </c>
      <c r="CO1288">
        <v>-4</v>
      </c>
      <c r="CP1288">
        <v>41999735</v>
      </c>
      <c r="CQ1288" s="73">
        <v>45352.923622685186</v>
      </c>
      <c r="CR1288" t="s">
        <v>229</v>
      </c>
      <c r="CS1288" t="s">
        <v>129</v>
      </c>
      <c r="CU1288" t="s">
        <v>225</v>
      </c>
    </row>
    <row r="1289" spans="1:99">
      <c r="A1289" t="s">
        <v>127</v>
      </c>
      <c r="B1289" t="s">
        <v>90</v>
      </c>
      <c r="J1289" t="s">
        <v>225</v>
      </c>
      <c r="K1289" t="s">
        <v>225</v>
      </c>
      <c r="M1289" s="73">
        <v>45352.923622685186</v>
      </c>
      <c r="N1289">
        <v>41999734</v>
      </c>
      <c r="O1289">
        <v>-485</v>
      </c>
      <c r="P1289" t="s">
        <v>73</v>
      </c>
      <c r="Q1289">
        <v>-485</v>
      </c>
      <c r="R1289" t="s">
        <v>73</v>
      </c>
      <c r="U1289" t="s">
        <v>226</v>
      </c>
      <c r="V1289" t="s">
        <v>262</v>
      </c>
      <c r="W1289" t="s">
        <v>228</v>
      </c>
      <c r="X1289" t="s">
        <v>229</v>
      </c>
      <c r="Y1289" t="s">
        <v>127</v>
      </c>
      <c r="AD1289" t="s">
        <v>73</v>
      </c>
      <c r="AE1289">
        <v>-485</v>
      </c>
      <c r="AF1289">
        <v>41999734</v>
      </c>
      <c r="AG1289" s="73">
        <v>45352.923622685186</v>
      </c>
      <c r="AH1289" t="s">
        <v>226</v>
      </c>
      <c r="AI1289" t="s">
        <v>262</v>
      </c>
      <c r="AJ1289" t="s">
        <v>228</v>
      </c>
      <c r="AK1289" t="s">
        <v>229</v>
      </c>
      <c r="AL1289" t="s">
        <v>127</v>
      </c>
      <c r="AP1289" t="s">
        <v>230</v>
      </c>
      <c r="AQ1289" t="s">
        <v>231</v>
      </c>
      <c r="AT1289" t="s">
        <v>232</v>
      </c>
      <c r="AU1289">
        <v>-99</v>
      </c>
      <c r="AV1289" t="s">
        <v>73</v>
      </c>
      <c r="AW1289">
        <v>-485</v>
      </c>
      <c r="AX1289">
        <v>41999734</v>
      </c>
      <c r="AY1289" s="73">
        <v>45352.923622685186</v>
      </c>
      <c r="AZ1289" t="s">
        <v>226</v>
      </c>
      <c r="BA1289" t="s">
        <v>262</v>
      </c>
      <c r="BB1289" t="s">
        <v>228</v>
      </c>
      <c r="BC1289" t="s">
        <v>229</v>
      </c>
      <c r="BD1289" t="s">
        <v>127</v>
      </c>
      <c r="BI1289" t="s">
        <v>233</v>
      </c>
      <c r="BJ1289" t="s">
        <v>0</v>
      </c>
      <c r="BK1289">
        <v>41999702</v>
      </c>
      <c r="BN1289" t="s">
        <v>73</v>
      </c>
      <c r="BR1289">
        <v>-485</v>
      </c>
      <c r="BS1289">
        <v>41999734</v>
      </c>
      <c r="BT1289" s="73">
        <v>45352.923622685186</v>
      </c>
      <c r="BU1289" t="s">
        <v>226</v>
      </c>
      <c r="BV1289" t="s">
        <v>262</v>
      </c>
      <c r="BW1289" t="s">
        <v>228</v>
      </c>
      <c r="CH1289" t="s">
        <v>229</v>
      </c>
      <c r="CI1289" t="s">
        <v>127</v>
      </c>
      <c r="CJ1289" t="s">
        <v>226</v>
      </c>
      <c r="CK1289" t="s">
        <v>262</v>
      </c>
      <c r="CL1289" t="s">
        <v>228</v>
      </c>
      <c r="CM1289" t="s">
        <v>234</v>
      </c>
      <c r="CN1289" t="s">
        <v>73</v>
      </c>
      <c r="CO1289">
        <v>-485</v>
      </c>
      <c r="CP1289">
        <v>41999734</v>
      </c>
      <c r="CQ1289" s="73">
        <v>45352.923622685186</v>
      </c>
      <c r="CR1289" t="s">
        <v>229</v>
      </c>
      <c r="CS1289" t="s">
        <v>127</v>
      </c>
      <c r="CU1289" t="s">
        <v>225</v>
      </c>
    </row>
    <row r="1290" spans="1:99">
      <c r="A1290" t="s">
        <v>133</v>
      </c>
      <c r="B1290" t="s">
        <v>90</v>
      </c>
      <c r="J1290" t="s">
        <v>225</v>
      </c>
      <c r="K1290" t="s">
        <v>225</v>
      </c>
      <c r="M1290" s="73">
        <v>45352.923622685186</v>
      </c>
      <c r="N1290">
        <v>41999733</v>
      </c>
      <c r="O1290">
        <v>489.5</v>
      </c>
      <c r="P1290" t="s">
        <v>73</v>
      </c>
      <c r="Q1290">
        <v>489.5</v>
      </c>
      <c r="R1290" t="s">
        <v>73</v>
      </c>
      <c r="U1290" t="s">
        <v>226</v>
      </c>
      <c r="V1290" t="s">
        <v>262</v>
      </c>
      <c r="W1290" t="s">
        <v>251</v>
      </c>
      <c r="X1290" t="s">
        <v>229</v>
      </c>
      <c r="Y1290" t="s">
        <v>133</v>
      </c>
      <c r="AD1290" t="s">
        <v>73</v>
      </c>
      <c r="AE1290">
        <v>489.5</v>
      </c>
      <c r="AF1290">
        <v>41999733</v>
      </c>
      <c r="AG1290" s="73">
        <v>45352.923622685186</v>
      </c>
      <c r="AH1290" t="s">
        <v>226</v>
      </c>
      <c r="AI1290" t="s">
        <v>262</v>
      </c>
      <c r="AJ1290" t="s">
        <v>251</v>
      </c>
      <c r="AK1290" t="s">
        <v>229</v>
      </c>
      <c r="AL1290" t="s">
        <v>133</v>
      </c>
      <c r="AP1290" t="s">
        <v>230</v>
      </c>
      <c r="AQ1290" t="s">
        <v>231</v>
      </c>
      <c r="AT1290" t="s">
        <v>232</v>
      </c>
      <c r="AU1290">
        <v>41999628</v>
      </c>
      <c r="AV1290" t="s">
        <v>73</v>
      </c>
      <c r="AW1290">
        <v>489.5</v>
      </c>
      <c r="AX1290">
        <v>41999733</v>
      </c>
      <c r="AY1290" s="73">
        <v>45352.923622685186</v>
      </c>
      <c r="AZ1290" t="s">
        <v>226</v>
      </c>
      <c r="BA1290" t="s">
        <v>262</v>
      </c>
      <c r="BB1290" t="s">
        <v>251</v>
      </c>
      <c r="BC1290" t="s">
        <v>229</v>
      </c>
      <c r="BD1290" t="s">
        <v>133</v>
      </c>
      <c r="BI1290" t="s">
        <v>233</v>
      </c>
      <c r="BJ1290" t="s">
        <v>0</v>
      </c>
      <c r="BK1290">
        <v>41999702</v>
      </c>
      <c r="BN1290" t="s">
        <v>73</v>
      </c>
      <c r="BR1290">
        <v>489.5</v>
      </c>
      <c r="BS1290">
        <v>41999733</v>
      </c>
      <c r="BT1290" s="73">
        <v>45352.923622685186</v>
      </c>
      <c r="BU1290" t="s">
        <v>226</v>
      </c>
      <c r="BV1290" t="s">
        <v>262</v>
      </c>
      <c r="BW1290" t="s">
        <v>251</v>
      </c>
      <c r="CH1290" t="s">
        <v>229</v>
      </c>
      <c r="CI1290" t="s">
        <v>133</v>
      </c>
      <c r="CJ1290" t="s">
        <v>226</v>
      </c>
      <c r="CK1290" t="s">
        <v>262</v>
      </c>
      <c r="CL1290" t="s">
        <v>251</v>
      </c>
      <c r="CM1290" t="s">
        <v>252</v>
      </c>
      <c r="CN1290" t="s">
        <v>73</v>
      </c>
      <c r="CO1290">
        <v>489.5</v>
      </c>
      <c r="CP1290">
        <v>41999733</v>
      </c>
      <c r="CQ1290" s="73">
        <v>45352.923622685186</v>
      </c>
      <c r="CR1290" t="s">
        <v>229</v>
      </c>
      <c r="CS1290" t="s">
        <v>133</v>
      </c>
      <c r="CU1290" t="s">
        <v>225</v>
      </c>
    </row>
    <row r="1291" spans="1:99">
      <c r="A1291" t="s">
        <v>131</v>
      </c>
      <c r="B1291" t="s">
        <v>90</v>
      </c>
      <c r="J1291" t="s">
        <v>225</v>
      </c>
      <c r="K1291" t="s">
        <v>225</v>
      </c>
      <c r="M1291" s="73">
        <v>45352.923622685186</v>
      </c>
      <c r="N1291">
        <v>41999732</v>
      </c>
      <c r="O1291">
        <v>133.80000000000001</v>
      </c>
      <c r="P1291" t="s">
        <v>73</v>
      </c>
      <c r="Q1291">
        <v>133.80000000000001</v>
      </c>
      <c r="R1291" t="s">
        <v>73</v>
      </c>
      <c r="U1291" t="s">
        <v>226</v>
      </c>
      <c r="V1291" t="s">
        <v>262</v>
      </c>
      <c r="W1291" t="s">
        <v>251</v>
      </c>
      <c r="X1291" t="s">
        <v>229</v>
      </c>
      <c r="Y1291" t="s">
        <v>131</v>
      </c>
      <c r="AD1291" t="s">
        <v>73</v>
      </c>
      <c r="AE1291">
        <v>133.80000000000001</v>
      </c>
      <c r="AF1291">
        <v>41999732</v>
      </c>
      <c r="AG1291" s="73">
        <v>45352.923622685186</v>
      </c>
      <c r="AH1291" t="s">
        <v>226</v>
      </c>
      <c r="AI1291" t="s">
        <v>262</v>
      </c>
      <c r="AJ1291" t="s">
        <v>251</v>
      </c>
      <c r="AK1291" t="s">
        <v>229</v>
      </c>
      <c r="AL1291" t="s">
        <v>131</v>
      </c>
      <c r="AP1291" t="s">
        <v>230</v>
      </c>
      <c r="AQ1291" t="s">
        <v>231</v>
      </c>
      <c r="AT1291" t="s">
        <v>232</v>
      </c>
      <c r="AU1291">
        <v>41999635</v>
      </c>
      <c r="AV1291" t="s">
        <v>73</v>
      </c>
      <c r="AW1291">
        <v>133.80000000000001</v>
      </c>
      <c r="AX1291">
        <v>41999732</v>
      </c>
      <c r="AY1291" s="73">
        <v>45352.923622685186</v>
      </c>
      <c r="AZ1291" t="s">
        <v>226</v>
      </c>
      <c r="BA1291" t="s">
        <v>262</v>
      </c>
      <c r="BB1291" t="s">
        <v>251</v>
      </c>
      <c r="BC1291" t="s">
        <v>229</v>
      </c>
      <c r="BD1291" t="s">
        <v>131</v>
      </c>
      <c r="BI1291" t="s">
        <v>233</v>
      </c>
      <c r="BJ1291" t="s">
        <v>0</v>
      </c>
      <c r="BK1291">
        <v>41999702</v>
      </c>
      <c r="BN1291" t="s">
        <v>73</v>
      </c>
      <c r="BR1291">
        <v>133.80000000000001</v>
      </c>
      <c r="BS1291">
        <v>41999732</v>
      </c>
      <c r="BT1291" s="73">
        <v>45352.923622685186</v>
      </c>
      <c r="BU1291" t="s">
        <v>226</v>
      </c>
      <c r="BV1291" t="s">
        <v>262</v>
      </c>
      <c r="BW1291" t="s">
        <v>251</v>
      </c>
      <c r="CH1291" t="s">
        <v>229</v>
      </c>
      <c r="CI1291" t="s">
        <v>131</v>
      </c>
      <c r="CJ1291" t="s">
        <v>226</v>
      </c>
      <c r="CK1291" t="s">
        <v>262</v>
      </c>
      <c r="CL1291" t="s">
        <v>251</v>
      </c>
      <c r="CM1291" t="s">
        <v>252</v>
      </c>
      <c r="CN1291" t="s">
        <v>73</v>
      </c>
      <c r="CO1291">
        <v>133.80000000000001</v>
      </c>
      <c r="CP1291">
        <v>41999732</v>
      </c>
      <c r="CQ1291" s="73">
        <v>45352.923622685186</v>
      </c>
      <c r="CR1291" t="s">
        <v>229</v>
      </c>
      <c r="CS1291" t="s">
        <v>131</v>
      </c>
      <c r="CU1291" t="s">
        <v>225</v>
      </c>
    </row>
    <row r="1292" spans="1:99">
      <c r="A1292" t="s">
        <v>87</v>
      </c>
      <c r="B1292" t="s">
        <v>90</v>
      </c>
      <c r="J1292" t="s">
        <v>225</v>
      </c>
      <c r="K1292" t="s">
        <v>225</v>
      </c>
      <c r="M1292" s="73">
        <v>45352.923622685186</v>
      </c>
      <c r="N1292">
        <v>41999731</v>
      </c>
      <c r="O1292">
        <v>58.1</v>
      </c>
      <c r="P1292" t="s">
        <v>73</v>
      </c>
      <c r="Q1292">
        <v>58.1</v>
      </c>
      <c r="R1292" t="s">
        <v>73</v>
      </c>
      <c r="U1292" t="s">
        <v>226</v>
      </c>
      <c r="V1292" t="s">
        <v>262</v>
      </c>
      <c r="W1292" t="s">
        <v>251</v>
      </c>
      <c r="X1292" t="s">
        <v>229</v>
      </c>
      <c r="Y1292" t="s">
        <v>87</v>
      </c>
      <c r="AD1292" t="s">
        <v>73</v>
      </c>
      <c r="AE1292">
        <v>58.1</v>
      </c>
      <c r="AF1292">
        <v>41999731</v>
      </c>
      <c r="AG1292" s="73">
        <v>45352.923622685186</v>
      </c>
      <c r="AH1292" t="s">
        <v>226</v>
      </c>
      <c r="AI1292" t="s">
        <v>262</v>
      </c>
      <c r="AJ1292" t="s">
        <v>251</v>
      </c>
      <c r="AK1292" t="s">
        <v>229</v>
      </c>
      <c r="AL1292" t="s">
        <v>87</v>
      </c>
      <c r="AP1292" t="s">
        <v>230</v>
      </c>
      <c r="AQ1292" t="s">
        <v>231</v>
      </c>
      <c r="AT1292" t="s">
        <v>232</v>
      </c>
      <c r="AU1292">
        <v>41999614</v>
      </c>
      <c r="AV1292" t="s">
        <v>73</v>
      </c>
      <c r="AW1292">
        <v>58.1</v>
      </c>
      <c r="AX1292">
        <v>41999731</v>
      </c>
      <c r="AY1292" s="73">
        <v>45352.923622685186</v>
      </c>
      <c r="AZ1292" t="s">
        <v>226</v>
      </c>
      <c r="BA1292" t="s">
        <v>262</v>
      </c>
      <c r="BB1292" t="s">
        <v>251</v>
      </c>
      <c r="BC1292" t="s">
        <v>229</v>
      </c>
      <c r="BD1292" t="s">
        <v>87</v>
      </c>
      <c r="BI1292" t="s">
        <v>233</v>
      </c>
      <c r="BJ1292" t="s">
        <v>0</v>
      </c>
      <c r="BK1292">
        <v>41999702</v>
      </c>
      <c r="BN1292" t="s">
        <v>73</v>
      </c>
      <c r="BR1292">
        <v>58.1</v>
      </c>
      <c r="BS1292">
        <v>41999731</v>
      </c>
      <c r="BT1292" s="73">
        <v>45352.923622685186</v>
      </c>
      <c r="BU1292" t="s">
        <v>226</v>
      </c>
      <c r="BV1292" t="s">
        <v>262</v>
      </c>
      <c r="BW1292" t="s">
        <v>251</v>
      </c>
      <c r="CH1292" t="s">
        <v>229</v>
      </c>
      <c r="CI1292" t="s">
        <v>87</v>
      </c>
      <c r="CJ1292" t="s">
        <v>226</v>
      </c>
      <c r="CK1292" t="s">
        <v>262</v>
      </c>
      <c r="CL1292" t="s">
        <v>251</v>
      </c>
      <c r="CM1292" t="s">
        <v>252</v>
      </c>
      <c r="CN1292" t="s">
        <v>73</v>
      </c>
      <c r="CO1292">
        <v>58.1</v>
      </c>
      <c r="CP1292">
        <v>41999731</v>
      </c>
      <c r="CQ1292" s="73">
        <v>45352.923622685186</v>
      </c>
      <c r="CR1292" t="s">
        <v>229</v>
      </c>
      <c r="CS1292" t="s">
        <v>87</v>
      </c>
      <c r="CU1292" t="s">
        <v>225</v>
      </c>
    </row>
    <row r="1293" spans="1:99">
      <c r="A1293" t="s">
        <v>127</v>
      </c>
      <c r="B1293" t="s">
        <v>90</v>
      </c>
      <c r="J1293" t="s">
        <v>225</v>
      </c>
      <c r="K1293" t="s">
        <v>225</v>
      </c>
      <c r="M1293" s="73">
        <v>45352.923622685186</v>
      </c>
      <c r="N1293">
        <v>41999730</v>
      </c>
      <c r="O1293">
        <v>691</v>
      </c>
      <c r="P1293" t="s">
        <v>73</v>
      </c>
      <c r="Q1293">
        <v>691</v>
      </c>
      <c r="R1293" t="s">
        <v>73</v>
      </c>
      <c r="U1293" t="s">
        <v>226</v>
      </c>
      <c r="V1293" t="s">
        <v>262</v>
      </c>
      <c r="W1293" t="s">
        <v>251</v>
      </c>
      <c r="X1293" t="s">
        <v>229</v>
      </c>
      <c r="Y1293" t="s">
        <v>127</v>
      </c>
      <c r="AD1293" t="s">
        <v>73</v>
      </c>
      <c r="AE1293">
        <v>691</v>
      </c>
      <c r="AF1293">
        <v>41999730</v>
      </c>
      <c r="AG1293" s="73">
        <v>45352.923622685186</v>
      </c>
      <c r="AH1293" t="s">
        <v>226</v>
      </c>
      <c r="AI1293" t="s">
        <v>262</v>
      </c>
      <c r="AJ1293" t="s">
        <v>251</v>
      </c>
      <c r="AK1293" t="s">
        <v>229</v>
      </c>
      <c r="AL1293" t="s">
        <v>127</v>
      </c>
      <c r="AP1293" t="s">
        <v>230</v>
      </c>
      <c r="AQ1293" t="s">
        <v>231</v>
      </c>
      <c r="AT1293" t="s">
        <v>232</v>
      </c>
      <c r="AU1293">
        <v>41999621</v>
      </c>
      <c r="AV1293" t="s">
        <v>73</v>
      </c>
      <c r="AW1293">
        <v>691</v>
      </c>
      <c r="AX1293">
        <v>41999730</v>
      </c>
      <c r="AY1293" s="73">
        <v>45352.923622685186</v>
      </c>
      <c r="AZ1293" t="s">
        <v>226</v>
      </c>
      <c r="BA1293" t="s">
        <v>262</v>
      </c>
      <c r="BB1293" t="s">
        <v>251</v>
      </c>
      <c r="BC1293" t="s">
        <v>229</v>
      </c>
      <c r="BD1293" t="s">
        <v>127</v>
      </c>
      <c r="BI1293" t="s">
        <v>233</v>
      </c>
      <c r="BJ1293" t="s">
        <v>0</v>
      </c>
      <c r="BK1293">
        <v>41999702</v>
      </c>
      <c r="BN1293" t="s">
        <v>73</v>
      </c>
      <c r="BR1293">
        <v>691</v>
      </c>
      <c r="BS1293">
        <v>41999730</v>
      </c>
      <c r="BT1293" s="73">
        <v>45352.923622685186</v>
      </c>
      <c r="BU1293" t="s">
        <v>226</v>
      </c>
      <c r="BV1293" t="s">
        <v>262</v>
      </c>
      <c r="BW1293" t="s">
        <v>251</v>
      </c>
      <c r="CH1293" t="s">
        <v>229</v>
      </c>
      <c r="CI1293" t="s">
        <v>127</v>
      </c>
      <c r="CJ1293" t="s">
        <v>226</v>
      </c>
      <c r="CK1293" t="s">
        <v>262</v>
      </c>
      <c r="CL1293" t="s">
        <v>251</v>
      </c>
      <c r="CM1293" t="s">
        <v>252</v>
      </c>
      <c r="CN1293" t="s">
        <v>73</v>
      </c>
      <c r="CO1293">
        <v>691</v>
      </c>
      <c r="CP1293">
        <v>41999730</v>
      </c>
      <c r="CQ1293" s="73">
        <v>45352.923622685186</v>
      </c>
      <c r="CR1293" t="s">
        <v>229</v>
      </c>
      <c r="CS1293" t="s">
        <v>127</v>
      </c>
      <c r="CU1293" t="s">
        <v>225</v>
      </c>
    </row>
    <row r="1294" spans="1:99">
      <c r="A1294" t="s">
        <v>133</v>
      </c>
      <c r="B1294" t="s">
        <v>90</v>
      </c>
      <c r="J1294" t="s">
        <v>225</v>
      </c>
      <c r="K1294" t="s">
        <v>225</v>
      </c>
      <c r="M1294" s="73">
        <v>45352.923622685186</v>
      </c>
      <c r="N1294">
        <v>41999700</v>
      </c>
      <c r="O1294">
        <v>-61.6</v>
      </c>
      <c r="P1294" t="s">
        <v>73</v>
      </c>
      <c r="Q1294">
        <v>-61.6</v>
      </c>
      <c r="R1294" t="s">
        <v>73</v>
      </c>
      <c r="U1294" t="s">
        <v>226</v>
      </c>
      <c r="V1294" t="s">
        <v>263</v>
      </c>
      <c r="W1294" t="s">
        <v>228</v>
      </c>
      <c r="X1294" t="s">
        <v>229</v>
      </c>
      <c r="Y1294" t="s">
        <v>133</v>
      </c>
      <c r="AD1294" t="s">
        <v>73</v>
      </c>
      <c r="AE1294">
        <v>-61.6</v>
      </c>
      <c r="AF1294">
        <v>41999700</v>
      </c>
      <c r="AG1294" s="73">
        <v>45352.923622685186</v>
      </c>
      <c r="AH1294" t="s">
        <v>226</v>
      </c>
      <c r="AI1294" t="s">
        <v>263</v>
      </c>
      <c r="AJ1294" t="s">
        <v>228</v>
      </c>
      <c r="AK1294" t="s">
        <v>229</v>
      </c>
      <c r="AL1294" t="s">
        <v>133</v>
      </c>
      <c r="AP1294" t="s">
        <v>230</v>
      </c>
      <c r="AQ1294" t="s">
        <v>231</v>
      </c>
      <c r="AT1294" t="s">
        <v>232</v>
      </c>
      <c r="AU1294">
        <v>-99</v>
      </c>
      <c r="AV1294" t="s">
        <v>73</v>
      </c>
      <c r="AW1294">
        <v>-61.6</v>
      </c>
      <c r="AX1294">
        <v>41999700</v>
      </c>
      <c r="AY1294" s="73">
        <v>45352.923622685186</v>
      </c>
      <c r="AZ1294" t="s">
        <v>226</v>
      </c>
      <c r="BA1294" t="s">
        <v>263</v>
      </c>
      <c r="BB1294" t="s">
        <v>228</v>
      </c>
      <c r="BC1294" t="s">
        <v>229</v>
      </c>
      <c r="BD1294" t="s">
        <v>133</v>
      </c>
      <c r="BI1294" t="s">
        <v>233</v>
      </c>
      <c r="BJ1294" t="s">
        <v>0</v>
      </c>
      <c r="BK1294">
        <v>41999665</v>
      </c>
      <c r="BN1294" t="s">
        <v>73</v>
      </c>
      <c r="BR1294">
        <v>-61.6</v>
      </c>
      <c r="BS1294">
        <v>41999700</v>
      </c>
      <c r="BT1294" s="73">
        <v>45352.923622685186</v>
      </c>
      <c r="BU1294" t="s">
        <v>226</v>
      </c>
      <c r="BV1294" t="s">
        <v>263</v>
      </c>
      <c r="BW1294" t="s">
        <v>228</v>
      </c>
      <c r="CH1294" t="s">
        <v>229</v>
      </c>
      <c r="CI1294" t="s">
        <v>133</v>
      </c>
      <c r="CJ1294" t="s">
        <v>226</v>
      </c>
      <c r="CK1294" t="s">
        <v>263</v>
      </c>
      <c r="CL1294" t="s">
        <v>228</v>
      </c>
      <c r="CM1294" t="s">
        <v>234</v>
      </c>
      <c r="CN1294" t="s">
        <v>73</v>
      </c>
      <c r="CO1294">
        <v>-61.6</v>
      </c>
      <c r="CP1294">
        <v>41999700</v>
      </c>
      <c r="CQ1294" s="73">
        <v>45352.923622685186</v>
      </c>
      <c r="CR1294" t="s">
        <v>229</v>
      </c>
      <c r="CS1294" t="s">
        <v>133</v>
      </c>
      <c r="CU1294" t="s">
        <v>225</v>
      </c>
    </row>
    <row r="1295" spans="1:99">
      <c r="A1295" t="s">
        <v>131</v>
      </c>
      <c r="B1295" t="s">
        <v>90</v>
      </c>
      <c r="J1295" t="s">
        <v>225</v>
      </c>
      <c r="K1295" t="s">
        <v>225</v>
      </c>
      <c r="M1295" s="73">
        <v>45352.923622685186</v>
      </c>
      <c r="N1295">
        <v>41999699</v>
      </c>
      <c r="O1295">
        <v>-15.3</v>
      </c>
      <c r="P1295" t="s">
        <v>73</v>
      </c>
      <c r="Q1295">
        <v>-15.3</v>
      </c>
      <c r="R1295" t="s">
        <v>73</v>
      </c>
      <c r="U1295" t="s">
        <v>226</v>
      </c>
      <c r="V1295" t="s">
        <v>263</v>
      </c>
      <c r="W1295" t="s">
        <v>228</v>
      </c>
      <c r="X1295" t="s">
        <v>229</v>
      </c>
      <c r="Y1295" t="s">
        <v>131</v>
      </c>
      <c r="AD1295" t="s">
        <v>73</v>
      </c>
      <c r="AE1295">
        <v>-15.3</v>
      </c>
      <c r="AF1295">
        <v>41999699</v>
      </c>
      <c r="AG1295" s="73">
        <v>45352.923622685186</v>
      </c>
      <c r="AH1295" t="s">
        <v>226</v>
      </c>
      <c r="AI1295" t="s">
        <v>263</v>
      </c>
      <c r="AJ1295" t="s">
        <v>228</v>
      </c>
      <c r="AK1295" t="s">
        <v>229</v>
      </c>
      <c r="AL1295" t="s">
        <v>131</v>
      </c>
      <c r="AP1295" t="s">
        <v>230</v>
      </c>
      <c r="AQ1295" t="s">
        <v>231</v>
      </c>
      <c r="AT1295" t="s">
        <v>232</v>
      </c>
      <c r="AU1295">
        <v>-99</v>
      </c>
      <c r="AV1295" t="s">
        <v>73</v>
      </c>
      <c r="AW1295">
        <v>-15.3</v>
      </c>
      <c r="AX1295">
        <v>41999699</v>
      </c>
      <c r="AY1295" s="73">
        <v>45352.923622685186</v>
      </c>
      <c r="AZ1295" t="s">
        <v>226</v>
      </c>
      <c r="BA1295" t="s">
        <v>263</v>
      </c>
      <c r="BB1295" t="s">
        <v>228</v>
      </c>
      <c r="BC1295" t="s">
        <v>229</v>
      </c>
      <c r="BD1295" t="s">
        <v>131</v>
      </c>
      <c r="BI1295" t="s">
        <v>233</v>
      </c>
      <c r="BJ1295" t="s">
        <v>0</v>
      </c>
      <c r="BK1295">
        <v>41999665</v>
      </c>
      <c r="BN1295" t="s">
        <v>73</v>
      </c>
      <c r="BR1295">
        <v>-15.3</v>
      </c>
      <c r="BS1295">
        <v>41999699</v>
      </c>
      <c r="BT1295" s="73">
        <v>45352.923622685186</v>
      </c>
      <c r="BU1295" t="s">
        <v>226</v>
      </c>
      <c r="BV1295" t="s">
        <v>263</v>
      </c>
      <c r="BW1295" t="s">
        <v>228</v>
      </c>
      <c r="CH1295" t="s">
        <v>229</v>
      </c>
      <c r="CI1295" t="s">
        <v>131</v>
      </c>
      <c r="CJ1295" t="s">
        <v>226</v>
      </c>
      <c r="CK1295" t="s">
        <v>263</v>
      </c>
      <c r="CL1295" t="s">
        <v>228</v>
      </c>
      <c r="CM1295" t="s">
        <v>234</v>
      </c>
      <c r="CN1295" t="s">
        <v>73</v>
      </c>
      <c r="CO1295">
        <v>-15.3</v>
      </c>
      <c r="CP1295">
        <v>41999699</v>
      </c>
      <c r="CQ1295" s="73">
        <v>45352.923622685186</v>
      </c>
      <c r="CR1295" t="s">
        <v>229</v>
      </c>
      <c r="CS1295" t="s">
        <v>131</v>
      </c>
      <c r="CU1295" t="s">
        <v>225</v>
      </c>
    </row>
    <row r="1296" spans="1:99">
      <c r="A1296" t="s">
        <v>87</v>
      </c>
      <c r="B1296" t="s">
        <v>90</v>
      </c>
      <c r="J1296" t="s">
        <v>225</v>
      </c>
      <c r="K1296" t="s">
        <v>225</v>
      </c>
      <c r="M1296" s="73">
        <v>45352.923622685186</v>
      </c>
      <c r="N1296">
        <v>41999698</v>
      </c>
      <c r="O1296">
        <v>-14.7</v>
      </c>
      <c r="P1296" t="s">
        <v>73</v>
      </c>
      <c r="Q1296">
        <v>-14.7</v>
      </c>
      <c r="R1296" t="s">
        <v>73</v>
      </c>
      <c r="U1296" t="s">
        <v>226</v>
      </c>
      <c r="V1296" t="s">
        <v>263</v>
      </c>
      <c r="W1296" t="s">
        <v>228</v>
      </c>
      <c r="X1296" t="s">
        <v>229</v>
      </c>
      <c r="Y1296" t="s">
        <v>87</v>
      </c>
      <c r="AD1296" t="s">
        <v>73</v>
      </c>
      <c r="AE1296">
        <v>-14.7</v>
      </c>
      <c r="AF1296">
        <v>41999698</v>
      </c>
      <c r="AG1296" s="73">
        <v>45352.923622685186</v>
      </c>
      <c r="AH1296" t="s">
        <v>226</v>
      </c>
      <c r="AI1296" t="s">
        <v>263</v>
      </c>
      <c r="AJ1296" t="s">
        <v>228</v>
      </c>
      <c r="AK1296" t="s">
        <v>229</v>
      </c>
      <c r="AL1296" t="s">
        <v>87</v>
      </c>
      <c r="AP1296" t="s">
        <v>230</v>
      </c>
      <c r="AQ1296" t="s">
        <v>231</v>
      </c>
      <c r="AT1296" t="s">
        <v>232</v>
      </c>
      <c r="AU1296">
        <v>-99</v>
      </c>
      <c r="AV1296" t="s">
        <v>73</v>
      </c>
      <c r="AW1296">
        <v>-14.7</v>
      </c>
      <c r="AX1296">
        <v>41999698</v>
      </c>
      <c r="AY1296" s="73">
        <v>45352.923622685186</v>
      </c>
      <c r="AZ1296" t="s">
        <v>226</v>
      </c>
      <c r="BA1296" t="s">
        <v>263</v>
      </c>
      <c r="BB1296" t="s">
        <v>228</v>
      </c>
      <c r="BC1296" t="s">
        <v>229</v>
      </c>
      <c r="BD1296" t="s">
        <v>87</v>
      </c>
      <c r="BI1296" t="s">
        <v>233</v>
      </c>
      <c r="BJ1296" t="s">
        <v>0</v>
      </c>
      <c r="BK1296">
        <v>41999665</v>
      </c>
      <c r="BN1296" t="s">
        <v>73</v>
      </c>
      <c r="BR1296">
        <v>-14.7</v>
      </c>
      <c r="BS1296">
        <v>41999698</v>
      </c>
      <c r="BT1296" s="73">
        <v>45352.923622685186</v>
      </c>
      <c r="BU1296" t="s">
        <v>226</v>
      </c>
      <c r="BV1296" t="s">
        <v>263</v>
      </c>
      <c r="BW1296" t="s">
        <v>228</v>
      </c>
      <c r="CH1296" t="s">
        <v>229</v>
      </c>
      <c r="CI1296" t="s">
        <v>87</v>
      </c>
      <c r="CJ1296" t="s">
        <v>226</v>
      </c>
      <c r="CK1296" t="s">
        <v>263</v>
      </c>
      <c r="CL1296" t="s">
        <v>228</v>
      </c>
      <c r="CM1296" t="s">
        <v>234</v>
      </c>
      <c r="CN1296" t="s">
        <v>73</v>
      </c>
      <c r="CO1296">
        <v>-14.7</v>
      </c>
      <c r="CP1296">
        <v>41999698</v>
      </c>
      <c r="CQ1296" s="73">
        <v>45352.923622685186</v>
      </c>
      <c r="CR1296" t="s">
        <v>229</v>
      </c>
      <c r="CS1296" t="s">
        <v>87</v>
      </c>
      <c r="CU1296" t="s">
        <v>225</v>
      </c>
    </row>
    <row r="1297" spans="1:99">
      <c r="A1297" t="s">
        <v>129</v>
      </c>
      <c r="B1297" t="s">
        <v>90</v>
      </c>
      <c r="J1297" t="s">
        <v>225</v>
      </c>
      <c r="K1297" t="s">
        <v>225</v>
      </c>
      <c r="M1297" s="73">
        <v>45352.923622685186</v>
      </c>
      <c r="N1297">
        <v>41999697</v>
      </c>
      <c r="O1297">
        <v>-1.2</v>
      </c>
      <c r="P1297" t="s">
        <v>73</v>
      </c>
      <c r="Q1297">
        <v>-1.2</v>
      </c>
      <c r="R1297" t="s">
        <v>73</v>
      </c>
      <c r="U1297" t="s">
        <v>226</v>
      </c>
      <c r="V1297" t="s">
        <v>263</v>
      </c>
      <c r="W1297" t="s">
        <v>228</v>
      </c>
      <c r="X1297" t="s">
        <v>229</v>
      </c>
      <c r="Y1297" t="s">
        <v>129</v>
      </c>
      <c r="AD1297" t="s">
        <v>73</v>
      </c>
      <c r="AE1297">
        <v>-1.2</v>
      </c>
      <c r="AF1297">
        <v>41999697</v>
      </c>
      <c r="AG1297" s="73">
        <v>45352.923622685186</v>
      </c>
      <c r="AH1297" t="s">
        <v>226</v>
      </c>
      <c r="AI1297" t="s">
        <v>263</v>
      </c>
      <c r="AJ1297" t="s">
        <v>228</v>
      </c>
      <c r="AK1297" t="s">
        <v>229</v>
      </c>
      <c r="AL1297" t="s">
        <v>129</v>
      </c>
      <c r="AP1297" t="s">
        <v>230</v>
      </c>
      <c r="AQ1297" t="s">
        <v>231</v>
      </c>
      <c r="AT1297" t="s">
        <v>232</v>
      </c>
      <c r="AU1297">
        <v>-99</v>
      </c>
      <c r="AV1297" t="s">
        <v>73</v>
      </c>
      <c r="AW1297">
        <v>-1.2</v>
      </c>
      <c r="AX1297">
        <v>41999697</v>
      </c>
      <c r="AY1297" s="73">
        <v>45352.923622685186</v>
      </c>
      <c r="AZ1297" t="s">
        <v>226</v>
      </c>
      <c r="BA1297" t="s">
        <v>263</v>
      </c>
      <c r="BB1297" t="s">
        <v>228</v>
      </c>
      <c r="BC1297" t="s">
        <v>229</v>
      </c>
      <c r="BD1297" t="s">
        <v>129</v>
      </c>
      <c r="BI1297" t="s">
        <v>233</v>
      </c>
      <c r="BJ1297" t="s">
        <v>0</v>
      </c>
      <c r="BK1297">
        <v>41999665</v>
      </c>
      <c r="BN1297" t="s">
        <v>73</v>
      </c>
      <c r="BR1297">
        <v>-1.2</v>
      </c>
      <c r="BS1297">
        <v>41999697</v>
      </c>
      <c r="BT1297" s="73">
        <v>45352.923622685186</v>
      </c>
      <c r="BU1297" t="s">
        <v>226</v>
      </c>
      <c r="BV1297" t="s">
        <v>263</v>
      </c>
      <c r="BW1297" t="s">
        <v>228</v>
      </c>
      <c r="CH1297" t="s">
        <v>229</v>
      </c>
      <c r="CI1297" t="s">
        <v>129</v>
      </c>
      <c r="CJ1297" t="s">
        <v>226</v>
      </c>
      <c r="CK1297" t="s">
        <v>263</v>
      </c>
      <c r="CL1297" t="s">
        <v>228</v>
      </c>
      <c r="CM1297" t="s">
        <v>234</v>
      </c>
      <c r="CN1297" t="s">
        <v>73</v>
      </c>
      <c r="CO1297">
        <v>-1.2</v>
      </c>
      <c r="CP1297">
        <v>41999697</v>
      </c>
      <c r="CQ1297" s="73">
        <v>45352.923622685186</v>
      </c>
      <c r="CR1297" t="s">
        <v>229</v>
      </c>
      <c r="CS1297" t="s">
        <v>129</v>
      </c>
      <c r="CU1297" t="s">
        <v>225</v>
      </c>
    </row>
    <row r="1298" spans="1:99">
      <c r="A1298" t="s">
        <v>127</v>
      </c>
      <c r="B1298" t="s">
        <v>90</v>
      </c>
      <c r="J1298" t="s">
        <v>225</v>
      </c>
      <c r="K1298" t="s">
        <v>225</v>
      </c>
      <c r="M1298" s="73">
        <v>45352.923622685186</v>
      </c>
      <c r="N1298">
        <v>41999696</v>
      </c>
      <c r="O1298">
        <v>-206</v>
      </c>
      <c r="P1298" t="s">
        <v>73</v>
      </c>
      <c r="Q1298">
        <v>-206</v>
      </c>
      <c r="R1298" t="s">
        <v>73</v>
      </c>
      <c r="U1298" t="s">
        <v>226</v>
      </c>
      <c r="V1298" t="s">
        <v>263</v>
      </c>
      <c r="W1298" t="s">
        <v>228</v>
      </c>
      <c r="X1298" t="s">
        <v>229</v>
      </c>
      <c r="Y1298" t="s">
        <v>127</v>
      </c>
      <c r="AD1298" t="s">
        <v>73</v>
      </c>
      <c r="AE1298">
        <v>-206</v>
      </c>
      <c r="AF1298">
        <v>41999696</v>
      </c>
      <c r="AG1298" s="73">
        <v>45352.923622685186</v>
      </c>
      <c r="AH1298" t="s">
        <v>226</v>
      </c>
      <c r="AI1298" t="s">
        <v>263</v>
      </c>
      <c r="AJ1298" t="s">
        <v>228</v>
      </c>
      <c r="AK1298" t="s">
        <v>229</v>
      </c>
      <c r="AL1298" t="s">
        <v>127</v>
      </c>
      <c r="AP1298" t="s">
        <v>230</v>
      </c>
      <c r="AQ1298" t="s">
        <v>231</v>
      </c>
      <c r="AT1298" t="s">
        <v>232</v>
      </c>
      <c r="AU1298">
        <v>-99</v>
      </c>
      <c r="AV1298" t="s">
        <v>73</v>
      </c>
      <c r="AW1298">
        <v>-206</v>
      </c>
      <c r="AX1298">
        <v>41999696</v>
      </c>
      <c r="AY1298" s="73">
        <v>45352.923622685186</v>
      </c>
      <c r="AZ1298" t="s">
        <v>226</v>
      </c>
      <c r="BA1298" t="s">
        <v>263</v>
      </c>
      <c r="BB1298" t="s">
        <v>228</v>
      </c>
      <c r="BC1298" t="s">
        <v>229</v>
      </c>
      <c r="BD1298" t="s">
        <v>127</v>
      </c>
      <c r="BI1298" t="s">
        <v>233</v>
      </c>
      <c r="BJ1298" t="s">
        <v>0</v>
      </c>
      <c r="BK1298">
        <v>41999665</v>
      </c>
      <c r="BN1298" t="s">
        <v>73</v>
      </c>
      <c r="BR1298">
        <v>-206</v>
      </c>
      <c r="BS1298">
        <v>41999696</v>
      </c>
      <c r="BT1298" s="73">
        <v>45352.923622685186</v>
      </c>
      <c r="BU1298" t="s">
        <v>226</v>
      </c>
      <c r="BV1298" t="s">
        <v>263</v>
      </c>
      <c r="BW1298" t="s">
        <v>228</v>
      </c>
      <c r="CH1298" t="s">
        <v>229</v>
      </c>
      <c r="CI1298" t="s">
        <v>127</v>
      </c>
      <c r="CJ1298" t="s">
        <v>226</v>
      </c>
      <c r="CK1298" t="s">
        <v>263</v>
      </c>
      <c r="CL1298" t="s">
        <v>228</v>
      </c>
      <c r="CM1298" t="s">
        <v>234</v>
      </c>
      <c r="CN1298" t="s">
        <v>73</v>
      </c>
      <c r="CO1298">
        <v>-206</v>
      </c>
      <c r="CP1298">
        <v>41999696</v>
      </c>
      <c r="CQ1298" s="73">
        <v>45352.923622685186</v>
      </c>
      <c r="CR1298" t="s">
        <v>229</v>
      </c>
      <c r="CS1298" t="s">
        <v>127</v>
      </c>
      <c r="CU1298" t="s">
        <v>225</v>
      </c>
    </row>
    <row r="1299" spans="1:99">
      <c r="A1299" t="s">
        <v>93</v>
      </c>
      <c r="B1299" t="s">
        <v>98</v>
      </c>
      <c r="J1299" t="s">
        <v>225</v>
      </c>
      <c r="K1299" t="s">
        <v>225</v>
      </c>
      <c r="M1299" s="73">
        <v>45352.923622685186</v>
      </c>
      <c r="N1299">
        <v>41999663</v>
      </c>
      <c r="O1299">
        <v>291.60000000000002</v>
      </c>
      <c r="P1299" t="s">
        <v>73</v>
      </c>
      <c r="Q1299">
        <v>291.60000000000002</v>
      </c>
      <c r="R1299" t="s">
        <v>73</v>
      </c>
      <c r="U1299" t="s">
        <v>226</v>
      </c>
      <c r="V1299" t="s">
        <v>263</v>
      </c>
      <c r="W1299" t="s">
        <v>235</v>
      </c>
      <c r="X1299" t="s">
        <v>229</v>
      </c>
      <c r="Y1299" t="s">
        <v>93</v>
      </c>
      <c r="AD1299" t="s">
        <v>73</v>
      </c>
      <c r="AE1299">
        <v>291.60000000000002</v>
      </c>
      <c r="AF1299">
        <v>41999663</v>
      </c>
      <c r="AG1299" s="73">
        <v>45352.923622685186</v>
      </c>
      <c r="AH1299" t="s">
        <v>226</v>
      </c>
      <c r="AI1299" t="s">
        <v>263</v>
      </c>
      <c r="AJ1299" t="s">
        <v>235</v>
      </c>
      <c r="AK1299" t="s">
        <v>229</v>
      </c>
      <c r="AL1299" t="s">
        <v>93</v>
      </c>
      <c r="AP1299" t="s">
        <v>230</v>
      </c>
      <c r="AQ1299" t="s">
        <v>231</v>
      </c>
      <c r="AT1299" t="s">
        <v>232</v>
      </c>
      <c r="AU1299">
        <v>-99</v>
      </c>
      <c r="AV1299" t="s">
        <v>73</v>
      </c>
      <c r="AW1299">
        <v>291.60000000000002</v>
      </c>
      <c r="AX1299">
        <v>41999663</v>
      </c>
      <c r="AY1299" s="73">
        <v>45352.923622685186</v>
      </c>
      <c r="AZ1299" t="s">
        <v>226</v>
      </c>
      <c r="BA1299" t="s">
        <v>263</v>
      </c>
      <c r="BB1299" t="s">
        <v>235</v>
      </c>
      <c r="BC1299" t="s">
        <v>229</v>
      </c>
      <c r="BD1299" t="s">
        <v>93</v>
      </c>
      <c r="BI1299" t="s">
        <v>233</v>
      </c>
      <c r="BJ1299" t="s">
        <v>0</v>
      </c>
      <c r="BK1299">
        <v>41999659</v>
      </c>
      <c r="BN1299" t="s">
        <v>73</v>
      </c>
      <c r="BO1299">
        <v>41999661</v>
      </c>
      <c r="BR1299">
        <v>291.60000000000002</v>
      </c>
      <c r="BS1299">
        <v>41999663</v>
      </c>
      <c r="BT1299" s="73">
        <v>45352.923622685186</v>
      </c>
      <c r="BU1299" t="s">
        <v>226</v>
      </c>
      <c r="BV1299" t="s">
        <v>263</v>
      </c>
      <c r="BW1299" t="s">
        <v>235</v>
      </c>
      <c r="CH1299" t="s">
        <v>229</v>
      </c>
      <c r="CI1299" t="s">
        <v>93</v>
      </c>
      <c r="CJ1299" t="s">
        <v>226</v>
      </c>
      <c r="CK1299" t="s">
        <v>263</v>
      </c>
      <c r="CL1299" t="s">
        <v>235</v>
      </c>
      <c r="CM1299" t="s">
        <v>236</v>
      </c>
      <c r="CN1299" t="s">
        <v>73</v>
      </c>
      <c r="CO1299">
        <v>291.60000000000002</v>
      </c>
      <c r="CP1299">
        <v>41999663</v>
      </c>
      <c r="CQ1299" s="73">
        <v>45352.923622685186</v>
      </c>
      <c r="CR1299" t="s">
        <v>229</v>
      </c>
      <c r="CS1299" t="s">
        <v>93</v>
      </c>
      <c r="CU1299" t="s">
        <v>225</v>
      </c>
    </row>
    <row r="1300" spans="1:99">
      <c r="A1300" t="s">
        <v>71</v>
      </c>
      <c r="B1300" t="s">
        <v>77</v>
      </c>
      <c r="J1300" t="s">
        <v>225</v>
      </c>
      <c r="K1300" t="s">
        <v>225</v>
      </c>
      <c r="M1300" s="73">
        <v>45352.923622685186</v>
      </c>
      <c r="N1300">
        <v>41999656</v>
      </c>
      <c r="O1300">
        <v>0.2</v>
      </c>
      <c r="P1300" t="s">
        <v>73</v>
      </c>
      <c r="Q1300">
        <v>0.2</v>
      </c>
      <c r="R1300" t="s">
        <v>73</v>
      </c>
      <c r="U1300" t="s">
        <v>226</v>
      </c>
      <c r="V1300" t="s">
        <v>263</v>
      </c>
      <c r="W1300" t="s">
        <v>237</v>
      </c>
      <c r="X1300" t="s">
        <v>229</v>
      </c>
      <c r="Y1300" t="s">
        <v>71</v>
      </c>
      <c r="AD1300" t="s">
        <v>73</v>
      </c>
      <c r="AE1300">
        <v>0.2</v>
      </c>
      <c r="AF1300">
        <v>41999656</v>
      </c>
      <c r="AG1300" s="73">
        <v>45352.923622685186</v>
      </c>
      <c r="AH1300" t="s">
        <v>226</v>
      </c>
      <c r="AI1300" t="s">
        <v>263</v>
      </c>
      <c r="AJ1300" t="s">
        <v>237</v>
      </c>
      <c r="AK1300" t="s">
        <v>229</v>
      </c>
      <c r="AL1300" t="s">
        <v>71</v>
      </c>
      <c r="AP1300" t="s">
        <v>230</v>
      </c>
      <c r="AQ1300" t="s">
        <v>231</v>
      </c>
      <c r="AT1300" t="s">
        <v>232</v>
      </c>
      <c r="AU1300">
        <v>-99</v>
      </c>
      <c r="AV1300" t="s">
        <v>73</v>
      </c>
      <c r="AW1300">
        <v>0.2</v>
      </c>
      <c r="AX1300">
        <v>41999656</v>
      </c>
      <c r="AY1300" s="73">
        <v>45352.923622685186</v>
      </c>
      <c r="AZ1300" t="s">
        <v>226</v>
      </c>
      <c r="BA1300" t="s">
        <v>263</v>
      </c>
      <c r="BB1300" t="s">
        <v>237</v>
      </c>
      <c r="BC1300" t="s">
        <v>229</v>
      </c>
      <c r="BD1300" t="s">
        <v>71</v>
      </c>
      <c r="BI1300" t="s">
        <v>233</v>
      </c>
      <c r="BJ1300" t="s">
        <v>0</v>
      </c>
      <c r="BK1300">
        <v>41999652</v>
      </c>
      <c r="BN1300" t="s">
        <v>73</v>
      </c>
      <c r="BO1300">
        <v>41999654</v>
      </c>
      <c r="BR1300">
        <v>0.2</v>
      </c>
      <c r="BS1300">
        <v>41999656</v>
      </c>
      <c r="BT1300" s="73">
        <v>45352.923622685186</v>
      </c>
      <c r="BU1300" t="s">
        <v>226</v>
      </c>
      <c r="BV1300" t="s">
        <v>263</v>
      </c>
      <c r="BW1300" t="s">
        <v>237</v>
      </c>
      <c r="CH1300" t="s">
        <v>229</v>
      </c>
      <c r="CI1300" t="s">
        <v>71</v>
      </c>
      <c r="CJ1300" t="s">
        <v>226</v>
      </c>
      <c r="CK1300" t="s">
        <v>263</v>
      </c>
      <c r="CL1300" t="s">
        <v>237</v>
      </c>
      <c r="CM1300" t="s">
        <v>236</v>
      </c>
      <c r="CN1300" t="s">
        <v>73</v>
      </c>
      <c r="CO1300">
        <v>0.2</v>
      </c>
      <c r="CP1300">
        <v>41999656</v>
      </c>
      <c r="CQ1300" s="73">
        <v>45352.923622685186</v>
      </c>
      <c r="CR1300" t="s">
        <v>229</v>
      </c>
      <c r="CS1300" t="s">
        <v>71</v>
      </c>
      <c r="CU1300" t="s">
        <v>225</v>
      </c>
    </row>
    <row r="1301" spans="1:99">
      <c r="A1301" t="s">
        <v>99</v>
      </c>
      <c r="B1301" t="s">
        <v>98</v>
      </c>
      <c r="J1301" t="s">
        <v>225</v>
      </c>
      <c r="K1301" t="s">
        <v>225</v>
      </c>
      <c r="M1301" s="73">
        <v>45352.923622685186</v>
      </c>
      <c r="N1301">
        <v>41999649</v>
      </c>
      <c r="O1301">
        <v>1035.25</v>
      </c>
      <c r="P1301" t="s">
        <v>73</v>
      </c>
      <c r="Q1301">
        <v>1035.25</v>
      </c>
      <c r="R1301" t="s">
        <v>73</v>
      </c>
      <c r="U1301" t="s">
        <v>226</v>
      </c>
      <c r="V1301" t="s">
        <v>262</v>
      </c>
      <c r="W1301" t="s">
        <v>235</v>
      </c>
      <c r="X1301" t="s">
        <v>229</v>
      </c>
      <c r="Y1301" t="s">
        <v>99</v>
      </c>
      <c r="AD1301" t="s">
        <v>73</v>
      </c>
      <c r="AE1301">
        <v>1035.25</v>
      </c>
      <c r="AF1301">
        <v>41999649</v>
      </c>
      <c r="AG1301" s="73">
        <v>45352.923622685186</v>
      </c>
      <c r="AH1301" t="s">
        <v>226</v>
      </c>
      <c r="AI1301" t="s">
        <v>262</v>
      </c>
      <c r="AJ1301" t="s">
        <v>235</v>
      </c>
      <c r="AK1301" t="s">
        <v>229</v>
      </c>
      <c r="AL1301" t="s">
        <v>99</v>
      </c>
      <c r="AP1301" t="s">
        <v>230</v>
      </c>
      <c r="AQ1301" t="s">
        <v>231</v>
      </c>
      <c r="AT1301" t="s">
        <v>232</v>
      </c>
      <c r="AU1301">
        <v>-99</v>
      </c>
      <c r="AV1301" t="s">
        <v>73</v>
      </c>
      <c r="AW1301">
        <v>1035.25</v>
      </c>
      <c r="AX1301">
        <v>41999649</v>
      </c>
      <c r="AY1301" s="73">
        <v>45352.923622685186</v>
      </c>
      <c r="AZ1301" t="s">
        <v>226</v>
      </c>
      <c r="BA1301" t="s">
        <v>262</v>
      </c>
      <c r="BB1301" t="s">
        <v>235</v>
      </c>
      <c r="BC1301" t="s">
        <v>229</v>
      </c>
      <c r="BD1301" t="s">
        <v>99</v>
      </c>
      <c r="BI1301" t="s">
        <v>233</v>
      </c>
      <c r="BJ1301" t="s">
        <v>0</v>
      </c>
      <c r="BK1301">
        <v>41999645</v>
      </c>
      <c r="BN1301" t="s">
        <v>73</v>
      </c>
      <c r="BO1301">
        <v>41999647</v>
      </c>
      <c r="BR1301">
        <v>1035.25</v>
      </c>
      <c r="BS1301">
        <v>41999649</v>
      </c>
      <c r="BT1301" s="73">
        <v>45352.923622685186</v>
      </c>
      <c r="BU1301" t="s">
        <v>226</v>
      </c>
      <c r="BV1301" t="s">
        <v>262</v>
      </c>
      <c r="BW1301" t="s">
        <v>235</v>
      </c>
      <c r="CH1301" t="s">
        <v>229</v>
      </c>
      <c r="CI1301" t="s">
        <v>99</v>
      </c>
      <c r="CJ1301" t="s">
        <v>226</v>
      </c>
      <c r="CK1301" t="s">
        <v>262</v>
      </c>
      <c r="CL1301" t="s">
        <v>235</v>
      </c>
      <c r="CM1301" t="s">
        <v>236</v>
      </c>
      <c r="CN1301" t="s">
        <v>73</v>
      </c>
      <c r="CO1301">
        <v>1035.25</v>
      </c>
      <c r="CP1301">
        <v>41999649</v>
      </c>
      <c r="CQ1301" s="73">
        <v>45352.923622685186</v>
      </c>
      <c r="CR1301" t="s">
        <v>229</v>
      </c>
      <c r="CS1301" t="s">
        <v>99</v>
      </c>
      <c r="CU1301" t="s">
        <v>225</v>
      </c>
    </row>
    <row r="1302" spans="1:99">
      <c r="A1302" t="s">
        <v>71</v>
      </c>
      <c r="B1302" t="s">
        <v>77</v>
      </c>
      <c r="J1302" t="s">
        <v>225</v>
      </c>
      <c r="K1302" t="s">
        <v>225</v>
      </c>
      <c r="M1302" s="73">
        <v>45352.923622685186</v>
      </c>
      <c r="N1302">
        <v>41999642</v>
      </c>
      <c r="O1302">
        <v>0.93</v>
      </c>
      <c r="P1302" t="s">
        <v>73</v>
      </c>
      <c r="Q1302">
        <v>0.93</v>
      </c>
      <c r="R1302" t="s">
        <v>73</v>
      </c>
      <c r="U1302" t="s">
        <v>226</v>
      </c>
      <c r="V1302" t="s">
        <v>262</v>
      </c>
      <c r="W1302" t="s">
        <v>237</v>
      </c>
      <c r="X1302" t="s">
        <v>229</v>
      </c>
      <c r="Y1302" t="s">
        <v>71</v>
      </c>
      <c r="AD1302" t="s">
        <v>73</v>
      </c>
      <c r="AE1302">
        <v>0.93</v>
      </c>
      <c r="AF1302">
        <v>41999642</v>
      </c>
      <c r="AG1302" s="73">
        <v>45352.923622685186</v>
      </c>
      <c r="AH1302" t="s">
        <v>226</v>
      </c>
      <c r="AI1302" t="s">
        <v>262</v>
      </c>
      <c r="AJ1302" t="s">
        <v>237</v>
      </c>
      <c r="AK1302" t="s">
        <v>229</v>
      </c>
      <c r="AL1302" t="s">
        <v>71</v>
      </c>
      <c r="AP1302" t="s">
        <v>230</v>
      </c>
      <c r="AQ1302" t="s">
        <v>231</v>
      </c>
      <c r="AT1302" t="s">
        <v>232</v>
      </c>
      <c r="AU1302">
        <v>-99</v>
      </c>
      <c r="AV1302" t="s">
        <v>73</v>
      </c>
      <c r="AW1302">
        <v>0.93</v>
      </c>
      <c r="AX1302">
        <v>41999642</v>
      </c>
      <c r="AY1302" s="73">
        <v>45352.923622685186</v>
      </c>
      <c r="AZ1302" t="s">
        <v>226</v>
      </c>
      <c r="BA1302" t="s">
        <v>262</v>
      </c>
      <c r="BB1302" t="s">
        <v>237</v>
      </c>
      <c r="BC1302" t="s">
        <v>229</v>
      </c>
      <c r="BD1302" t="s">
        <v>71</v>
      </c>
      <c r="BI1302" t="s">
        <v>233</v>
      </c>
      <c r="BJ1302" t="s">
        <v>0</v>
      </c>
      <c r="BK1302">
        <v>41999638</v>
      </c>
      <c r="BN1302" t="s">
        <v>73</v>
      </c>
      <c r="BO1302">
        <v>41999640</v>
      </c>
      <c r="BR1302">
        <v>0.93</v>
      </c>
      <c r="BS1302">
        <v>41999642</v>
      </c>
      <c r="BT1302" s="73">
        <v>45352.923622685186</v>
      </c>
      <c r="BU1302" t="s">
        <v>226</v>
      </c>
      <c r="BV1302" t="s">
        <v>262</v>
      </c>
      <c r="BW1302" t="s">
        <v>237</v>
      </c>
      <c r="CH1302" t="s">
        <v>229</v>
      </c>
      <c r="CI1302" t="s">
        <v>71</v>
      </c>
      <c r="CJ1302" t="s">
        <v>226</v>
      </c>
      <c r="CK1302" t="s">
        <v>262</v>
      </c>
      <c r="CL1302" t="s">
        <v>237</v>
      </c>
      <c r="CM1302" t="s">
        <v>236</v>
      </c>
      <c r="CN1302" t="s">
        <v>73</v>
      </c>
      <c r="CO1302">
        <v>0.93</v>
      </c>
      <c r="CP1302">
        <v>41999642</v>
      </c>
      <c r="CQ1302" s="73">
        <v>45352.923622685186</v>
      </c>
      <c r="CR1302" t="s">
        <v>229</v>
      </c>
      <c r="CS1302" t="s">
        <v>71</v>
      </c>
      <c r="CU1302" t="s">
        <v>225</v>
      </c>
    </row>
    <row r="1303" spans="1:99">
      <c r="A1303" t="s">
        <v>131</v>
      </c>
      <c r="B1303" t="s">
        <v>90</v>
      </c>
      <c r="J1303" t="s">
        <v>225</v>
      </c>
      <c r="K1303" t="s">
        <v>225</v>
      </c>
      <c r="M1303" s="73">
        <v>45352.923622685186</v>
      </c>
      <c r="N1303">
        <v>41999635</v>
      </c>
      <c r="O1303">
        <v>-133.80000000000001</v>
      </c>
      <c r="P1303" t="s">
        <v>73</v>
      </c>
      <c r="Q1303">
        <v>-133.80000000000001</v>
      </c>
      <c r="R1303" t="s">
        <v>73</v>
      </c>
      <c r="U1303" t="s">
        <v>226</v>
      </c>
      <c r="V1303" t="s">
        <v>262</v>
      </c>
      <c r="W1303" t="s">
        <v>228</v>
      </c>
      <c r="X1303" t="s">
        <v>229</v>
      </c>
      <c r="Y1303" t="s">
        <v>131</v>
      </c>
      <c r="AD1303" t="s">
        <v>73</v>
      </c>
      <c r="AE1303">
        <v>-133.80000000000001</v>
      </c>
      <c r="AF1303">
        <v>41999635</v>
      </c>
      <c r="AG1303" s="73">
        <v>45352.923622685186</v>
      </c>
      <c r="AH1303" t="s">
        <v>226</v>
      </c>
      <c r="AI1303" t="s">
        <v>262</v>
      </c>
      <c r="AJ1303" t="s">
        <v>228</v>
      </c>
      <c r="AK1303" t="s">
        <v>229</v>
      </c>
      <c r="AL1303" t="s">
        <v>131</v>
      </c>
      <c r="AP1303" t="s">
        <v>230</v>
      </c>
      <c r="AQ1303" t="s">
        <v>231</v>
      </c>
      <c r="AT1303" t="s">
        <v>232</v>
      </c>
      <c r="AU1303">
        <v>-99</v>
      </c>
      <c r="AV1303" t="s">
        <v>73</v>
      </c>
      <c r="AW1303">
        <v>-133.80000000000001</v>
      </c>
      <c r="AX1303">
        <v>41999635</v>
      </c>
      <c r="AY1303" s="73">
        <v>45352.923622685186</v>
      </c>
      <c r="AZ1303" t="s">
        <v>226</v>
      </c>
      <c r="BA1303" t="s">
        <v>262</v>
      </c>
      <c r="BB1303" t="s">
        <v>228</v>
      </c>
      <c r="BC1303" t="s">
        <v>229</v>
      </c>
      <c r="BD1303" t="s">
        <v>131</v>
      </c>
      <c r="BI1303" t="s">
        <v>233</v>
      </c>
      <c r="BJ1303" t="s">
        <v>0</v>
      </c>
      <c r="BK1303">
        <v>41999631</v>
      </c>
      <c r="BN1303" t="s">
        <v>73</v>
      </c>
      <c r="BR1303">
        <v>-133.80000000000001</v>
      </c>
      <c r="BS1303">
        <v>41999635</v>
      </c>
      <c r="BT1303" s="73">
        <v>45352.923622685186</v>
      </c>
      <c r="BU1303" t="s">
        <v>226</v>
      </c>
      <c r="BV1303" t="s">
        <v>262</v>
      </c>
      <c r="BW1303" t="s">
        <v>228</v>
      </c>
      <c r="CH1303" t="s">
        <v>229</v>
      </c>
      <c r="CI1303" t="s">
        <v>131</v>
      </c>
      <c r="CJ1303" t="s">
        <v>226</v>
      </c>
      <c r="CK1303" t="s">
        <v>262</v>
      </c>
      <c r="CL1303" t="s">
        <v>228</v>
      </c>
      <c r="CM1303" t="s">
        <v>234</v>
      </c>
      <c r="CN1303" t="s">
        <v>73</v>
      </c>
      <c r="CO1303">
        <v>-133.80000000000001</v>
      </c>
      <c r="CP1303">
        <v>41999635</v>
      </c>
      <c r="CQ1303" s="73">
        <v>45352.923622685186</v>
      </c>
      <c r="CR1303" t="s">
        <v>229</v>
      </c>
      <c r="CS1303" t="s">
        <v>131</v>
      </c>
      <c r="CU1303" t="s">
        <v>225</v>
      </c>
    </row>
    <row r="1304" spans="1:99">
      <c r="A1304" t="s">
        <v>133</v>
      </c>
      <c r="B1304" t="s">
        <v>90</v>
      </c>
      <c r="J1304" t="s">
        <v>225</v>
      </c>
      <c r="K1304" t="s">
        <v>225</v>
      </c>
      <c r="M1304" s="73">
        <v>45352.923622685186</v>
      </c>
      <c r="N1304">
        <v>41999628</v>
      </c>
      <c r="O1304">
        <v>-489.5</v>
      </c>
      <c r="P1304" t="s">
        <v>73</v>
      </c>
      <c r="Q1304">
        <v>-489.5</v>
      </c>
      <c r="R1304" t="s">
        <v>73</v>
      </c>
      <c r="U1304" t="s">
        <v>226</v>
      </c>
      <c r="V1304" t="s">
        <v>262</v>
      </c>
      <c r="W1304" t="s">
        <v>228</v>
      </c>
      <c r="X1304" t="s">
        <v>229</v>
      </c>
      <c r="Y1304" t="s">
        <v>133</v>
      </c>
      <c r="AD1304" t="s">
        <v>73</v>
      </c>
      <c r="AE1304">
        <v>-489.5</v>
      </c>
      <c r="AF1304">
        <v>41999628</v>
      </c>
      <c r="AG1304" s="73">
        <v>45352.923622685186</v>
      </c>
      <c r="AH1304" t="s">
        <v>226</v>
      </c>
      <c r="AI1304" t="s">
        <v>262</v>
      </c>
      <c r="AJ1304" t="s">
        <v>228</v>
      </c>
      <c r="AK1304" t="s">
        <v>229</v>
      </c>
      <c r="AL1304" t="s">
        <v>133</v>
      </c>
      <c r="AP1304" t="s">
        <v>230</v>
      </c>
      <c r="AQ1304" t="s">
        <v>231</v>
      </c>
      <c r="AT1304" t="s">
        <v>232</v>
      </c>
      <c r="AU1304">
        <v>-99</v>
      </c>
      <c r="AV1304" t="s">
        <v>73</v>
      </c>
      <c r="AW1304">
        <v>-489.5</v>
      </c>
      <c r="AX1304">
        <v>41999628</v>
      </c>
      <c r="AY1304" s="73">
        <v>45352.923622685186</v>
      </c>
      <c r="AZ1304" t="s">
        <v>226</v>
      </c>
      <c r="BA1304" t="s">
        <v>262</v>
      </c>
      <c r="BB1304" t="s">
        <v>228</v>
      </c>
      <c r="BC1304" t="s">
        <v>229</v>
      </c>
      <c r="BD1304" t="s">
        <v>133</v>
      </c>
      <c r="BI1304" t="s">
        <v>233</v>
      </c>
      <c r="BJ1304" t="s">
        <v>0</v>
      </c>
      <c r="BK1304">
        <v>41999624</v>
      </c>
      <c r="BN1304" t="s">
        <v>73</v>
      </c>
      <c r="BR1304">
        <v>-489.5</v>
      </c>
      <c r="BS1304">
        <v>41999628</v>
      </c>
      <c r="BT1304" s="73">
        <v>45352.923622685186</v>
      </c>
      <c r="BU1304" t="s">
        <v>226</v>
      </c>
      <c r="BV1304" t="s">
        <v>262</v>
      </c>
      <c r="BW1304" t="s">
        <v>228</v>
      </c>
      <c r="CH1304" t="s">
        <v>229</v>
      </c>
      <c r="CI1304" t="s">
        <v>133</v>
      </c>
      <c r="CJ1304" t="s">
        <v>226</v>
      </c>
      <c r="CK1304" t="s">
        <v>262</v>
      </c>
      <c r="CL1304" t="s">
        <v>228</v>
      </c>
      <c r="CM1304" t="s">
        <v>234</v>
      </c>
      <c r="CN1304" t="s">
        <v>73</v>
      </c>
      <c r="CO1304">
        <v>-489.5</v>
      </c>
      <c r="CP1304">
        <v>41999628</v>
      </c>
      <c r="CQ1304" s="73">
        <v>45352.923622685186</v>
      </c>
      <c r="CR1304" t="s">
        <v>229</v>
      </c>
      <c r="CS1304" t="s">
        <v>133</v>
      </c>
      <c r="CU1304" t="s">
        <v>225</v>
      </c>
    </row>
    <row r="1305" spans="1:99">
      <c r="A1305" t="s">
        <v>127</v>
      </c>
      <c r="B1305" t="s">
        <v>90</v>
      </c>
      <c r="J1305" t="s">
        <v>225</v>
      </c>
      <c r="K1305" t="s">
        <v>225</v>
      </c>
      <c r="M1305" s="73">
        <v>45352.923622685186</v>
      </c>
      <c r="N1305">
        <v>41999621</v>
      </c>
      <c r="O1305">
        <v>-691</v>
      </c>
      <c r="P1305" t="s">
        <v>73</v>
      </c>
      <c r="Q1305">
        <v>-691</v>
      </c>
      <c r="R1305" t="s">
        <v>73</v>
      </c>
      <c r="U1305" t="s">
        <v>226</v>
      </c>
      <c r="V1305" t="s">
        <v>262</v>
      </c>
      <c r="W1305" t="s">
        <v>228</v>
      </c>
      <c r="X1305" t="s">
        <v>229</v>
      </c>
      <c r="Y1305" t="s">
        <v>127</v>
      </c>
      <c r="AD1305" t="s">
        <v>73</v>
      </c>
      <c r="AE1305">
        <v>-691</v>
      </c>
      <c r="AF1305">
        <v>41999621</v>
      </c>
      <c r="AG1305" s="73">
        <v>45352.923622685186</v>
      </c>
      <c r="AH1305" t="s">
        <v>226</v>
      </c>
      <c r="AI1305" t="s">
        <v>262</v>
      </c>
      <c r="AJ1305" t="s">
        <v>228</v>
      </c>
      <c r="AK1305" t="s">
        <v>229</v>
      </c>
      <c r="AL1305" t="s">
        <v>127</v>
      </c>
      <c r="AP1305" t="s">
        <v>230</v>
      </c>
      <c r="AQ1305" t="s">
        <v>231</v>
      </c>
      <c r="AT1305" t="s">
        <v>232</v>
      </c>
      <c r="AU1305">
        <v>-99</v>
      </c>
      <c r="AV1305" t="s">
        <v>73</v>
      </c>
      <c r="AW1305">
        <v>-691</v>
      </c>
      <c r="AX1305">
        <v>41999621</v>
      </c>
      <c r="AY1305" s="73">
        <v>45352.923622685186</v>
      </c>
      <c r="AZ1305" t="s">
        <v>226</v>
      </c>
      <c r="BA1305" t="s">
        <v>262</v>
      </c>
      <c r="BB1305" t="s">
        <v>228</v>
      </c>
      <c r="BC1305" t="s">
        <v>229</v>
      </c>
      <c r="BD1305" t="s">
        <v>127</v>
      </c>
      <c r="BI1305" t="s">
        <v>233</v>
      </c>
      <c r="BJ1305" t="s">
        <v>0</v>
      </c>
      <c r="BK1305">
        <v>41999617</v>
      </c>
      <c r="BN1305" t="s">
        <v>73</v>
      </c>
      <c r="BR1305">
        <v>-691</v>
      </c>
      <c r="BS1305">
        <v>41999621</v>
      </c>
      <c r="BT1305" s="73">
        <v>45352.923622685186</v>
      </c>
      <c r="BU1305" t="s">
        <v>226</v>
      </c>
      <c r="BV1305" t="s">
        <v>262</v>
      </c>
      <c r="BW1305" t="s">
        <v>228</v>
      </c>
      <c r="CH1305" t="s">
        <v>229</v>
      </c>
      <c r="CI1305" t="s">
        <v>127</v>
      </c>
      <c r="CJ1305" t="s">
        <v>226</v>
      </c>
      <c r="CK1305" t="s">
        <v>262</v>
      </c>
      <c r="CL1305" t="s">
        <v>228</v>
      </c>
      <c r="CM1305" t="s">
        <v>234</v>
      </c>
      <c r="CN1305" t="s">
        <v>73</v>
      </c>
      <c r="CO1305">
        <v>-691</v>
      </c>
      <c r="CP1305">
        <v>41999621</v>
      </c>
      <c r="CQ1305" s="73">
        <v>45352.923622685186</v>
      </c>
      <c r="CR1305" t="s">
        <v>229</v>
      </c>
      <c r="CS1305" t="s">
        <v>127</v>
      </c>
      <c r="CU1305" t="s">
        <v>225</v>
      </c>
    </row>
    <row r="1306" spans="1:99">
      <c r="A1306" t="s">
        <v>87</v>
      </c>
      <c r="B1306" t="s">
        <v>90</v>
      </c>
      <c r="J1306" t="s">
        <v>225</v>
      </c>
      <c r="K1306" t="s">
        <v>225</v>
      </c>
      <c r="M1306" s="73">
        <v>45352.923622685186</v>
      </c>
      <c r="N1306">
        <v>41999614</v>
      </c>
      <c r="O1306">
        <v>-58.1</v>
      </c>
      <c r="P1306" t="s">
        <v>73</v>
      </c>
      <c r="Q1306">
        <v>-58.1</v>
      </c>
      <c r="R1306" t="s">
        <v>73</v>
      </c>
      <c r="U1306" t="s">
        <v>226</v>
      </c>
      <c r="V1306" t="s">
        <v>262</v>
      </c>
      <c r="W1306" t="s">
        <v>228</v>
      </c>
      <c r="X1306" t="s">
        <v>229</v>
      </c>
      <c r="Y1306" t="s">
        <v>87</v>
      </c>
      <c r="AD1306" t="s">
        <v>73</v>
      </c>
      <c r="AE1306">
        <v>-58.1</v>
      </c>
      <c r="AF1306">
        <v>41999614</v>
      </c>
      <c r="AG1306" s="73">
        <v>45352.923622685186</v>
      </c>
      <c r="AH1306" t="s">
        <v>226</v>
      </c>
      <c r="AI1306" t="s">
        <v>262</v>
      </c>
      <c r="AJ1306" t="s">
        <v>228</v>
      </c>
      <c r="AK1306" t="s">
        <v>229</v>
      </c>
      <c r="AL1306" t="s">
        <v>87</v>
      </c>
      <c r="AP1306" t="s">
        <v>230</v>
      </c>
      <c r="AQ1306" t="s">
        <v>231</v>
      </c>
      <c r="AT1306" t="s">
        <v>232</v>
      </c>
      <c r="AU1306">
        <v>-99</v>
      </c>
      <c r="AV1306" t="s">
        <v>73</v>
      </c>
      <c r="AW1306">
        <v>-58.1</v>
      </c>
      <c r="AX1306">
        <v>41999614</v>
      </c>
      <c r="AY1306" s="73">
        <v>45352.923622685186</v>
      </c>
      <c r="AZ1306" t="s">
        <v>226</v>
      </c>
      <c r="BA1306" t="s">
        <v>262</v>
      </c>
      <c r="BB1306" t="s">
        <v>228</v>
      </c>
      <c r="BC1306" t="s">
        <v>229</v>
      </c>
      <c r="BD1306" t="s">
        <v>87</v>
      </c>
      <c r="BI1306" t="s">
        <v>233</v>
      </c>
      <c r="BJ1306" t="s">
        <v>0</v>
      </c>
      <c r="BK1306">
        <v>41999610</v>
      </c>
      <c r="BN1306" t="s">
        <v>73</v>
      </c>
      <c r="BR1306">
        <v>-58.1</v>
      </c>
      <c r="BS1306">
        <v>41999614</v>
      </c>
      <c r="BT1306" s="73">
        <v>45352.923622685186</v>
      </c>
      <c r="BU1306" t="s">
        <v>226</v>
      </c>
      <c r="BV1306" t="s">
        <v>262</v>
      </c>
      <c r="BW1306" t="s">
        <v>228</v>
      </c>
      <c r="CH1306" t="s">
        <v>229</v>
      </c>
      <c r="CI1306" t="s">
        <v>87</v>
      </c>
      <c r="CJ1306" t="s">
        <v>226</v>
      </c>
      <c r="CK1306" t="s">
        <v>262</v>
      </c>
      <c r="CL1306" t="s">
        <v>228</v>
      </c>
      <c r="CM1306" t="s">
        <v>234</v>
      </c>
      <c r="CN1306" t="s">
        <v>73</v>
      </c>
      <c r="CO1306">
        <v>-58.1</v>
      </c>
      <c r="CP1306">
        <v>41999614</v>
      </c>
      <c r="CQ1306" s="73">
        <v>45352.923622685186</v>
      </c>
      <c r="CR1306" t="s">
        <v>229</v>
      </c>
      <c r="CS1306" t="s">
        <v>87</v>
      </c>
      <c r="CU1306" t="s">
        <v>225</v>
      </c>
    </row>
    <row r="1307" spans="1:99">
      <c r="A1307" t="s">
        <v>99</v>
      </c>
      <c r="B1307" t="s">
        <v>98</v>
      </c>
      <c r="J1307" t="s">
        <v>225</v>
      </c>
      <c r="K1307" t="s">
        <v>225</v>
      </c>
      <c r="M1307" s="73">
        <v>45352.923611111109</v>
      </c>
      <c r="N1307">
        <v>41999340</v>
      </c>
      <c r="O1307">
        <v>1439.36</v>
      </c>
      <c r="P1307" t="s">
        <v>73</v>
      </c>
      <c r="Q1307">
        <v>1439.36</v>
      </c>
      <c r="R1307" t="s">
        <v>73</v>
      </c>
      <c r="U1307" t="s">
        <v>226</v>
      </c>
      <c r="V1307" t="s">
        <v>264</v>
      </c>
      <c r="W1307" t="s">
        <v>235</v>
      </c>
      <c r="X1307" t="s">
        <v>229</v>
      </c>
      <c r="Y1307" t="s">
        <v>99</v>
      </c>
      <c r="AD1307" t="s">
        <v>73</v>
      </c>
      <c r="AE1307">
        <v>1439.36</v>
      </c>
      <c r="AF1307">
        <v>41999340</v>
      </c>
      <c r="AG1307" s="73">
        <v>45352.923611111109</v>
      </c>
      <c r="AH1307" t="s">
        <v>226</v>
      </c>
      <c r="AI1307" t="s">
        <v>264</v>
      </c>
      <c r="AJ1307" t="s">
        <v>235</v>
      </c>
      <c r="AK1307" t="s">
        <v>229</v>
      </c>
      <c r="AL1307" t="s">
        <v>99</v>
      </c>
      <c r="AP1307" t="s">
        <v>230</v>
      </c>
      <c r="AQ1307" t="s">
        <v>231</v>
      </c>
      <c r="AT1307" t="s">
        <v>232</v>
      </c>
      <c r="AU1307">
        <v>-99</v>
      </c>
      <c r="AV1307" t="s">
        <v>73</v>
      </c>
      <c r="AW1307">
        <v>1439.36</v>
      </c>
      <c r="AX1307">
        <v>41999340</v>
      </c>
      <c r="AY1307" s="73">
        <v>45352.923611111109</v>
      </c>
      <c r="AZ1307" t="s">
        <v>226</v>
      </c>
      <c r="BA1307" t="s">
        <v>264</v>
      </c>
      <c r="BB1307" t="s">
        <v>235</v>
      </c>
      <c r="BC1307" t="s">
        <v>229</v>
      </c>
      <c r="BD1307" t="s">
        <v>99</v>
      </c>
      <c r="BI1307" t="s">
        <v>233</v>
      </c>
      <c r="BJ1307" t="s">
        <v>0</v>
      </c>
      <c r="BK1307">
        <v>41999336</v>
      </c>
      <c r="BN1307" t="s">
        <v>73</v>
      </c>
      <c r="BO1307">
        <v>41999338</v>
      </c>
      <c r="BR1307">
        <v>1439.36</v>
      </c>
      <c r="BS1307">
        <v>41999340</v>
      </c>
      <c r="BT1307" s="73">
        <v>45352.923611111109</v>
      </c>
      <c r="BU1307" t="s">
        <v>226</v>
      </c>
      <c r="BV1307" t="s">
        <v>264</v>
      </c>
      <c r="BW1307" t="s">
        <v>235</v>
      </c>
      <c r="CH1307" t="s">
        <v>229</v>
      </c>
      <c r="CI1307" t="s">
        <v>99</v>
      </c>
      <c r="CJ1307" t="s">
        <v>226</v>
      </c>
      <c r="CK1307" t="s">
        <v>264</v>
      </c>
      <c r="CL1307" t="s">
        <v>235</v>
      </c>
      <c r="CM1307" t="s">
        <v>236</v>
      </c>
      <c r="CN1307" t="s">
        <v>73</v>
      </c>
      <c r="CO1307">
        <v>1439.36</v>
      </c>
      <c r="CP1307">
        <v>41999340</v>
      </c>
      <c r="CQ1307" s="73">
        <v>45352.923611111109</v>
      </c>
      <c r="CR1307" t="s">
        <v>229</v>
      </c>
      <c r="CS1307" t="s">
        <v>99</v>
      </c>
      <c r="CU1307" t="s">
        <v>225</v>
      </c>
    </row>
    <row r="1308" spans="1:99">
      <c r="A1308" t="s">
        <v>71</v>
      </c>
      <c r="B1308" t="s">
        <v>77</v>
      </c>
      <c r="J1308" t="s">
        <v>225</v>
      </c>
      <c r="K1308" t="s">
        <v>225</v>
      </c>
      <c r="M1308" s="73">
        <v>45352.923611111109</v>
      </c>
      <c r="N1308">
        <v>41999333</v>
      </c>
      <c r="O1308">
        <v>1.3</v>
      </c>
      <c r="P1308" t="s">
        <v>73</v>
      </c>
      <c r="Q1308">
        <v>1.3</v>
      </c>
      <c r="R1308" t="s">
        <v>73</v>
      </c>
      <c r="U1308" t="s">
        <v>226</v>
      </c>
      <c r="V1308" t="s">
        <v>264</v>
      </c>
      <c r="W1308" t="s">
        <v>237</v>
      </c>
      <c r="X1308" t="s">
        <v>229</v>
      </c>
      <c r="Y1308" t="s">
        <v>71</v>
      </c>
      <c r="AD1308" t="s">
        <v>73</v>
      </c>
      <c r="AE1308">
        <v>1.3</v>
      </c>
      <c r="AF1308">
        <v>41999333</v>
      </c>
      <c r="AG1308" s="73">
        <v>45352.923611111109</v>
      </c>
      <c r="AH1308" t="s">
        <v>226</v>
      </c>
      <c r="AI1308" t="s">
        <v>264</v>
      </c>
      <c r="AJ1308" t="s">
        <v>237</v>
      </c>
      <c r="AK1308" t="s">
        <v>229</v>
      </c>
      <c r="AL1308" t="s">
        <v>71</v>
      </c>
      <c r="AP1308" t="s">
        <v>230</v>
      </c>
      <c r="AQ1308" t="s">
        <v>231</v>
      </c>
      <c r="AT1308" t="s">
        <v>232</v>
      </c>
      <c r="AU1308">
        <v>-99</v>
      </c>
      <c r="AV1308" t="s">
        <v>73</v>
      </c>
      <c r="AW1308">
        <v>1.3</v>
      </c>
      <c r="AX1308">
        <v>41999333</v>
      </c>
      <c r="AY1308" s="73">
        <v>45352.923611111109</v>
      </c>
      <c r="AZ1308" t="s">
        <v>226</v>
      </c>
      <c r="BA1308" t="s">
        <v>264</v>
      </c>
      <c r="BB1308" t="s">
        <v>237</v>
      </c>
      <c r="BC1308" t="s">
        <v>229</v>
      </c>
      <c r="BD1308" t="s">
        <v>71</v>
      </c>
      <c r="BI1308" t="s">
        <v>233</v>
      </c>
      <c r="BJ1308" t="s">
        <v>0</v>
      </c>
      <c r="BK1308">
        <v>41999329</v>
      </c>
      <c r="BN1308" t="s">
        <v>73</v>
      </c>
      <c r="BO1308">
        <v>41999331</v>
      </c>
      <c r="BR1308">
        <v>1.3</v>
      </c>
      <c r="BS1308">
        <v>41999333</v>
      </c>
      <c r="BT1308" s="73">
        <v>45352.923611111109</v>
      </c>
      <c r="BU1308" t="s">
        <v>226</v>
      </c>
      <c r="BV1308" t="s">
        <v>264</v>
      </c>
      <c r="BW1308" t="s">
        <v>237</v>
      </c>
      <c r="CH1308" t="s">
        <v>229</v>
      </c>
      <c r="CI1308" t="s">
        <v>71</v>
      </c>
      <c r="CJ1308" t="s">
        <v>226</v>
      </c>
      <c r="CK1308" t="s">
        <v>264</v>
      </c>
      <c r="CL1308" t="s">
        <v>237</v>
      </c>
      <c r="CM1308" t="s">
        <v>236</v>
      </c>
      <c r="CN1308" t="s">
        <v>73</v>
      </c>
      <c r="CO1308">
        <v>1.3</v>
      </c>
      <c r="CP1308">
        <v>41999333</v>
      </c>
      <c r="CQ1308" s="73">
        <v>45352.923611111109</v>
      </c>
      <c r="CR1308" t="s">
        <v>229</v>
      </c>
      <c r="CS1308" t="s">
        <v>71</v>
      </c>
      <c r="CU1308" t="s">
        <v>225</v>
      </c>
    </row>
    <row r="1309" spans="1:99">
      <c r="A1309" t="s">
        <v>131</v>
      </c>
      <c r="B1309" t="s">
        <v>90</v>
      </c>
      <c r="J1309" t="s">
        <v>225</v>
      </c>
      <c r="K1309" t="s">
        <v>225</v>
      </c>
      <c r="M1309" s="73">
        <v>45352.923611111109</v>
      </c>
      <c r="N1309">
        <v>41999326</v>
      </c>
      <c r="O1309">
        <v>-163.6</v>
      </c>
      <c r="P1309" t="s">
        <v>73</v>
      </c>
      <c r="Q1309">
        <v>-163.6</v>
      </c>
      <c r="R1309" t="s">
        <v>73</v>
      </c>
      <c r="U1309" t="s">
        <v>226</v>
      </c>
      <c r="V1309" t="s">
        <v>264</v>
      </c>
      <c r="W1309" t="s">
        <v>228</v>
      </c>
      <c r="X1309" t="s">
        <v>229</v>
      </c>
      <c r="Y1309" t="s">
        <v>131</v>
      </c>
      <c r="AD1309" t="s">
        <v>73</v>
      </c>
      <c r="AE1309">
        <v>-163.6</v>
      </c>
      <c r="AF1309">
        <v>41999326</v>
      </c>
      <c r="AG1309" s="73">
        <v>45352.923611111109</v>
      </c>
      <c r="AH1309" t="s">
        <v>226</v>
      </c>
      <c r="AI1309" t="s">
        <v>264</v>
      </c>
      <c r="AJ1309" t="s">
        <v>228</v>
      </c>
      <c r="AK1309" t="s">
        <v>229</v>
      </c>
      <c r="AL1309" t="s">
        <v>131</v>
      </c>
      <c r="AP1309" t="s">
        <v>230</v>
      </c>
      <c r="AQ1309" t="s">
        <v>231</v>
      </c>
      <c r="AT1309" t="s">
        <v>232</v>
      </c>
      <c r="AU1309">
        <v>-99</v>
      </c>
      <c r="AV1309" t="s">
        <v>73</v>
      </c>
      <c r="AW1309">
        <v>-163.6</v>
      </c>
      <c r="AX1309">
        <v>41999326</v>
      </c>
      <c r="AY1309" s="73">
        <v>45352.923611111109</v>
      </c>
      <c r="AZ1309" t="s">
        <v>226</v>
      </c>
      <c r="BA1309" t="s">
        <v>264</v>
      </c>
      <c r="BB1309" t="s">
        <v>228</v>
      </c>
      <c r="BC1309" t="s">
        <v>229</v>
      </c>
      <c r="BD1309" t="s">
        <v>131</v>
      </c>
      <c r="BI1309" t="s">
        <v>233</v>
      </c>
      <c r="BJ1309" t="s">
        <v>0</v>
      </c>
      <c r="BK1309">
        <v>41999322</v>
      </c>
      <c r="BN1309" t="s">
        <v>73</v>
      </c>
      <c r="BR1309">
        <v>-163.6</v>
      </c>
      <c r="BS1309">
        <v>41999326</v>
      </c>
      <c r="BT1309" s="73">
        <v>45352.923611111109</v>
      </c>
      <c r="BU1309" t="s">
        <v>226</v>
      </c>
      <c r="BV1309" t="s">
        <v>264</v>
      </c>
      <c r="BW1309" t="s">
        <v>228</v>
      </c>
      <c r="CH1309" t="s">
        <v>229</v>
      </c>
      <c r="CI1309" t="s">
        <v>131</v>
      </c>
      <c r="CJ1309" t="s">
        <v>226</v>
      </c>
      <c r="CK1309" t="s">
        <v>264</v>
      </c>
      <c r="CL1309" t="s">
        <v>228</v>
      </c>
      <c r="CM1309" t="s">
        <v>234</v>
      </c>
      <c r="CN1309" t="s">
        <v>73</v>
      </c>
      <c r="CO1309">
        <v>-163.6</v>
      </c>
      <c r="CP1309">
        <v>41999326</v>
      </c>
      <c r="CQ1309" s="73">
        <v>45352.923611111109</v>
      </c>
      <c r="CR1309" t="s">
        <v>229</v>
      </c>
      <c r="CS1309" t="s">
        <v>131</v>
      </c>
      <c r="CU1309" t="s">
        <v>225</v>
      </c>
    </row>
    <row r="1310" spans="1:99">
      <c r="A1310" t="s">
        <v>133</v>
      </c>
      <c r="B1310" t="s">
        <v>90</v>
      </c>
      <c r="J1310" t="s">
        <v>225</v>
      </c>
      <c r="K1310" t="s">
        <v>225</v>
      </c>
      <c r="M1310" s="73">
        <v>45352.923611111109</v>
      </c>
      <c r="N1310">
        <v>41999319</v>
      </c>
      <c r="O1310">
        <v>-594.9</v>
      </c>
      <c r="P1310" t="s">
        <v>73</v>
      </c>
      <c r="Q1310">
        <v>-594.9</v>
      </c>
      <c r="R1310" t="s">
        <v>73</v>
      </c>
      <c r="U1310" t="s">
        <v>226</v>
      </c>
      <c r="V1310" t="s">
        <v>264</v>
      </c>
      <c r="W1310" t="s">
        <v>228</v>
      </c>
      <c r="X1310" t="s">
        <v>229</v>
      </c>
      <c r="Y1310" t="s">
        <v>133</v>
      </c>
      <c r="AD1310" t="s">
        <v>73</v>
      </c>
      <c r="AE1310">
        <v>-594.9</v>
      </c>
      <c r="AF1310">
        <v>41999319</v>
      </c>
      <c r="AG1310" s="73">
        <v>45352.923611111109</v>
      </c>
      <c r="AH1310" t="s">
        <v>226</v>
      </c>
      <c r="AI1310" t="s">
        <v>264</v>
      </c>
      <c r="AJ1310" t="s">
        <v>228</v>
      </c>
      <c r="AK1310" t="s">
        <v>229</v>
      </c>
      <c r="AL1310" t="s">
        <v>133</v>
      </c>
      <c r="AP1310" t="s">
        <v>230</v>
      </c>
      <c r="AQ1310" t="s">
        <v>231</v>
      </c>
      <c r="AT1310" t="s">
        <v>232</v>
      </c>
      <c r="AU1310">
        <v>-99</v>
      </c>
      <c r="AV1310" t="s">
        <v>73</v>
      </c>
      <c r="AW1310">
        <v>-594.9</v>
      </c>
      <c r="AX1310">
        <v>41999319</v>
      </c>
      <c r="AY1310" s="73">
        <v>45352.923611111109</v>
      </c>
      <c r="AZ1310" t="s">
        <v>226</v>
      </c>
      <c r="BA1310" t="s">
        <v>264</v>
      </c>
      <c r="BB1310" t="s">
        <v>228</v>
      </c>
      <c r="BC1310" t="s">
        <v>229</v>
      </c>
      <c r="BD1310" t="s">
        <v>133</v>
      </c>
      <c r="BI1310" t="s">
        <v>233</v>
      </c>
      <c r="BJ1310" t="s">
        <v>0</v>
      </c>
      <c r="BK1310">
        <v>41999315</v>
      </c>
      <c r="BN1310" t="s">
        <v>73</v>
      </c>
      <c r="BR1310">
        <v>-594.9</v>
      </c>
      <c r="BS1310">
        <v>41999319</v>
      </c>
      <c r="BT1310" s="73">
        <v>45352.923611111109</v>
      </c>
      <c r="BU1310" t="s">
        <v>226</v>
      </c>
      <c r="BV1310" t="s">
        <v>264</v>
      </c>
      <c r="BW1310" t="s">
        <v>228</v>
      </c>
      <c r="CH1310" t="s">
        <v>229</v>
      </c>
      <c r="CI1310" t="s">
        <v>133</v>
      </c>
      <c r="CJ1310" t="s">
        <v>226</v>
      </c>
      <c r="CK1310" t="s">
        <v>264</v>
      </c>
      <c r="CL1310" t="s">
        <v>228</v>
      </c>
      <c r="CM1310" t="s">
        <v>234</v>
      </c>
      <c r="CN1310" t="s">
        <v>73</v>
      </c>
      <c r="CO1310">
        <v>-594.9</v>
      </c>
      <c r="CP1310">
        <v>41999319</v>
      </c>
      <c r="CQ1310" s="73">
        <v>45352.923611111109</v>
      </c>
      <c r="CR1310" t="s">
        <v>229</v>
      </c>
      <c r="CS1310" t="s">
        <v>133</v>
      </c>
      <c r="CU1310" t="s">
        <v>225</v>
      </c>
    </row>
    <row r="1311" spans="1:99">
      <c r="A1311" t="s">
        <v>87</v>
      </c>
      <c r="B1311" t="s">
        <v>90</v>
      </c>
      <c r="J1311" t="s">
        <v>225</v>
      </c>
      <c r="K1311" t="s">
        <v>225</v>
      </c>
      <c r="M1311" s="73">
        <v>45352.923611111109</v>
      </c>
      <c r="N1311">
        <v>41999312</v>
      </c>
      <c r="O1311">
        <v>-59.4</v>
      </c>
      <c r="P1311" t="s">
        <v>73</v>
      </c>
      <c r="Q1311">
        <v>-59.4</v>
      </c>
      <c r="R1311" t="s">
        <v>73</v>
      </c>
      <c r="U1311" t="s">
        <v>226</v>
      </c>
      <c r="V1311" t="s">
        <v>264</v>
      </c>
      <c r="W1311" t="s">
        <v>228</v>
      </c>
      <c r="X1311" t="s">
        <v>229</v>
      </c>
      <c r="Y1311" t="s">
        <v>87</v>
      </c>
      <c r="AD1311" t="s">
        <v>73</v>
      </c>
      <c r="AE1311">
        <v>-59.4</v>
      </c>
      <c r="AF1311">
        <v>41999312</v>
      </c>
      <c r="AG1311" s="73">
        <v>45352.923611111109</v>
      </c>
      <c r="AH1311" t="s">
        <v>226</v>
      </c>
      <c r="AI1311" t="s">
        <v>264</v>
      </c>
      <c r="AJ1311" t="s">
        <v>228</v>
      </c>
      <c r="AK1311" t="s">
        <v>229</v>
      </c>
      <c r="AL1311" t="s">
        <v>87</v>
      </c>
      <c r="AP1311" t="s">
        <v>230</v>
      </c>
      <c r="AQ1311" t="s">
        <v>231</v>
      </c>
      <c r="AT1311" t="s">
        <v>232</v>
      </c>
      <c r="AU1311">
        <v>-99</v>
      </c>
      <c r="AV1311" t="s">
        <v>73</v>
      </c>
      <c r="AW1311">
        <v>-59.4</v>
      </c>
      <c r="AX1311">
        <v>41999312</v>
      </c>
      <c r="AY1311" s="73">
        <v>45352.923611111109</v>
      </c>
      <c r="AZ1311" t="s">
        <v>226</v>
      </c>
      <c r="BA1311" t="s">
        <v>264</v>
      </c>
      <c r="BB1311" t="s">
        <v>228</v>
      </c>
      <c r="BC1311" t="s">
        <v>229</v>
      </c>
      <c r="BD1311" t="s">
        <v>87</v>
      </c>
      <c r="BI1311" t="s">
        <v>233</v>
      </c>
      <c r="BJ1311" t="s">
        <v>0</v>
      </c>
      <c r="BK1311">
        <v>41999308</v>
      </c>
      <c r="BN1311" t="s">
        <v>73</v>
      </c>
      <c r="BR1311">
        <v>-59.4</v>
      </c>
      <c r="BS1311">
        <v>41999312</v>
      </c>
      <c r="BT1311" s="73">
        <v>45352.923611111109</v>
      </c>
      <c r="BU1311" t="s">
        <v>226</v>
      </c>
      <c r="BV1311" t="s">
        <v>264</v>
      </c>
      <c r="BW1311" t="s">
        <v>228</v>
      </c>
      <c r="CH1311" t="s">
        <v>229</v>
      </c>
      <c r="CI1311" t="s">
        <v>87</v>
      </c>
      <c r="CJ1311" t="s">
        <v>226</v>
      </c>
      <c r="CK1311" t="s">
        <v>264</v>
      </c>
      <c r="CL1311" t="s">
        <v>228</v>
      </c>
      <c r="CM1311" t="s">
        <v>234</v>
      </c>
      <c r="CN1311" t="s">
        <v>73</v>
      </c>
      <c r="CO1311">
        <v>-59.4</v>
      </c>
      <c r="CP1311">
        <v>41999312</v>
      </c>
      <c r="CQ1311" s="73">
        <v>45352.923611111109</v>
      </c>
      <c r="CR1311" t="s">
        <v>229</v>
      </c>
      <c r="CS1311" t="s">
        <v>87</v>
      </c>
      <c r="CU1311" t="s">
        <v>225</v>
      </c>
    </row>
    <row r="1312" spans="1:99">
      <c r="A1312" t="s">
        <v>127</v>
      </c>
      <c r="B1312" t="s">
        <v>90</v>
      </c>
      <c r="J1312" t="s">
        <v>225</v>
      </c>
      <c r="K1312" t="s">
        <v>225</v>
      </c>
      <c r="M1312" s="73">
        <v>45352.923611111109</v>
      </c>
      <c r="N1312">
        <v>41999305</v>
      </c>
      <c r="O1312">
        <v>-669.1</v>
      </c>
      <c r="P1312" t="s">
        <v>73</v>
      </c>
      <c r="Q1312">
        <v>-669.1</v>
      </c>
      <c r="R1312" t="s">
        <v>73</v>
      </c>
      <c r="U1312" t="s">
        <v>226</v>
      </c>
      <c r="V1312" t="s">
        <v>264</v>
      </c>
      <c r="W1312" t="s">
        <v>228</v>
      </c>
      <c r="X1312" t="s">
        <v>229</v>
      </c>
      <c r="Y1312" t="s">
        <v>127</v>
      </c>
      <c r="AD1312" t="s">
        <v>73</v>
      </c>
      <c r="AE1312">
        <v>-669.1</v>
      </c>
      <c r="AF1312">
        <v>41999305</v>
      </c>
      <c r="AG1312" s="73">
        <v>45352.923611111109</v>
      </c>
      <c r="AH1312" t="s">
        <v>226</v>
      </c>
      <c r="AI1312" t="s">
        <v>264</v>
      </c>
      <c r="AJ1312" t="s">
        <v>228</v>
      </c>
      <c r="AK1312" t="s">
        <v>229</v>
      </c>
      <c r="AL1312" t="s">
        <v>127</v>
      </c>
      <c r="AP1312" t="s">
        <v>230</v>
      </c>
      <c r="AQ1312" t="s">
        <v>231</v>
      </c>
      <c r="AT1312" t="s">
        <v>232</v>
      </c>
      <c r="AU1312">
        <v>-99</v>
      </c>
      <c r="AV1312" t="s">
        <v>73</v>
      </c>
      <c r="AW1312">
        <v>-669.1</v>
      </c>
      <c r="AX1312">
        <v>41999305</v>
      </c>
      <c r="AY1312" s="73">
        <v>45352.923611111109</v>
      </c>
      <c r="AZ1312" t="s">
        <v>226</v>
      </c>
      <c r="BA1312" t="s">
        <v>264</v>
      </c>
      <c r="BB1312" t="s">
        <v>228</v>
      </c>
      <c r="BC1312" t="s">
        <v>229</v>
      </c>
      <c r="BD1312" t="s">
        <v>127</v>
      </c>
      <c r="BI1312" t="s">
        <v>233</v>
      </c>
      <c r="BJ1312" t="s">
        <v>0</v>
      </c>
      <c r="BK1312">
        <v>41999301</v>
      </c>
      <c r="BN1312" t="s">
        <v>73</v>
      </c>
      <c r="BR1312">
        <v>-669.1</v>
      </c>
      <c r="BS1312">
        <v>41999305</v>
      </c>
      <c r="BT1312" s="73">
        <v>45352.923611111109</v>
      </c>
      <c r="BU1312" t="s">
        <v>226</v>
      </c>
      <c r="BV1312" t="s">
        <v>264</v>
      </c>
      <c r="BW1312" t="s">
        <v>228</v>
      </c>
      <c r="CH1312" t="s">
        <v>229</v>
      </c>
      <c r="CI1312" t="s">
        <v>127</v>
      </c>
      <c r="CJ1312" t="s">
        <v>226</v>
      </c>
      <c r="CK1312" t="s">
        <v>264</v>
      </c>
      <c r="CL1312" t="s">
        <v>228</v>
      </c>
      <c r="CM1312" t="s">
        <v>234</v>
      </c>
      <c r="CN1312" t="s">
        <v>73</v>
      </c>
      <c r="CO1312">
        <v>-669.1</v>
      </c>
      <c r="CP1312">
        <v>41999305</v>
      </c>
      <c r="CQ1312" s="73">
        <v>45352.923611111109</v>
      </c>
      <c r="CR1312" t="s">
        <v>229</v>
      </c>
      <c r="CS1312" t="s">
        <v>127</v>
      </c>
      <c r="CU1312" t="s">
        <v>225</v>
      </c>
    </row>
    <row r="1313" spans="1:99">
      <c r="A1313" t="s">
        <v>52</v>
      </c>
      <c r="B1313" t="s">
        <v>92</v>
      </c>
      <c r="J1313" t="s">
        <v>225</v>
      </c>
      <c r="K1313" t="s">
        <v>225</v>
      </c>
      <c r="M1313" s="73">
        <v>45352.923611111109</v>
      </c>
      <c r="N1313">
        <v>41998891</v>
      </c>
      <c r="O1313">
        <v>-2303</v>
      </c>
      <c r="P1313" t="s">
        <v>45</v>
      </c>
      <c r="Q1313">
        <v>-2303</v>
      </c>
      <c r="R1313" t="s">
        <v>45</v>
      </c>
      <c r="U1313" t="s">
        <v>226</v>
      </c>
      <c r="V1313" t="s">
        <v>265</v>
      </c>
      <c r="W1313" t="s">
        <v>228</v>
      </c>
      <c r="X1313" t="s">
        <v>229</v>
      </c>
      <c r="Y1313" t="s">
        <v>52</v>
      </c>
      <c r="AD1313" t="s">
        <v>45</v>
      </c>
      <c r="AE1313">
        <v>-2303</v>
      </c>
      <c r="AF1313">
        <v>41998891</v>
      </c>
      <c r="AG1313" s="73">
        <v>45352.923611111109</v>
      </c>
      <c r="AH1313" t="s">
        <v>226</v>
      </c>
      <c r="AI1313" t="s">
        <v>265</v>
      </c>
      <c r="AJ1313" t="s">
        <v>228</v>
      </c>
      <c r="AK1313" t="s">
        <v>229</v>
      </c>
      <c r="AL1313" t="s">
        <v>52</v>
      </c>
      <c r="AP1313" t="s">
        <v>230</v>
      </c>
      <c r="AQ1313" t="s">
        <v>231</v>
      </c>
      <c r="AT1313" t="s">
        <v>232</v>
      </c>
      <c r="AU1313">
        <v>-99</v>
      </c>
      <c r="AV1313" t="s">
        <v>45</v>
      </c>
      <c r="AW1313">
        <v>-2303</v>
      </c>
      <c r="AX1313">
        <v>41998891</v>
      </c>
      <c r="AY1313" s="73">
        <v>45352.923611111109</v>
      </c>
      <c r="AZ1313" t="s">
        <v>226</v>
      </c>
      <c r="BA1313" t="s">
        <v>265</v>
      </c>
      <c r="BB1313" t="s">
        <v>228</v>
      </c>
      <c r="BC1313" t="s">
        <v>229</v>
      </c>
      <c r="BD1313" t="s">
        <v>52</v>
      </c>
      <c r="BI1313" t="s">
        <v>233</v>
      </c>
      <c r="BJ1313" t="s">
        <v>0</v>
      </c>
      <c r="BK1313">
        <v>41998875</v>
      </c>
      <c r="BN1313" t="s">
        <v>45</v>
      </c>
      <c r="BR1313">
        <v>-2303</v>
      </c>
      <c r="BS1313">
        <v>41998891</v>
      </c>
      <c r="BT1313" s="73">
        <v>45352.923611111109</v>
      </c>
      <c r="BU1313" t="s">
        <v>226</v>
      </c>
      <c r="BV1313" t="s">
        <v>265</v>
      </c>
      <c r="BW1313" t="s">
        <v>228</v>
      </c>
      <c r="CH1313" t="s">
        <v>229</v>
      </c>
      <c r="CI1313" t="s">
        <v>52</v>
      </c>
      <c r="CJ1313" t="s">
        <v>226</v>
      </c>
      <c r="CK1313" t="s">
        <v>265</v>
      </c>
      <c r="CL1313" t="s">
        <v>228</v>
      </c>
      <c r="CM1313" t="s">
        <v>234</v>
      </c>
      <c r="CN1313" t="s">
        <v>45</v>
      </c>
      <c r="CO1313">
        <v>-2303</v>
      </c>
      <c r="CP1313">
        <v>41998891</v>
      </c>
      <c r="CQ1313" s="73">
        <v>45352.923611111109</v>
      </c>
      <c r="CR1313" t="s">
        <v>229</v>
      </c>
      <c r="CS1313" t="s">
        <v>52</v>
      </c>
      <c r="CU1313" t="s">
        <v>225</v>
      </c>
    </row>
    <row r="1314" spans="1:99">
      <c r="A1314" t="s">
        <v>101</v>
      </c>
      <c r="B1314" t="s">
        <v>98</v>
      </c>
      <c r="J1314" t="s">
        <v>225</v>
      </c>
      <c r="K1314" t="s">
        <v>225</v>
      </c>
      <c r="M1314" s="73">
        <v>45352.923611111109</v>
      </c>
      <c r="N1314">
        <v>41998890</v>
      </c>
      <c r="O1314">
        <v>-115</v>
      </c>
      <c r="P1314" t="s">
        <v>73</v>
      </c>
      <c r="Q1314">
        <v>-115</v>
      </c>
      <c r="R1314" t="s">
        <v>73</v>
      </c>
      <c r="U1314" t="s">
        <v>226</v>
      </c>
      <c r="V1314" t="s">
        <v>265</v>
      </c>
      <c r="W1314" t="s">
        <v>228</v>
      </c>
      <c r="X1314" t="s">
        <v>229</v>
      </c>
      <c r="Y1314" t="s">
        <v>101</v>
      </c>
      <c r="AD1314" t="s">
        <v>73</v>
      </c>
      <c r="AE1314">
        <v>-115</v>
      </c>
      <c r="AF1314">
        <v>41998890</v>
      </c>
      <c r="AG1314" s="73">
        <v>45352.923611111109</v>
      </c>
      <c r="AH1314" t="s">
        <v>226</v>
      </c>
      <c r="AI1314" t="s">
        <v>265</v>
      </c>
      <c r="AJ1314" t="s">
        <v>228</v>
      </c>
      <c r="AK1314" t="s">
        <v>229</v>
      </c>
      <c r="AL1314" t="s">
        <v>101</v>
      </c>
      <c r="AP1314" t="s">
        <v>230</v>
      </c>
      <c r="AQ1314" t="s">
        <v>231</v>
      </c>
      <c r="AT1314" t="s">
        <v>232</v>
      </c>
      <c r="AU1314">
        <v>-99</v>
      </c>
      <c r="AV1314" t="s">
        <v>73</v>
      </c>
      <c r="AW1314">
        <v>-115</v>
      </c>
      <c r="AX1314">
        <v>41998890</v>
      </c>
      <c r="AY1314" s="73">
        <v>45352.923611111109</v>
      </c>
      <c r="AZ1314" t="s">
        <v>226</v>
      </c>
      <c r="BA1314" t="s">
        <v>265</v>
      </c>
      <c r="BB1314" t="s">
        <v>228</v>
      </c>
      <c r="BC1314" t="s">
        <v>229</v>
      </c>
      <c r="BD1314" t="s">
        <v>101</v>
      </c>
      <c r="BI1314" t="s">
        <v>233</v>
      </c>
      <c r="BJ1314" t="s">
        <v>0</v>
      </c>
      <c r="BK1314">
        <v>41998875</v>
      </c>
      <c r="BN1314" t="s">
        <v>73</v>
      </c>
      <c r="BR1314">
        <v>-115</v>
      </c>
      <c r="BS1314">
        <v>41998890</v>
      </c>
      <c r="BT1314" s="73">
        <v>45352.923611111109</v>
      </c>
      <c r="BU1314" t="s">
        <v>226</v>
      </c>
      <c r="BV1314" t="s">
        <v>265</v>
      </c>
      <c r="BW1314" t="s">
        <v>228</v>
      </c>
      <c r="CH1314" t="s">
        <v>229</v>
      </c>
      <c r="CI1314" t="s">
        <v>101</v>
      </c>
      <c r="CJ1314" t="s">
        <v>226</v>
      </c>
      <c r="CK1314" t="s">
        <v>265</v>
      </c>
      <c r="CL1314" t="s">
        <v>228</v>
      </c>
      <c r="CM1314" t="s">
        <v>234</v>
      </c>
      <c r="CN1314" t="s">
        <v>73</v>
      </c>
      <c r="CO1314">
        <v>-115</v>
      </c>
      <c r="CP1314">
        <v>41998890</v>
      </c>
      <c r="CQ1314" s="73">
        <v>45352.923611111109</v>
      </c>
      <c r="CR1314" t="s">
        <v>229</v>
      </c>
      <c r="CS1314" t="s">
        <v>101</v>
      </c>
      <c r="CU1314" t="s">
        <v>225</v>
      </c>
    </row>
    <row r="1315" spans="1:99">
      <c r="A1315" t="s">
        <v>107</v>
      </c>
      <c r="B1315" t="s">
        <v>98</v>
      </c>
      <c r="J1315" t="s">
        <v>225</v>
      </c>
      <c r="K1315" t="s">
        <v>225</v>
      </c>
      <c r="M1315" s="73">
        <v>45352.923611111109</v>
      </c>
      <c r="N1315">
        <v>41998889</v>
      </c>
      <c r="O1315">
        <v>2300</v>
      </c>
      <c r="P1315" t="s">
        <v>104</v>
      </c>
      <c r="Q1315">
        <v>2300</v>
      </c>
      <c r="R1315" t="s">
        <v>104</v>
      </c>
      <c r="S1315">
        <v>115</v>
      </c>
      <c r="T1315" t="s">
        <v>73</v>
      </c>
      <c r="U1315" t="s">
        <v>226</v>
      </c>
      <c r="V1315" t="s">
        <v>265</v>
      </c>
      <c r="W1315" t="s">
        <v>235</v>
      </c>
      <c r="X1315" t="s">
        <v>229</v>
      </c>
      <c r="Y1315" t="s">
        <v>107</v>
      </c>
      <c r="AD1315" t="s">
        <v>104</v>
      </c>
      <c r="AE1315">
        <v>2300</v>
      </c>
      <c r="AF1315">
        <v>41998889</v>
      </c>
      <c r="AG1315" s="73">
        <v>45352.923611111109</v>
      </c>
      <c r="AH1315" t="s">
        <v>226</v>
      </c>
      <c r="AI1315" t="s">
        <v>265</v>
      </c>
      <c r="AJ1315" t="s">
        <v>235</v>
      </c>
      <c r="AK1315" t="s">
        <v>229</v>
      </c>
      <c r="AL1315" t="s">
        <v>107</v>
      </c>
      <c r="AP1315" t="s">
        <v>230</v>
      </c>
      <c r="AQ1315" t="s">
        <v>231</v>
      </c>
      <c r="AT1315" t="s">
        <v>232</v>
      </c>
      <c r="AU1315">
        <v>-99</v>
      </c>
      <c r="AV1315" t="s">
        <v>104</v>
      </c>
      <c r="AW1315">
        <v>2300</v>
      </c>
      <c r="AX1315">
        <v>41998889</v>
      </c>
      <c r="AY1315" s="73">
        <v>45352.923611111109</v>
      </c>
      <c r="AZ1315" t="s">
        <v>226</v>
      </c>
      <c r="BA1315" t="s">
        <v>265</v>
      </c>
      <c r="BB1315" t="s">
        <v>235</v>
      </c>
      <c r="BC1315" t="s">
        <v>229</v>
      </c>
      <c r="BD1315" t="s">
        <v>107</v>
      </c>
      <c r="BI1315" t="s">
        <v>233</v>
      </c>
      <c r="BJ1315" t="s">
        <v>0</v>
      </c>
      <c r="BK1315">
        <v>41998875</v>
      </c>
      <c r="BN1315" t="s">
        <v>104</v>
      </c>
      <c r="BO1315">
        <v>41998881</v>
      </c>
      <c r="BR1315">
        <v>2300</v>
      </c>
      <c r="BS1315">
        <v>41998889</v>
      </c>
      <c r="BT1315" s="73">
        <v>45352.923611111109</v>
      </c>
      <c r="BU1315" t="s">
        <v>226</v>
      </c>
      <c r="BV1315" t="s">
        <v>265</v>
      </c>
      <c r="BW1315" t="s">
        <v>235</v>
      </c>
      <c r="CH1315" t="s">
        <v>229</v>
      </c>
      <c r="CI1315" t="s">
        <v>107</v>
      </c>
      <c r="CJ1315" t="s">
        <v>226</v>
      </c>
      <c r="CK1315" t="s">
        <v>265</v>
      </c>
      <c r="CL1315" t="s">
        <v>235</v>
      </c>
      <c r="CM1315" t="s">
        <v>236</v>
      </c>
      <c r="CN1315" t="s">
        <v>104</v>
      </c>
      <c r="CO1315">
        <v>2300</v>
      </c>
      <c r="CP1315">
        <v>41998889</v>
      </c>
      <c r="CQ1315" s="73">
        <v>45352.923611111109</v>
      </c>
      <c r="CR1315" t="s">
        <v>229</v>
      </c>
      <c r="CS1315" t="s">
        <v>107</v>
      </c>
      <c r="CU1315" t="s">
        <v>225</v>
      </c>
    </row>
    <row r="1316" spans="1:99">
      <c r="A1316" t="s">
        <v>111</v>
      </c>
      <c r="B1316" t="s">
        <v>77</v>
      </c>
      <c r="J1316" t="s">
        <v>225</v>
      </c>
      <c r="K1316" t="s">
        <v>225</v>
      </c>
      <c r="M1316" s="73">
        <v>45352.923611111109</v>
      </c>
      <c r="N1316">
        <v>41998888</v>
      </c>
      <c r="O1316">
        <v>3</v>
      </c>
      <c r="P1316" t="s">
        <v>45</v>
      </c>
      <c r="Q1316">
        <v>3</v>
      </c>
      <c r="R1316" t="s">
        <v>45</v>
      </c>
      <c r="U1316" t="s">
        <v>226</v>
      </c>
      <c r="V1316" t="s">
        <v>265</v>
      </c>
      <c r="W1316" t="s">
        <v>237</v>
      </c>
      <c r="X1316" t="s">
        <v>229</v>
      </c>
      <c r="Y1316" t="s">
        <v>111</v>
      </c>
      <c r="AD1316" t="s">
        <v>45</v>
      </c>
      <c r="AE1316">
        <v>3</v>
      </c>
      <c r="AF1316">
        <v>41998888</v>
      </c>
      <c r="AG1316" s="73">
        <v>45352.923611111109</v>
      </c>
      <c r="AH1316" t="s">
        <v>226</v>
      </c>
      <c r="AI1316" t="s">
        <v>265</v>
      </c>
      <c r="AJ1316" t="s">
        <v>237</v>
      </c>
      <c r="AK1316" t="s">
        <v>229</v>
      </c>
      <c r="AL1316" t="s">
        <v>111</v>
      </c>
      <c r="AP1316" t="s">
        <v>230</v>
      </c>
      <c r="AQ1316" t="s">
        <v>231</v>
      </c>
      <c r="AT1316" t="s">
        <v>232</v>
      </c>
      <c r="AU1316">
        <v>-99</v>
      </c>
      <c r="AV1316" t="s">
        <v>45</v>
      </c>
      <c r="AW1316">
        <v>3</v>
      </c>
      <c r="AX1316">
        <v>41998888</v>
      </c>
      <c r="AY1316" s="73">
        <v>45352.923611111109</v>
      </c>
      <c r="AZ1316" t="s">
        <v>226</v>
      </c>
      <c r="BA1316" t="s">
        <v>265</v>
      </c>
      <c r="BB1316" t="s">
        <v>237</v>
      </c>
      <c r="BC1316" t="s">
        <v>229</v>
      </c>
      <c r="BD1316" t="s">
        <v>111</v>
      </c>
      <c r="BI1316" t="s">
        <v>233</v>
      </c>
      <c r="BJ1316" t="s">
        <v>0</v>
      </c>
      <c r="BK1316">
        <v>41998875</v>
      </c>
      <c r="BN1316" t="s">
        <v>45</v>
      </c>
      <c r="BO1316">
        <v>41998883</v>
      </c>
      <c r="BR1316">
        <v>3</v>
      </c>
      <c r="BS1316">
        <v>41998888</v>
      </c>
      <c r="BT1316" s="73">
        <v>45352.923611111109</v>
      </c>
      <c r="BU1316" t="s">
        <v>226</v>
      </c>
      <c r="BV1316" t="s">
        <v>265</v>
      </c>
      <c r="BW1316" t="s">
        <v>237</v>
      </c>
      <c r="CH1316" t="s">
        <v>229</v>
      </c>
      <c r="CI1316" t="s">
        <v>111</v>
      </c>
      <c r="CJ1316" t="s">
        <v>226</v>
      </c>
      <c r="CK1316" t="s">
        <v>265</v>
      </c>
      <c r="CL1316" t="s">
        <v>237</v>
      </c>
      <c r="CM1316" t="s">
        <v>236</v>
      </c>
      <c r="CN1316" t="s">
        <v>45</v>
      </c>
      <c r="CO1316">
        <v>3</v>
      </c>
      <c r="CP1316">
        <v>41998888</v>
      </c>
      <c r="CQ1316" s="73">
        <v>45352.923611111109</v>
      </c>
      <c r="CR1316" t="s">
        <v>229</v>
      </c>
      <c r="CS1316" t="s">
        <v>111</v>
      </c>
      <c r="CU1316" t="s">
        <v>225</v>
      </c>
    </row>
    <row r="1317" spans="1:99">
      <c r="A1317" t="s">
        <v>42</v>
      </c>
      <c r="B1317" t="s">
        <v>92</v>
      </c>
      <c r="J1317" t="s">
        <v>225</v>
      </c>
      <c r="K1317" t="s">
        <v>225</v>
      </c>
      <c r="M1317" s="73">
        <v>45352.623611111114</v>
      </c>
      <c r="N1317">
        <v>41998820</v>
      </c>
      <c r="O1317">
        <v>-4984</v>
      </c>
      <c r="P1317" t="s">
        <v>45</v>
      </c>
      <c r="Q1317">
        <v>-4984</v>
      </c>
      <c r="R1317" t="s">
        <v>45</v>
      </c>
      <c r="U1317" t="s">
        <v>226</v>
      </c>
      <c r="V1317" t="s">
        <v>266</v>
      </c>
      <c r="W1317" t="s">
        <v>228</v>
      </c>
      <c r="X1317" t="s">
        <v>229</v>
      </c>
      <c r="Y1317" t="s">
        <v>42</v>
      </c>
      <c r="AD1317" t="s">
        <v>45</v>
      </c>
      <c r="AE1317">
        <v>-4984</v>
      </c>
      <c r="AF1317">
        <v>41998820</v>
      </c>
      <c r="AG1317" s="73">
        <v>45352.623611111114</v>
      </c>
      <c r="AH1317" t="s">
        <v>226</v>
      </c>
      <c r="AI1317" t="s">
        <v>266</v>
      </c>
      <c r="AJ1317" t="s">
        <v>228</v>
      </c>
      <c r="AK1317" t="s">
        <v>229</v>
      </c>
      <c r="AL1317" t="s">
        <v>42</v>
      </c>
      <c r="AP1317" t="s">
        <v>230</v>
      </c>
      <c r="AQ1317" t="s">
        <v>231</v>
      </c>
      <c r="AT1317" t="s">
        <v>232</v>
      </c>
      <c r="AU1317">
        <v>-99</v>
      </c>
      <c r="AV1317" t="s">
        <v>45</v>
      </c>
      <c r="AW1317">
        <v>-4984</v>
      </c>
      <c r="AX1317">
        <v>41998820</v>
      </c>
      <c r="AY1317" s="73">
        <v>45352.623611111114</v>
      </c>
      <c r="AZ1317" t="s">
        <v>226</v>
      </c>
      <c r="BA1317" t="s">
        <v>266</v>
      </c>
      <c r="BB1317" t="s">
        <v>228</v>
      </c>
      <c r="BC1317" t="s">
        <v>229</v>
      </c>
      <c r="BD1317" t="s">
        <v>42</v>
      </c>
      <c r="BI1317" t="s">
        <v>233</v>
      </c>
      <c r="BJ1317" t="s">
        <v>0</v>
      </c>
      <c r="BK1317">
        <v>41998804</v>
      </c>
      <c r="BN1317" t="s">
        <v>45</v>
      </c>
      <c r="BR1317">
        <v>-4984</v>
      </c>
      <c r="BS1317">
        <v>41998820</v>
      </c>
      <c r="BT1317" s="73">
        <v>45352.623611111114</v>
      </c>
      <c r="BU1317" t="s">
        <v>226</v>
      </c>
      <c r="BV1317" t="s">
        <v>266</v>
      </c>
      <c r="BW1317" t="s">
        <v>228</v>
      </c>
      <c r="CH1317" t="s">
        <v>229</v>
      </c>
      <c r="CI1317" t="s">
        <v>42</v>
      </c>
      <c r="CJ1317" t="s">
        <v>226</v>
      </c>
      <c r="CK1317" t="s">
        <v>266</v>
      </c>
      <c r="CL1317" t="s">
        <v>228</v>
      </c>
      <c r="CM1317" t="s">
        <v>234</v>
      </c>
      <c r="CN1317" t="s">
        <v>45</v>
      </c>
      <c r="CO1317">
        <v>-4984</v>
      </c>
      <c r="CP1317">
        <v>41998820</v>
      </c>
      <c r="CQ1317" s="73">
        <v>45352.623611111114</v>
      </c>
      <c r="CR1317" t="s">
        <v>229</v>
      </c>
      <c r="CS1317" t="s">
        <v>42</v>
      </c>
      <c r="CU1317" t="s">
        <v>225</v>
      </c>
    </row>
    <row r="1318" spans="1:99">
      <c r="A1318" t="s">
        <v>99</v>
      </c>
      <c r="B1318" t="s">
        <v>98</v>
      </c>
      <c r="J1318" t="s">
        <v>225</v>
      </c>
      <c r="K1318" t="s">
        <v>225</v>
      </c>
      <c r="M1318" s="73">
        <v>45352.623611111114</v>
      </c>
      <c r="N1318">
        <v>41998819</v>
      </c>
      <c r="O1318">
        <v>-249</v>
      </c>
      <c r="P1318" t="s">
        <v>73</v>
      </c>
      <c r="Q1318">
        <v>-249</v>
      </c>
      <c r="R1318" t="s">
        <v>73</v>
      </c>
      <c r="U1318" t="s">
        <v>226</v>
      </c>
      <c r="V1318" t="s">
        <v>266</v>
      </c>
      <c r="W1318" t="s">
        <v>228</v>
      </c>
      <c r="X1318" t="s">
        <v>229</v>
      </c>
      <c r="Y1318" t="s">
        <v>99</v>
      </c>
      <c r="AD1318" t="s">
        <v>73</v>
      </c>
      <c r="AE1318">
        <v>-249</v>
      </c>
      <c r="AF1318">
        <v>41998819</v>
      </c>
      <c r="AG1318" s="73">
        <v>45352.623611111114</v>
      </c>
      <c r="AH1318" t="s">
        <v>226</v>
      </c>
      <c r="AI1318" t="s">
        <v>266</v>
      </c>
      <c r="AJ1318" t="s">
        <v>228</v>
      </c>
      <c r="AK1318" t="s">
        <v>229</v>
      </c>
      <c r="AL1318" t="s">
        <v>99</v>
      </c>
      <c r="AP1318" t="s">
        <v>230</v>
      </c>
      <c r="AQ1318" t="s">
        <v>231</v>
      </c>
      <c r="AT1318" t="s">
        <v>232</v>
      </c>
      <c r="AU1318">
        <v>-99</v>
      </c>
      <c r="AV1318" t="s">
        <v>73</v>
      </c>
      <c r="AW1318">
        <v>-249</v>
      </c>
      <c r="AX1318">
        <v>41998819</v>
      </c>
      <c r="AY1318" s="73">
        <v>45352.623611111114</v>
      </c>
      <c r="AZ1318" t="s">
        <v>226</v>
      </c>
      <c r="BA1318" t="s">
        <v>266</v>
      </c>
      <c r="BB1318" t="s">
        <v>228</v>
      </c>
      <c r="BC1318" t="s">
        <v>229</v>
      </c>
      <c r="BD1318" t="s">
        <v>99</v>
      </c>
      <c r="BI1318" t="s">
        <v>233</v>
      </c>
      <c r="BJ1318" t="s">
        <v>0</v>
      </c>
      <c r="BK1318">
        <v>41998804</v>
      </c>
      <c r="BN1318" t="s">
        <v>73</v>
      </c>
      <c r="BR1318">
        <v>-249</v>
      </c>
      <c r="BS1318">
        <v>41998819</v>
      </c>
      <c r="BT1318" s="73">
        <v>45352.623611111114</v>
      </c>
      <c r="BU1318" t="s">
        <v>226</v>
      </c>
      <c r="BV1318" t="s">
        <v>266</v>
      </c>
      <c r="BW1318" t="s">
        <v>228</v>
      </c>
      <c r="CH1318" t="s">
        <v>229</v>
      </c>
      <c r="CI1318" t="s">
        <v>99</v>
      </c>
      <c r="CJ1318" t="s">
        <v>226</v>
      </c>
      <c r="CK1318" t="s">
        <v>266</v>
      </c>
      <c r="CL1318" t="s">
        <v>228</v>
      </c>
      <c r="CM1318" t="s">
        <v>234</v>
      </c>
      <c r="CN1318" t="s">
        <v>73</v>
      </c>
      <c r="CO1318">
        <v>-249</v>
      </c>
      <c r="CP1318">
        <v>41998819</v>
      </c>
      <c r="CQ1318" s="73">
        <v>45352.623611111114</v>
      </c>
      <c r="CR1318" t="s">
        <v>229</v>
      </c>
      <c r="CS1318" t="s">
        <v>99</v>
      </c>
      <c r="CU1318" t="s">
        <v>225</v>
      </c>
    </row>
    <row r="1319" spans="1:99">
      <c r="A1319" t="s">
        <v>103</v>
      </c>
      <c r="B1319" t="s">
        <v>98</v>
      </c>
      <c r="J1319" t="s">
        <v>225</v>
      </c>
      <c r="K1319" t="s">
        <v>225</v>
      </c>
      <c r="M1319" s="73">
        <v>45352.623611111114</v>
      </c>
      <c r="N1319">
        <v>41998818</v>
      </c>
      <c r="O1319">
        <v>4980</v>
      </c>
      <c r="P1319" t="s">
        <v>104</v>
      </c>
      <c r="Q1319">
        <v>4980</v>
      </c>
      <c r="R1319" t="s">
        <v>104</v>
      </c>
      <c r="S1319">
        <v>249</v>
      </c>
      <c r="T1319" t="s">
        <v>73</v>
      </c>
      <c r="U1319" t="s">
        <v>226</v>
      </c>
      <c r="V1319" t="s">
        <v>266</v>
      </c>
      <c r="W1319" t="s">
        <v>235</v>
      </c>
      <c r="X1319" t="s">
        <v>229</v>
      </c>
      <c r="Y1319" t="s">
        <v>103</v>
      </c>
      <c r="AD1319" t="s">
        <v>104</v>
      </c>
      <c r="AE1319">
        <v>4980</v>
      </c>
      <c r="AF1319">
        <v>41998818</v>
      </c>
      <c r="AG1319" s="73">
        <v>45352.623611111114</v>
      </c>
      <c r="AH1319" t="s">
        <v>226</v>
      </c>
      <c r="AI1319" t="s">
        <v>266</v>
      </c>
      <c r="AJ1319" t="s">
        <v>235</v>
      </c>
      <c r="AK1319" t="s">
        <v>229</v>
      </c>
      <c r="AL1319" t="s">
        <v>103</v>
      </c>
      <c r="AP1319" t="s">
        <v>230</v>
      </c>
      <c r="AQ1319" t="s">
        <v>231</v>
      </c>
      <c r="AT1319" t="s">
        <v>232</v>
      </c>
      <c r="AU1319">
        <v>-99</v>
      </c>
      <c r="AV1319" t="s">
        <v>104</v>
      </c>
      <c r="AW1319">
        <v>4980</v>
      </c>
      <c r="AX1319">
        <v>41998818</v>
      </c>
      <c r="AY1319" s="73">
        <v>45352.623611111114</v>
      </c>
      <c r="AZ1319" t="s">
        <v>226</v>
      </c>
      <c r="BA1319" t="s">
        <v>266</v>
      </c>
      <c r="BB1319" t="s">
        <v>235</v>
      </c>
      <c r="BC1319" t="s">
        <v>229</v>
      </c>
      <c r="BD1319" t="s">
        <v>103</v>
      </c>
      <c r="BI1319" t="s">
        <v>233</v>
      </c>
      <c r="BJ1319" t="s">
        <v>0</v>
      </c>
      <c r="BK1319">
        <v>41998804</v>
      </c>
      <c r="BN1319" t="s">
        <v>104</v>
      </c>
      <c r="BO1319">
        <v>41998810</v>
      </c>
      <c r="BR1319">
        <v>4980</v>
      </c>
      <c r="BS1319">
        <v>41998818</v>
      </c>
      <c r="BT1319" s="73">
        <v>45352.623611111114</v>
      </c>
      <c r="BU1319" t="s">
        <v>226</v>
      </c>
      <c r="BV1319" t="s">
        <v>266</v>
      </c>
      <c r="BW1319" t="s">
        <v>235</v>
      </c>
      <c r="CH1319" t="s">
        <v>229</v>
      </c>
      <c r="CI1319" t="s">
        <v>103</v>
      </c>
      <c r="CJ1319" t="s">
        <v>226</v>
      </c>
      <c r="CK1319" t="s">
        <v>266</v>
      </c>
      <c r="CL1319" t="s">
        <v>235</v>
      </c>
      <c r="CM1319" t="s">
        <v>236</v>
      </c>
      <c r="CN1319" t="s">
        <v>104</v>
      </c>
      <c r="CO1319">
        <v>4980</v>
      </c>
      <c r="CP1319">
        <v>41998818</v>
      </c>
      <c r="CQ1319" s="73">
        <v>45352.623611111114</v>
      </c>
      <c r="CR1319" t="s">
        <v>229</v>
      </c>
      <c r="CS1319" t="s">
        <v>103</v>
      </c>
      <c r="CU1319" t="s">
        <v>225</v>
      </c>
    </row>
    <row r="1320" spans="1:99">
      <c r="A1320" t="s">
        <v>111</v>
      </c>
      <c r="B1320" t="s">
        <v>77</v>
      </c>
      <c r="J1320" t="s">
        <v>225</v>
      </c>
      <c r="K1320" t="s">
        <v>225</v>
      </c>
      <c r="M1320" s="73">
        <v>45352.623611111114</v>
      </c>
      <c r="N1320">
        <v>41998817</v>
      </c>
      <c r="O1320">
        <v>4</v>
      </c>
      <c r="P1320" t="s">
        <v>45</v>
      </c>
      <c r="Q1320">
        <v>4</v>
      </c>
      <c r="R1320" t="s">
        <v>45</v>
      </c>
      <c r="U1320" t="s">
        <v>226</v>
      </c>
      <c r="V1320" t="s">
        <v>266</v>
      </c>
      <c r="W1320" t="s">
        <v>237</v>
      </c>
      <c r="X1320" t="s">
        <v>229</v>
      </c>
      <c r="Y1320" t="s">
        <v>111</v>
      </c>
      <c r="AD1320" t="s">
        <v>45</v>
      </c>
      <c r="AE1320">
        <v>4</v>
      </c>
      <c r="AF1320">
        <v>41998817</v>
      </c>
      <c r="AG1320" s="73">
        <v>45352.623611111114</v>
      </c>
      <c r="AH1320" t="s">
        <v>226</v>
      </c>
      <c r="AI1320" t="s">
        <v>266</v>
      </c>
      <c r="AJ1320" t="s">
        <v>237</v>
      </c>
      <c r="AK1320" t="s">
        <v>229</v>
      </c>
      <c r="AL1320" t="s">
        <v>111</v>
      </c>
      <c r="AP1320" t="s">
        <v>230</v>
      </c>
      <c r="AQ1320" t="s">
        <v>231</v>
      </c>
      <c r="AT1320" t="s">
        <v>232</v>
      </c>
      <c r="AU1320">
        <v>-99</v>
      </c>
      <c r="AV1320" t="s">
        <v>45</v>
      </c>
      <c r="AW1320">
        <v>4</v>
      </c>
      <c r="AX1320">
        <v>41998817</v>
      </c>
      <c r="AY1320" s="73">
        <v>45352.623611111114</v>
      </c>
      <c r="AZ1320" t="s">
        <v>226</v>
      </c>
      <c r="BA1320" t="s">
        <v>266</v>
      </c>
      <c r="BB1320" t="s">
        <v>237</v>
      </c>
      <c r="BC1320" t="s">
        <v>229</v>
      </c>
      <c r="BD1320" t="s">
        <v>111</v>
      </c>
      <c r="BI1320" t="s">
        <v>233</v>
      </c>
      <c r="BJ1320" t="s">
        <v>0</v>
      </c>
      <c r="BK1320">
        <v>41998804</v>
      </c>
      <c r="BN1320" t="s">
        <v>45</v>
      </c>
      <c r="BO1320">
        <v>41998812</v>
      </c>
      <c r="BR1320">
        <v>4</v>
      </c>
      <c r="BS1320">
        <v>41998817</v>
      </c>
      <c r="BT1320" s="73">
        <v>45352.623611111114</v>
      </c>
      <c r="BU1320" t="s">
        <v>226</v>
      </c>
      <c r="BV1320" t="s">
        <v>266</v>
      </c>
      <c r="BW1320" t="s">
        <v>237</v>
      </c>
      <c r="CH1320" t="s">
        <v>229</v>
      </c>
      <c r="CI1320" t="s">
        <v>111</v>
      </c>
      <c r="CJ1320" t="s">
        <v>226</v>
      </c>
      <c r="CK1320" t="s">
        <v>266</v>
      </c>
      <c r="CL1320" t="s">
        <v>237</v>
      </c>
      <c r="CM1320" t="s">
        <v>236</v>
      </c>
      <c r="CN1320" t="s">
        <v>45</v>
      </c>
      <c r="CO1320">
        <v>4</v>
      </c>
      <c r="CP1320">
        <v>41998817</v>
      </c>
      <c r="CQ1320" s="73">
        <v>45352.623611111114</v>
      </c>
      <c r="CR1320" t="s">
        <v>229</v>
      </c>
      <c r="CS1320" t="s">
        <v>111</v>
      </c>
      <c r="CU1320" t="s">
        <v>225</v>
      </c>
    </row>
    <row r="1321" spans="1:99">
      <c r="A1321" t="s">
        <v>42</v>
      </c>
      <c r="B1321" t="s">
        <v>92</v>
      </c>
      <c r="J1321" t="s">
        <v>225</v>
      </c>
      <c r="K1321" t="s">
        <v>225</v>
      </c>
      <c r="M1321" s="73">
        <v>45352.619444444441</v>
      </c>
      <c r="N1321">
        <v>41998770</v>
      </c>
      <c r="O1321">
        <v>-850</v>
      </c>
      <c r="P1321" t="s">
        <v>45</v>
      </c>
      <c r="Q1321">
        <v>-850</v>
      </c>
      <c r="R1321" t="s">
        <v>45</v>
      </c>
      <c r="U1321" t="s">
        <v>226</v>
      </c>
      <c r="V1321" t="s">
        <v>267</v>
      </c>
      <c r="W1321" t="s">
        <v>228</v>
      </c>
      <c r="X1321" t="s">
        <v>229</v>
      </c>
      <c r="Y1321" t="s">
        <v>42</v>
      </c>
      <c r="AD1321" t="s">
        <v>45</v>
      </c>
      <c r="AE1321">
        <v>-850</v>
      </c>
      <c r="AF1321">
        <v>41998770</v>
      </c>
      <c r="AG1321" s="73">
        <v>45352.619444444441</v>
      </c>
      <c r="AH1321" t="s">
        <v>226</v>
      </c>
      <c r="AI1321" t="s">
        <v>267</v>
      </c>
      <c r="AJ1321" t="s">
        <v>228</v>
      </c>
      <c r="AK1321" t="s">
        <v>229</v>
      </c>
      <c r="AL1321" t="s">
        <v>42</v>
      </c>
      <c r="AP1321" t="s">
        <v>230</v>
      </c>
      <c r="AQ1321" t="s">
        <v>231</v>
      </c>
      <c r="AT1321" t="s">
        <v>232</v>
      </c>
      <c r="AU1321">
        <v>-99</v>
      </c>
      <c r="AV1321" t="s">
        <v>45</v>
      </c>
      <c r="AW1321">
        <v>-850</v>
      </c>
      <c r="AX1321">
        <v>41998770</v>
      </c>
      <c r="AY1321" s="73">
        <v>45352.619444444441</v>
      </c>
      <c r="AZ1321" t="s">
        <v>226</v>
      </c>
      <c r="BA1321" t="s">
        <v>267</v>
      </c>
      <c r="BB1321" t="s">
        <v>228</v>
      </c>
      <c r="BC1321" t="s">
        <v>229</v>
      </c>
      <c r="BD1321" t="s">
        <v>42</v>
      </c>
      <c r="BI1321" t="s">
        <v>233</v>
      </c>
      <c r="BJ1321" t="s">
        <v>0</v>
      </c>
      <c r="BK1321">
        <v>41998758</v>
      </c>
      <c r="BN1321" t="s">
        <v>45</v>
      </c>
      <c r="BR1321">
        <v>-850</v>
      </c>
      <c r="BS1321">
        <v>41998770</v>
      </c>
      <c r="BT1321" s="73">
        <v>45352.619444444441</v>
      </c>
      <c r="BU1321" t="s">
        <v>226</v>
      </c>
      <c r="BV1321" t="s">
        <v>267</v>
      </c>
      <c r="BW1321" t="s">
        <v>228</v>
      </c>
      <c r="CH1321" t="s">
        <v>229</v>
      </c>
      <c r="CI1321" t="s">
        <v>42</v>
      </c>
      <c r="CJ1321" t="s">
        <v>226</v>
      </c>
      <c r="CK1321" t="s">
        <v>267</v>
      </c>
      <c r="CL1321" t="s">
        <v>228</v>
      </c>
      <c r="CM1321" t="s">
        <v>234</v>
      </c>
      <c r="CN1321" t="s">
        <v>45</v>
      </c>
      <c r="CO1321">
        <v>-850</v>
      </c>
      <c r="CP1321">
        <v>41998770</v>
      </c>
      <c r="CQ1321" s="73">
        <v>45352.619444444441</v>
      </c>
      <c r="CR1321" t="s">
        <v>229</v>
      </c>
      <c r="CS1321" t="s">
        <v>42</v>
      </c>
      <c r="CU1321" t="s">
        <v>225</v>
      </c>
    </row>
    <row r="1322" spans="1:99">
      <c r="A1322" t="s">
        <v>99</v>
      </c>
      <c r="B1322" t="s">
        <v>98</v>
      </c>
      <c r="J1322" t="s">
        <v>225</v>
      </c>
      <c r="K1322" t="s">
        <v>225</v>
      </c>
      <c r="M1322" s="73">
        <v>45352.619444444441</v>
      </c>
      <c r="N1322">
        <v>41998769</v>
      </c>
      <c r="O1322">
        <v>-42.5</v>
      </c>
      <c r="P1322" t="s">
        <v>73</v>
      </c>
      <c r="Q1322">
        <v>-42.5</v>
      </c>
      <c r="R1322" t="s">
        <v>73</v>
      </c>
      <c r="U1322" t="s">
        <v>226</v>
      </c>
      <c r="V1322" t="s">
        <v>267</v>
      </c>
      <c r="W1322" t="s">
        <v>228</v>
      </c>
      <c r="X1322" t="s">
        <v>229</v>
      </c>
      <c r="Y1322" t="s">
        <v>99</v>
      </c>
      <c r="AD1322" t="s">
        <v>73</v>
      </c>
      <c r="AE1322">
        <v>-42.5</v>
      </c>
      <c r="AF1322">
        <v>41998769</v>
      </c>
      <c r="AG1322" s="73">
        <v>45352.619444444441</v>
      </c>
      <c r="AH1322" t="s">
        <v>226</v>
      </c>
      <c r="AI1322" t="s">
        <v>267</v>
      </c>
      <c r="AJ1322" t="s">
        <v>228</v>
      </c>
      <c r="AK1322" t="s">
        <v>229</v>
      </c>
      <c r="AL1322" t="s">
        <v>99</v>
      </c>
      <c r="AP1322" t="s">
        <v>230</v>
      </c>
      <c r="AQ1322" t="s">
        <v>231</v>
      </c>
      <c r="AT1322" t="s">
        <v>232</v>
      </c>
      <c r="AU1322">
        <v>-99</v>
      </c>
      <c r="AV1322" t="s">
        <v>73</v>
      </c>
      <c r="AW1322">
        <v>-42.5</v>
      </c>
      <c r="AX1322">
        <v>41998769</v>
      </c>
      <c r="AY1322" s="73">
        <v>45352.619444444441</v>
      </c>
      <c r="AZ1322" t="s">
        <v>226</v>
      </c>
      <c r="BA1322" t="s">
        <v>267</v>
      </c>
      <c r="BB1322" t="s">
        <v>228</v>
      </c>
      <c r="BC1322" t="s">
        <v>229</v>
      </c>
      <c r="BD1322" t="s">
        <v>99</v>
      </c>
      <c r="BI1322" t="s">
        <v>233</v>
      </c>
      <c r="BJ1322" t="s">
        <v>0</v>
      </c>
      <c r="BK1322">
        <v>41998758</v>
      </c>
      <c r="BN1322" t="s">
        <v>73</v>
      </c>
      <c r="BR1322">
        <v>-42.5</v>
      </c>
      <c r="BS1322">
        <v>41998769</v>
      </c>
      <c r="BT1322" s="73">
        <v>45352.619444444441</v>
      </c>
      <c r="BU1322" t="s">
        <v>226</v>
      </c>
      <c r="BV1322" t="s">
        <v>267</v>
      </c>
      <c r="BW1322" t="s">
        <v>228</v>
      </c>
      <c r="CH1322" t="s">
        <v>229</v>
      </c>
      <c r="CI1322" t="s">
        <v>99</v>
      </c>
      <c r="CJ1322" t="s">
        <v>226</v>
      </c>
      <c r="CK1322" t="s">
        <v>267</v>
      </c>
      <c r="CL1322" t="s">
        <v>228</v>
      </c>
      <c r="CM1322" t="s">
        <v>234</v>
      </c>
      <c r="CN1322" t="s">
        <v>73</v>
      </c>
      <c r="CO1322">
        <v>-42.5</v>
      </c>
      <c r="CP1322">
        <v>41998769</v>
      </c>
      <c r="CQ1322" s="73">
        <v>45352.619444444441</v>
      </c>
      <c r="CR1322" t="s">
        <v>229</v>
      </c>
      <c r="CS1322" t="s">
        <v>99</v>
      </c>
      <c r="CU1322" t="s">
        <v>225</v>
      </c>
    </row>
    <row r="1323" spans="1:99">
      <c r="A1323" t="s">
        <v>103</v>
      </c>
      <c r="B1323" t="s">
        <v>98</v>
      </c>
      <c r="J1323" t="s">
        <v>225</v>
      </c>
      <c r="K1323" t="s">
        <v>225</v>
      </c>
      <c r="M1323" s="73">
        <v>45352.619444444441</v>
      </c>
      <c r="N1323">
        <v>41998768</v>
      </c>
      <c r="O1323">
        <v>850</v>
      </c>
      <c r="P1323" t="s">
        <v>104</v>
      </c>
      <c r="Q1323">
        <v>850</v>
      </c>
      <c r="R1323" t="s">
        <v>104</v>
      </c>
      <c r="S1323">
        <v>42.5</v>
      </c>
      <c r="T1323" t="s">
        <v>73</v>
      </c>
      <c r="U1323" t="s">
        <v>226</v>
      </c>
      <c r="V1323" t="s">
        <v>267</v>
      </c>
      <c r="W1323" t="s">
        <v>235</v>
      </c>
      <c r="X1323" t="s">
        <v>229</v>
      </c>
      <c r="Y1323" t="s">
        <v>103</v>
      </c>
      <c r="AD1323" t="s">
        <v>104</v>
      </c>
      <c r="AE1323">
        <v>850</v>
      </c>
      <c r="AF1323">
        <v>41998768</v>
      </c>
      <c r="AG1323" s="73">
        <v>45352.619444444441</v>
      </c>
      <c r="AH1323" t="s">
        <v>226</v>
      </c>
      <c r="AI1323" t="s">
        <v>267</v>
      </c>
      <c r="AJ1323" t="s">
        <v>235</v>
      </c>
      <c r="AK1323" t="s">
        <v>229</v>
      </c>
      <c r="AL1323" t="s">
        <v>103</v>
      </c>
      <c r="AP1323" t="s">
        <v>230</v>
      </c>
      <c r="AQ1323" t="s">
        <v>231</v>
      </c>
      <c r="AT1323" t="s">
        <v>232</v>
      </c>
      <c r="AU1323">
        <v>-99</v>
      </c>
      <c r="AV1323" t="s">
        <v>104</v>
      </c>
      <c r="AW1323">
        <v>850</v>
      </c>
      <c r="AX1323">
        <v>41998768</v>
      </c>
      <c r="AY1323" s="73">
        <v>45352.619444444441</v>
      </c>
      <c r="AZ1323" t="s">
        <v>226</v>
      </c>
      <c r="BA1323" t="s">
        <v>267</v>
      </c>
      <c r="BB1323" t="s">
        <v>235</v>
      </c>
      <c r="BC1323" t="s">
        <v>229</v>
      </c>
      <c r="BD1323" t="s">
        <v>103</v>
      </c>
      <c r="BI1323" t="s">
        <v>233</v>
      </c>
      <c r="BJ1323" t="s">
        <v>0</v>
      </c>
      <c r="BK1323">
        <v>41998758</v>
      </c>
      <c r="BN1323" t="s">
        <v>104</v>
      </c>
      <c r="BO1323">
        <v>41998764</v>
      </c>
      <c r="BR1323">
        <v>850</v>
      </c>
      <c r="BS1323">
        <v>41998768</v>
      </c>
      <c r="BT1323" s="73">
        <v>45352.619444444441</v>
      </c>
      <c r="BU1323" t="s">
        <v>226</v>
      </c>
      <c r="BV1323" t="s">
        <v>267</v>
      </c>
      <c r="BW1323" t="s">
        <v>235</v>
      </c>
      <c r="CH1323" t="s">
        <v>229</v>
      </c>
      <c r="CI1323" t="s">
        <v>103</v>
      </c>
      <c r="CJ1323" t="s">
        <v>226</v>
      </c>
      <c r="CK1323" t="s">
        <v>267</v>
      </c>
      <c r="CL1323" t="s">
        <v>235</v>
      </c>
      <c r="CM1323" t="s">
        <v>236</v>
      </c>
      <c r="CN1323" t="s">
        <v>104</v>
      </c>
      <c r="CO1323">
        <v>850</v>
      </c>
      <c r="CP1323">
        <v>41998768</v>
      </c>
      <c r="CQ1323" s="73">
        <v>45352.619444444441</v>
      </c>
      <c r="CR1323" t="s">
        <v>229</v>
      </c>
      <c r="CS1323" t="s">
        <v>103</v>
      </c>
      <c r="CU1323" t="s">
        <v>225</v>
      </c>
    </row>
    <row r="1324" spans="1:99">
      <c r="A1324" t="s">
        <v>52</v>
      </c>
      <c r="B1324" t="s">
        <v>92</v>
      </c>
      <c r="J1324" t="s">
        <v>225</v>
      </c>
      <c r="K1324" t="s">
        <v>225</v>
      </c>
      <c r="M1324" s="73">
        <v>45352.616666666669</v>
      </c>
      <c r="N1324">
        <v>41998735</v>
      </c>
      <c r="O1324">
        <v>-1372</v>
      </c>
      <c r="P1324" t="s">
        <v>45</v>
      </c>
      <c r="Q1324">
        <v>-1372</v>
      </c>
      <c r="R1324" t="s">
        <v>45</v>
      </c>
      <c r="U1324" t="s">
        <v>226</v>
      </c>
      <c r="V1324" t="s">
        <v>268</v>
      </c>
      <c r="W1324" t="s">
        <v>228</v>
      </c>
      <c r="X1324" t="s">
        <v>229</v>
      </c>
      <c r="Y1324" t="s">
        <v>52</v>
      </c>
      <c r="AD1324" t="s">
        <v>45</v>
      </c>
      <c r="AE1324">
        <v>-1372</v>
      </c>
      <c r="AF1324">
        <v>41998735</v>
      </c>
      <c r="AG1324" s="73">
        <v>45352.616666666669</v>
      </c>
      <c r="AH1324" t="s">
        <v>226</v>
      </c>
      <c r="AI1324" t="s">
        <v>268</v>
      </c>
      <c r="AJ1324" t="s">
        <v>228</v>
      </c>
      <c r="AK1324" t="s">
        <v>229</v>
      </c>
      <c r="AL1324" t="s">
        <v>52</v>
      </c>
      <c r="AP1324" t="s">
        <v>230</v>
      </c>
      <c r="AQ1324" t="s">
        <v>231</v>
      </c>
      <c r="AT1324" t="s">
        <v>232</v>
      </c>
      <c r="AU1324">
        <v>-99</v>
      </c>
      <c r="AV1324" t="s">
        <v>45</v>
      </c>
      <c r="AW1324">
        <v>-1372</v>
      </c>
      <c r="AX1324">
        <v>41998735</v>
      </c>
      <c r="AY1324" s="73">
        <v>45352.616666666669</v>
      </c>
      <c r="AZ1324" t="s">
        <v>226</v>
      </c>
      <c r="BA1324" t="s">
        <v>268</v>
      </c>
      <c r="BB1324" t="s">
        <v>228</v>
      </c>
      <c r="BC1324" t="s">
        <v>229</v>
      </c>
      <c r="BD1324" t="s">
        <v>52</v>
      </c>
      <c r="BI1324" t="s">
        <v>233</v>
      </c>
      <c r="BJ1324" t="s">
        <v>0</v>
      </c>
      <c r="BK1324">
        <v>41998719</v>
      </c>
      <c r="BN1324" t="s">
        <v>45</v>
      </c>
      <c r="BR1324">
        <v>-1372</v>
      </c>
      <c r="BS1324">
        <v>41998735</v>
      </c>
      <c r="BT1324" s="73">
        <v>45352.616666666669</v>
      </c>
      <c r="BU1324" t="s">
        <v>226</v>
      </c>
      <c r="BV1324" t="s">
        <v>268</v>
      </c>
      <c r="BW1324" t="s">
        <v>228</v>
      </c>
      <c r="CH1324" t="s">
        <v>229</v>
      </c>
      <c r="CI1324" t="s">
        <v>52</v>
      </c>
      <c r="CJ1324" t="s">
        <v>226</v>
      </c>
      <c r="CK1324" t="s">
        <v>268</v>
      </c>
      <c r="CL1324" t="s">
        <v>228</v>
      </c>
      <c r="CM1324" t="s">
        <v>234</v>
      </c>
      <c r="CN1324" t="s">
        <v>45</v>
      </c>
      <c r="CO1324">
        <v>-1372</v>
      </c>
      <c r="CP1324">
        <v>41998735</v>
      </c>
      <c r="CQ1324" s="73">
        <v>45352.616666666669</v>
      </c>
      <c r="CR1324" t="s">
        <v>229</v>
      </c>
      <c r="CS1324" t="s">
        <v>52</v>
      </c>
      <c r="CU1324" t="s">
        <v>225</v>
      </c>
    </row>
    <row r="1325" spans="1:99">
      <c r="A1325" t="s">
        <v>101</v>
      </c>
      <c r="B1325" t="s">
        <v>98</v>
      </c>
      <c r="J1325" t="s">
        <v>225</v>
      </c>
      <c r="K1325" t="s">
        <v>225</v>
      </c>
      <c r="M1325" s="73">
        <v>45352.616666666669</v>
      </c>
      <c r="N1325">
        <v>41998734</v>
      </c>
      <c r="O1325">
        <v>-68.5</v>
      </c>
      <c r="P1325" t="s">
        <v>73</v>
      </c>
      <c r="Q1325">
        <v>-68.5</v>
      </c>
      <c r="R1325" t="s">
        <v>73</v>
      </c>
      <c r="U1325" t="s">
        <v>226</v>
      </c>
      <c r="V1325" t="s">
        <v>268</v>
      </c>
      <c r="W1325" t="s">
        <v>228</v>
      </c>
      <c r="X1325" t="s">
        <v>229</v>
      </c>
      <c r="Y1325" t="s">
        <v>101</v>
      </c>
      <c r="AD1325" t="s">
        <v>73</v>
      </c>
      <c r="AE1325">
        <v>-68.5</v>
      </c>
      <c r="AF1325">
        <v>41998734</v>
      </c>
      <c r="AG1325" s="73">
        <v>45352.616666666669</v>
      </c>
      <c r="AH1325" t="s">
        <v>226</v>
      </c>
      <c r="AI1325" t="s">
        <v>268</v>
      </c>
      <c r="AJ1325" t="s">
        <v>228</v>
      </c>
      <c r="AK1325" t="s">
        <v>229</v>
      </c>
      <c r="AL1325" t="s">
        <v>101</v>
      </c>
      <c r="AP1325" t="s">
        <v>230</v>
      </c>
      <c r="AQ1325" t="s">
        <v>231</v>
      </c>
      <c r="AT1325" t="s">
        <v>232</v>
      </c>
      <c r="AU1325">
        <v>-99</v>
      </c>
      <c r="AV1325" t="s">
        <v>73</v>
      </c>
      <c r="AW1325">
        <v>-68.5</v>
      </c>
      <c r="AX1325">
        <v>41998734</v>
      </c>
      <c r="AY1325" s="73">
        <v>45352.616666666669</v>
      </c>
      <c r="AZ1325" t="s">
        <v>226</v>
      </c>
      <c r="BA1325" t="s">
        <v>268</v>
      </c>
      <c r="BB1325" t="s">
        <v>228</v>
      </c>
      <c r="BC1325" t="s">
        <v>229</v>
      </c>
      <c r="BD1325" t="s">
        <v>101</v>
      </c>
      <c r="BI1325" t="s">
        <v>233</v>
      </c>
      <c r="BJ1325" t="s">
        <v>0</v>
      </c>
      <c r="BK1325">
        <v>41998719</v>
      </c>
      <c r="BN1325" t="s">
        <v>73</v>
      </c>
      <c r="BR1325">
        <v>-68.5</v>
      </c>
      <c r="BS1325">
        <v>41998734</v>
      </c>
      <c r="BT1325" s="73">
        <v>45352.616666666669</v>
      </c>
      <c r="BU1325" t="s">
        <v>226</v>
      </c>
      <c r="BV1325" t="s">
        <v>268</v>
      </c>
      <c r="BW1325" t="s">
        <v>228</v>
      </c>
      <c r="CH1325" t="s">
        <v>229</v>
      </c>
      <c r="CI1325" t="s">
        <v>101</v>
      </c>
      <c r="CJ1325" t="s">
        <v>226</v>
      </c>
      <c r="CK1325" t="s">
        <v>268</v>
      </c>
      <c r="CL1325" t="s">
        <v>228</v>
      </c>
      <c r="CM1325" t="s">
        <v>234</v>
      </c>
      <c r="CN1325" t="s">
        <v>73</v>
      </c>
      <c r="CO1325">
        <v>-68.5</v>
      </c>
      <c r="CP1325">
        <v>41998734</v>
      </c>
      <c r="CQ1325" s="73">
        <v>45352.616666666669</v>
      </c>
      <c r="CR1325" t="s">
        <v>229</v>
      </c>
      <c r="CS1325" t="s">
        <v>101</v>
      </c>
      <c r="CU1325" t="s">
        <v>225</v>
      </c>
    </row>
    <row r="1326" spans="1:99">
      <c r="A1326" t="s">
        <v>107</v>
      </c>
      <c r="B1326" t="s">
        <v>98</v>
      </c>
      <c r="J1326" t="s">
        <v>225</v>
      </c>
      <c r="K1326" t="s">
        <v>225</v>
      </c>
      <c r="M1326" s="73">
        <v>45352.616666666669</v>
      </c>
      <c r="N1326">
        <v>41998733</v>
      </c>
      <c r="O1326">
        <v>1370</v>
      </c>
      <c r="P1326" t="s">
        <v>104</v>
      </c>
      <c r="Q1326">
        <v>1370</v>
      </c>
      <c r="R1326" t="s">
        <v>104</v>
      </c>
      <c r="S1326">
        <v>68.5</v>
      </c>
      <c r="T1326" t="s">
        <v>73</v>
      </c>
      <c r="U1326" t="s">
        <v>226</v>
      </c>
      <c r="V1326" t="s">
        <v>268</v>
      </c>
      <c r="W1326" t="s">
        <v>235</v>
      </c>
      <c r="X1326" t="s">
        <v>229</v>
      </c>
      <c r="Y1326" t="s">
        <v>107</v>
      </c>
      <c r="AD1326" t="s">
        <v>104</v>
      </c>
      <c r="AE1326">
        <v>1370</v>
      </c>
      <c r="AF1326">
        <v>41998733</v>
      </c>
      <c r="AG1326" s="73">
        <v>45352.616666666669</v>
      </c>
      <c r="AH1326" t="s">
        <v>226</v>
      </c>
      <c r="AI1326" t="s">
        <v>268</v>
      </c>
      <c r="AJ1326" t="s">
        <v>235</v>
      </c>
      <c r="AK1326" t="s">
        <v>229</v>
      </c>
      <c r="AL1326" t="s">
        <v>107</v>
      </c>
      <c r="AP1326" t="s">
        <v>230</v>
      </c>
      <c r="AQ1326" t="s">
        <v>231</v>
      </c>
      <c r="AT1326" t="s">
        <v>232</v>
      </c>
      <c r="AU1326">
        <v>-99</v>
      </c>
      <c r="AV1326" t="s">
        <v>104</v>
      </c>
      <c r="AW1326">
        <v>1370</v>
      </c>
      <c r="AX1326">
        <v>41998733</v>
      </c>
      <c r="AY1326" s="73">
        <v>45352.616666666669</v>
      </c>
      <c r="AZ1326" t="s">
        <v>226</v>
      </c>
      <c r="BA1326" t="s">
        <v>268</v>
      </c>
      <c r="BB1326" t="s">
        <v>235</v>
      </c>
      <c r="BC1326" t="s">
        <v>229</v>
      </c>
      <c r="BD1326" t="s">
        <v>107</v>
      </c>
      <c r="BI1326" t="s">
        <v>233</v>
      </c>
      <c r="BJ1326" t="s">
        <v>0</v>
      </c>
      <c r="BK1326">
        <v>41998719</v>
      </c>
      <c r="BN1326" t="s">
        <v>104</v>
      </c>
      <c r="BO1326">
        <v>41998725</v>
      </c>
      <c r="BR1326">
        <v>1370</v>
      </c>
      <c r="BS1326">
        <v>41998733</v>
      </c>
      <c r="BT1326" s="73">
        <v>45352.616666666669</v>
      </c>
      <c r="BU1326" t="s">
        <v>226</v>
      </c>
      <c r="BV1326" t="s">
        <v>268</v>
      </c>
      <c r="BW1326" t="s">
        <v>235</v>
      </c>
      <c r="CH1326" t="s">
        <v>229</v>
      </c>
      <c r="CI1326" t="s">
        <v>107</v>
      </c>
      <c r="CJ1326" t="s">
        <v>226</v>
      </c>
      <c r="CK1326" t="s">
        <v>268</v>
      </c>
      <c r="CL1326" t="s">
        <v>235</v>
      </c>
      <c r="CM1326" t="s">
        <v>236</v>
      </c>
      <c r="CN1326" t="s">
        <v>104</v>
      </c>
      <c r="CO1326">
        <v>1370</v>
      </c>
      <c r="CP1326">
        <v>41998733</v>
      </c>
      <c r="CQ1326" s="73">
        <v>45352.616666666669</v>
      </c>
      <c r="CR1326" t="s">
        <v>229</v>
      </c>
      <c r="CS1326" t="s">
        <v>107</v>
      </c>
      <c r="CU1326" t="s">
        <v>225</v>
      </c>
    </row>
    <row r="1327" spans="1:99">
      <c r="A1327" t="s">
        <v>111</v>
      </c>
      <c r="B1327" t="s">
        <v>77</v>
      </c>
      <c r="J1327" t="s">
        <v>225</v>
      </c>
      <c r="K1327" t="s">
        <v>225</v>
      </c>
      <c r="M1327" s="73">
        <v>45352.616666666669</v>
      </c>
      <c r="N1327">
        <v>41998732</v>
      </c>
      <c r="O1327">
        <v>2</v>
      </c>
      <c r="P1327" t="s">
        <v>45</v>
      </c>
      <c r="Q1327">
        <v>2</v>
      </c>
      <c r="R1327" t="s">
        <v>45</v>
      </c>
      <c r="U1327" t="s">
        <v>226</v>
      </c>
      <c r="V1327" t="s">
        <v>268</v>
      </c>
      <c r="W1327" t="s">
        <v>237</v>
      </c>
      <c r="X1327" t="s">
        <v>229</v>
      </c>
      <c r="Y1327" t="s">
        <v>111</v>
      </c>
      <c r="AD1327" t="s">
        <v>45</v>
      </c>
      <c r="AE1327">
        <v>2</v>
      </c>
      <c r="AF1327">
        <v>41998732</v>
      </c>
      <c r="AG1327" s="73">
        <v>45352.616666666669</v>
      </c>
      <c r="AH1327" t="s">
        <v>226</v>
      </c>
      <c r="AI1327" t="s">
        <v>268</v>
      </c>
      <c r="AJ1327" t="s">
        <v>237</v>
      </c>
      <c r="AK1327" t="s">
        <v>229</v>
      </c>
      <c r="AL1327" t="s">
        <v>111</v>
      </c>
      <c r="AP1327" t="s">
        <v>230</v>
      </c>
      <c r="AQ1327" t="s">
        <v>231</v>
      </c>
      <c r="AT1327" t="s">
        <v>232</v>
      </c>
      <c r="AU1327">
        <v>-99</v>
      </c>
      <c r="AV1327" t="s">
        <v>45</v>
      </c>
      <c r="AW1327">
        <v>2</v>
      </c>
      <c r="AX1327">
        <v>41998732</v>
      </c>
      <c r="AY1327" s="73">
        <v>45352.616666666669</v>
      </c>
      <c r="AZ1327" t="s">
        <v>226</v>
      </c>
      <c r="BA1327" t="s">
        <v>268</v>
      </c>
      <c r="BB1327" t="s">
        <v>237</v>
      </c>
      <c r="BC1327" t="s">
        <v>229</v>
      </c>
      <c r="BD1327" t="s">
        <v>111</v>
      </c>
      <c r="BI1327" t="s">
        <v>233</v>
      </c>
      <c r="BJ1327" t="s">
        <v>0</v>
      </c>
      <c r="BK1327">
        <v>41998719</v>
      </c>
      <c r="BN1327" t="s">
        <v>45</v>
      </c>
      <c r="BO1327">
        <v>41998727</v>
      </c>
      <c r="BR1327">
        <v>2</v>
      </c>
      <c r="BS1327">
        <v>41998732</v>
      </c>
      <c r="BT1327" s="73">
        <v>45352.616666666669</v>
      </c>
      <c r="BU1327" t="s">
        <v>226</v>
      </c>
      <c r="BV1327" t="s">
        <v>268</v>
      </c>
      <c r="BW1327" t="s">
        <v>237</v>
      </c>
      <c r="CH1327" t="s">
        <v>229</v>
      </c>
      <c r="CI1327" t="s">
        <v>111</v>
      </c>
      <c r="CJ1327" t="s">
        <v>226</v>
      </c>
      <c r="CK1327" t="s">
        <v>268</v>
      </c>
      <c r="CL1327" t="s">
        <v>237</v>
      </c>
      <c r="CM1327" t="s">
        <v>236</v>
      </c>
      <c r="CN1327" t="s">
        <v>45</v>
      </c>
      <c r="CO1327">
        <v>2</v>
      </c>
      <c r="CP1327">
        <v>41998732</v>
      </c>
      <c r="CQ1327" s="73">
        <v>45352.616666666669</v>
      </c>
      <c r="CR1327" t="s">
        <v>229</v>
      </c>
      <c r="CS1327" t="s">
        <v>111</v>
      </c>
      <c r="CU1327" t="s">
        <v>225</v>
      </c>
    </row>
    <row r="1328" spans="1:99">
      <c r="A1328" t="s">
        <v>113</v>
      </c>
      <c r="B1328" t="s">
        <v>90</v>
      </c>
      <c r="J1328" t="s">
        <v>225</v>
      </c>
      <c r="K1328" t="s">
        <v>225</v>
      </c>
      <c r="M1328" s="73">
        <v>45352.590289351851</v>
      </c>
      <c r="N1328">
        <v>42200007</v>
      </c>
      <c r="O1328">
        <v>-300</v>
      </c>
      <c r="P1328" t="s">
        <v>115</v>
      </c>
      <c r="Q1328">
        <v>-300</v>
      </c>
      <c r="R1328" t="s">
        <v>115</v>
      </c>
      <c r="U1328" t="s">
        <v>226</v>
      </c>
      <c r="V1328" t="s">
        <v>264</v>
      </c>
      <c r="W1328" t="s">
        <v>228</v>
      </c>
      <c r="X1328" t="s">
        <v>229</v>
      </c>
      <c r="Y1328" t="s">
        <v>113</v>
      </c>
      <c r="AD1328" t="s">
        <v>115</v>
      </c>
      <c r="AE1328">
        <v>-300</v>
      </c>
      <c r="AF1328">
        <v>42200007</v>
      </c>
      <c r="AG1328" s="73">
        <v>45352.590289351851</v>
      </c>
      <c r="AH1328" t="s">
        <v>226</v>
      </c>
      <c r="AI1328" t="s">
        <v>264</v>
      </c>
      <c r="AJ1328" t="s">
        <v>228</v>
      </c>
      <c r="AK1328" t="s">
        <v>229</v>
      </c>
      <c r="AL1328" t="s">
        <v>113</v>
      </c>
      <c r="AP1328" t="s">
        <v>230</v>
      </c>
      <c r="AQ1328" t="s">
        <v>231</v>
      </c>
      <c r="AT1328" t="s">
        <v>232</v>
      </c>
      <c r="AU1328">
        <v>-99</v>
      </c>
      <c r="AV1328" t="s">
        <v>115</v>
      </c>
      <c r="AW1328">
        <v>-300</v>
      </c>
      <c r="AX1328">
        <v>42200007</v>
      </c>
      <c r="AY1328" s="73">
        <v>45352.590289351851</v>
      </c>
      <c r="AZ1328" t="s">
        <v>226</v>
      </c>
      <c r="BA1328" t="s">
        <v>264</v>
      </c>
      <c r="BB1328" t="s">
        <v>228</v>
      </c>
      <c r="BC1328" t="s">
        <v>229</v>
      </c>
      <c r="BD1328" t="s">
        <v>113</v>
      </c>
      <c r="BI1328" t="s">
        <v>233</v>
      </c>
      <c r="BJ1328" t="s">
        <v>0</v>
      </c>
      <c r="BK1328">
        <v>42200003</v>
      </c>
      <c r="BN1328" t="s">
        <v>115</v>
      </c>
      <c r="BR1328">
        <v>-300</v>
      </c>
      <c r="BS1328">
        <v>42200007</v>
      </c>
      <c r="BT1328" s="73">
        <v>45352.590289351851</v>
      </c>
      <c r="BU1328" t="s">
        <v>226</v>
      </c>
      <c r="BV1328" t="s">
        <v>264</v>
      </c>
      <c r="BW1328" t="s">
        <v>228</v>
      </c>
      <c r="CH1328" t="s">
        <v>229</v>
      </c>
      <c r="CI1328" t="s">
        <v>113</v>
      </c>
      <c r="CJ1328" t="s">
        <v>226</v>
      </c>
      <c r="CK1328" t="s">
        <v>264</v>
      </c>
      <c r="CL1328" t="s">
        <v>228</v>
      </c>
      <c r="CM1328" t="s">
        <v>234</v>
      </c>
      <c r="CN1328" t="s">
        <v>115</v>
      </c>
      <c r="CO1328">
        <v>-300</v>
      </c>
      <c r="CP1328">
        <v>42200007</v>
      </c>
      <c r="CQ1328" s="73">
        <v>45352.590289351851</v>
      </c>
      <c r="CR1328" t="s">
        <v>229</v>
      </c>
      <c r="CS1328" t="s">
        <v>113</v>
      </c>
      <c r="CU1328" t="s">
        <v>225</v>
      </c>
    </row>
    <row r="1329" spans="1:99">
      <c r="A1329" t="s">
        <v>129</v>
      </c>
      <c r="B1329" t="s">
        <v>90</v>
      </c>
      <c r="J1329" t="s">
        <v>225</v>
      </c>
      <c r="K1329" t="s">
        <v>225</v>
      </c>
      <c r="M1329" s="73">
        <v>45352.590289351851</v>
      </c>
      <c r="N1329">
        <v>41999443</v>
      </c>
      <c r="O1329">
        <v>-5.2</v>
      </c>
      <c r="P1329" t="s">
        <v>73</v>
      </c>
      <c r="Q1329">
        <v>-5.2</v>
      </c>
      <c r="R1329" t="s">
        <v>73</v>
      </c>
      <c r="U1329" t="s">
        <v>226</v>
      </c>
      <c r="V1329" t="s">
        <v>264</v>
      </c>
      <c r="W1329" t="s">
        <v>228</v>
      </c>
      <c r="X1329" t="s">
        <v>229</v>
      </c>
      <c r="Y1329" t="s">
        <v>129</v>
      </c>
      <c r="AD1329" t="s">
        <v>73</v>
      </c>
      <c r="AE1329">
        <v>-5.2</v>
      </c>
      <c r="AF1329">
        <v>41999443</v>
      </c>
      <c r="AG1329" s="73">
        <v>45352.590289351851</v>
      </c>
      <c r="AH1329" t="s">
        <v>226</v>
      </c>
      <c r="AI1329" t="s">
        <v>264</v>
      </c>
      <c r="AJ1329" t="s">
        <v>228</v>
      </c>
      <c r="AK1329" t="s">
        <v>229</v>
      </c>
      <c r="AL1329" t="s">
        <v>129</v>
      </c>
      <c r="AP1329" t="s">
        <v>230</v>
      </c>
      <c r="AQ1329" t="s">
        <v>231</v>
      </c>
      <c r="AT1329" t="s">
        <v>232</v>
      </c>
      <c r="AU1329">
        <v>-99</v>
      </c>
      <c r="AV1329" t="s">
        <v>73</v>
      </c>
      <c r="AW1329">
        <v>-5.2</v>
      </c>
      <c r="AX1329">
        <v>41999443</v>
      </c>
      <c r="AY1329" s="73">
        <v>45352.590289351851</v>
      </c>
      <c r="AZ1329" t="s">
        <v>226</v>
      </c>
      <c r="BA1329" t="s">
        <v>264</v>
      </c>
      <c r="BB1329" t="s">
        <v>228</v>
      </c>
      <c r="BC1329" t="s">
        <v>229</v>
      </c>
      <c r="BD1329" t="s">
        <v>129</v>
      </c>
      <c r="BI1329" t="s">
        <v>233</v>
      </c>
      <c r="BJ1329" t="s">
        <v>0</v>
      </c>
      <c r="BK1329">
        <v>41999439</v>
      </c>
      <c r="BN1329" t="s">
        <v>73</v>
      </c>
      <c r="BR1329">
        <v>-5.2</v>
      </c>
      <c r="BS1329">
        <v>41999443</v>
      </c>
      <c r="BT1329" s="73">
        <v>45352.590289351851</v>
      </c>
      <c r="BU1329" t="s">
        <v>226</v>
      </c>
      <c r="BV1329" t="s">
        <v>264</v>
      </c>
      <c r="BW1329" t="s">
        <v>228</v>
      </c>
      <c r="CH1329" t="s">
        <v>229</v>
      </c>
      <c r="CI1329" t="s">
        <v>129</v>
      </c>
      <c r="CJ1329" t="s">
        <v>226</v>
      </c>
      <c r="CK1329" t="s">
        <v>264</v>
      </c>
      <c r="CL1329" t="s">
        <v>228</v>
      </c>
      <c r="CM1329" t="s">
        <v>234</v>
      </c>
      <c r="CN1329" t="s">
        <v>73</v>
      </c>
      <c r="CO1329">
        <v>-5.2</v>
      </c>
      <c r="CP1329">
        <v>41999443</v>
      </c>
      <c r="CQ1329" s="73">
        <v>45352.590289351851</v>
      </c>
      <c r="CR1329" t="s">
        <v>229</v>
      </c>
      <c r="CS1329" t="s">
        <v>129</v>
      </c>
      <c r="CU1329" t="s">
        <v>225</v>
      </c>
    </row>
    <row r="1330" spans="1:99">
      <c r="A1330" t="s">
        <v>99</v>
      </c>
      <c r="B1330" t="s">
        <v>98</v>
      </c>
      <c r="J1330" t="s">
        <v>225</v>
      </c>
      <c r="K1330" t="s">
        <v>225</v>
      </c>
      <c r="M1330" s="73">
        <v>45352.590277777781</v>
      </c>
      <c r="N1330">
        <v>41989028</v>
      </c>
      <c r="O1330">
        <v>1442.77</v>
      </c>
      <c r="P1330" t="s">
        <v>73</v>
      </c>
      <c r="Q1330">
        <v>1442.77</v>
      </c>
      <c r="R1330" t="s">
        <v>73</v>
      </c>
      <c r="U1330" t="s">
        <v>226</v>
      </c>
      <c r="V1330" t="s">
        <v>269</v>
      </c>
      <c r="W1330" t="s">
        <v>235</v>
      </c>
      <c r="X1330" t="s">
        <v>229</v>
      </c>
      <c r="Y1330" t="s">
        <v>99</v>
      </c>
      <c r="AD1330" t="s">
        <v>73</v>
      </c>
      <c r="AE1330">
        <v>1442.77</v>
      </c>
      <c r="AF1330">
        <v>41989028</v>
      </c>
      <c r="AG1330" s="73">
        <v>45352.590277777781</v>
      </c>
      <c r="AH1330" t="s">
        <v>226</v>
      </c>
      <c r="AI1330" t="s">
        <v>269</v>
      </c>
      <c r="AJ1330" t="s">
        <v>235</v>
      </c>
      <c r="AK1330" t="s">
        <v>229</v>
      </c>
      <c r="AL1330" t="s">
        <v>99</v>
      </c>
      <c r="AP1330" t="s">
        <v>230</v>
      </c>
      <c r="AQ1330" t="s">
        <v>231</v>
      </c>
      <c r="AT1330" t="s">
        <v>232</v>
      </c>
      <c r="AU1330">
        <v>-99</v>
      </c>
      <c r="AV1330" t="s">
        <v>73</v>
      </c>
      <c r="AW1330">
        <v>1442.77</v>
      </c>
      <c r="AX1330">
        <v>41989028</v>
      </c>
      <c r="AY1330" s="73">
        <v>45352.590277777781</v>
      </c>
      <c r="AZ1330" t="s">
        <v>226</v>
      </c>
      <c r="BA1330" t="s">
        <v>269</v>
      </c>
      <c r="BB1330" t="s">
        <v>235</v>
      </c>
      <c r="BC1330" t="s">
        <v>229</v>
      </c>
      <c r="BD1330" t="s">
        <v>99</v>
      </c>
      <c r="BI1330" t="s">
        <v>233</v>
      </c>
      <c r="BJ1330" t="s">
        <v>0</v>
      </c>
      <c r="BK1330">
        <v>41989024</v>
      </c>
      <c r="BN1330" t="s">
        <v>73</v>
      </c>
      <c r="BO1330">
        <v>41989026</v>
      </c>
      <c r="BR1330">
        <v>1442.77</v>
      </c>
      <c r="BS1330">
        <v>41989028</v>
      </c>
      <c r="BT1330" s="73">
        <v>45352.590277777781</v>
      </c>
      <c r="BU1330" t="s">
        <v>226</v>
      </c>
      <c r="BV1330" t="s">
        <v>269</v>
      </c>
      <c r="BW1330" t="s">
        <v>235</v>
      </c>
      <c r="CH1330" t="s">
        <v>229</v>
      </c>
      <c r="CI1330" t="s">
        <v>99</v>
      </c>
      <c r="CJ1330" t="s">
        <v>226</v>
      </c>
      <c r="CK1330" t="s">
        <v>269</v>
      </c>
      <c r="CL1330" t="s">
        <v>235</v>
      </c>
      <c r="CM1330" t="s">
        <v>236</v>
      </c>
      <c r="CN1330" t="s">
        <v>73</v>
      </c>
      <c r="CO1330">
        <v>1442.77</v>
      </c>
      <c r="CP1330">
        <v>41989028</v>
      </c>
      <c r="CQ1330" s="73">
        <v>45352.590277777781</v>
      </c>
      <c r="CR1330" t="s">
        <v>229</v>
      </c>
      <c r="CS1330" t="s">
        <v>99</v>
      </c>
      <c r="CU1330" t="s">
        <v>225</v>
      </c>
    </row>
    <row r="1331" spans="1:99">
      <c r="A1331" t="s">
        <v>71</v>
      </c>
      <c r="B1331" t="s">
        <v>77</v>
      </c>
      <c r="J1331" t="s">
        <v>225</v>
      </c>
      <c r="K1331" t="s">
        <v>225</v>
      </c>
      <c r="M1331" s="73">
        <v>45352.590277777781</v>
      </c>
      <c r="N1331">
        <v>41989021</v>
      </c>
      <c r="O1331">
        <v>1.3</v>
      </c>
      <c r="P1331" t="s">
        <v>73</v>
      </c>
      <c r="Q1331">
        <v>1.3</v>
      </c>
      <c r="R1331" t="s">
        <v>73</v>
      </c>
      <c r="U1331" t="s">
        <v>226</v>
      </c>
      <c r="V1331" t="s">
        <v>269</v>
      </c>
      <c r="W1331" t="s">
        <v>237</v>
      </c>
      <c r="X1331" t="s">
        <v>229</v>
      </c>
      <c r="Y1331" t="s">
        <v>71</v>
      </c>
      <c r="AD1331" t="s">
        <v>73</v>
      </c>
      <c r="AE1331">
        <v>1.3</v>
      </c>
      <c r="AF1331">
        <v>41989021</v>
      </c>
      <c r="AG1331" s="73">
        <v>45352.590277777781</v>
      </c>
      <c r="AH1331" t="s">
        <v>226</v>
      </c>
      <c r="AI1331" t="s">
        <v>269</v>
      </c>
      <c r="AJ1331" t="s">
        <v>237</v>
      </c>
      <c r="AK1331" t="s">
        <v>229</v>
      </c>
      <c r="AL1331" t="s">
        <v>71</v>
      </c>
      <c r="AP1331" t="s">
        <v>230</v>
      </c>
      <c r="AQ1331" t="s">
        <v>231</v>
      </c>
      <c r="AT1331" t="s">
        <v>232</v>
      </c>
      <c r="AU1331">
        <v>-99</v>
      </c>
      <c r="AV1331" t="s">
        <v>73</v>
      </c>
      <c r="AW1331">
        <v>1.3</v>
      </c>
      <c r="AX1331">
        <v>41989021</v>
      </c>
      <c r="AY1331" s="73">
        <v>45352.590277777781</v>
      </c>
      <c r="AZ1331" t="s">
        <v>226</v>
      </c>
      <c r="BA1331" t="s">
        <v>269</v>
      </c>
      <c r="BB1331" t="s">
        <v>237</v>
      </c>
      <c r="BC1331" t="s">
        <v>229</v>
      </c>
      <c r="BD1331" t="s">
        <v>71</v>
      </c>
      <c r="BI1331" t="s">
        <v>233</v>
      </c>
      <c r="BJ1331" t="s">
        <v>0</v>
      </c>
      <c r="BK1331">
        <v>41989017</v>
      </c>
      <c r="BN1331" t="s">
        <v>73</v>
      </c>
      <c r="BO1331">
        <v>41989019</v>
      </c>
      <c r="BR1331">
        <v>1.3</v>
      </c>
      <c r="BS1331">
        <v>41989021</v>
      </c>
      <c r="BT1331" s="73">
        <v>45352.590277777781</v>
      </c>
      <c r="BU1331" t="s">
        <v>226</v>
      </c>
      <c r="BV1331" t="s">
        <v>269</v>
      </c>
      <c r="BW1331" t="s">
        <v>237</v>
      </c>
      <c r="CH1331" t="s">
        <v>229</v>
      </c>
      <c r="CI1331" t="s">
        <v>71</v>
      </c>
      <c r="CJ1331" t="s">
        <v>226</v>
      </c>
      <c r="CK1331" t="s">
        <v>269</v>
      </c>
      <c r="CL1331" t="s">
        <v>237</v>
      </c>
      <c r="CM1331" t="s">
        <v>236</v>
      </c>
      <c r="CN1331" t="s">
        <v>73</v>
      </c>
      <c r="CO1331">
        <v>1.3</v>
      </c>
      <c r="CP1331">
        <v>41989021</v>
      </c>
      <c r="CQ1331" s="73">
        <v>45352.590277777781</v>
      </c>
      <c r="CR1331" t="s">
        <v>229</v>
      </c>
      <c r="CS1331" t="s">
        <v>71</v>
      </c>
      <c r="CU1331" t="s">
        <v>225</v>
      </c>
    </row>
    <row r="1332" spans="1:99">
      <c r="A1332" t="s">
        <v>133</v>
      </c>
      <c r="B1332" t="s">
        <v>90</v>
      </c>
      <c r="J1332" t="s">
        <v>225</v>
      </c>
      <c r="K1332" t="s">
        <v>225</v>
      </c>
      <c r="M1332" s="73">
        <v>45352.590277777781</v>
      </c>
      <c r="N1332">
        <v>41989014</v>
      </c>
      <c r="O1332">
        <v>-597.29999999999995</v>
      </c>
      <c r="P1332" t="s">
        <v>73</v>
      </c>
      <c r="Q1332">
        <v>-597.29999999999995</v>
      </c>
      <c r="R1332" t="s">
        <v>73</v>
      </c>
      <c r="U1332" t="s">
        <v>226</v>
      </c>
      <c r="V1332" t="s">
        <v>269</v>
      </c>
      <c r="W1332" t="s">
        <v>228</v>
      </c>
      <c r="X1332" t="s">
        <v>229</v>
      </c>
      <c r="Y1332" t="s">
        <v>133</v>
      </c>
      <c r="AD1332" t="s">
        <v>73</v>
      </c>
      <c r="AE1332">
        <v>-597.29999999999995</v>
      </c>
      <c r="AF1332">
        <v>41989014</v>
      </c>
      <c r="AG1332" s="73">
        <v>45352.590277777781</v>
      </c>
      <c r="AH1332" t="s">
        <v>226</v>
      </c>
      <c r="AI1332" t="s">
        <v>269</v>
      </c>
      <c r="AJ1332" t="s">
        <v>228</v>
      </c>
      <c r="AK1332" t="s">
        <v>229</v>
      </c>
      <c r="AL1332" t="s">
        <v>133</v>
      </c>
      <c r="AP1332" t="s">
        <v>230</v>
      </c>
      <c r="AQ1332" t="s">
        <v>231</v>
      </c>
      <c r="AT1332" t="s">
        <v>232</v>
      </c>
      <c r="AU1332">
        <v>-99</v>
      </c>
      <c r="AV1332" t="s">
        <v>73</v>
      </c>
      <c r="AW1332">
        <v>-597.29999999999995</v>
      </c>
      <c r="AX1332">
        <v>41989014</v>
      </c>
      <c r="AY1332" s="73">
        <v>45352.590277777781</v>
      </c>
      <c r="AZ1332" t="s">
        <v>226</v>
      </c>
      <c r="BA1332" t="s">
        <v>269</v>
      </c>
      <c r="BB1332" t="s">
        <v>228</v>
      </c>
      <c r="BC1332" t="s">
        <v>229</v>
      </c>
      <c r="BD1332" t="s">
        <v>133</v>
      </c>
      <c r="BI1332" t="s">
        <v>233</v>
      </c>
      <c r="BJ1332" t="s">
        <v>0</v>
      </c>
      <c r="BK1332">
        <v>41989010</v>
      </c>
      <c r="BN1332" t="s">
        <v>73</v>
      </c>
      <c r="BR1332">
        <v>-597.29999999999995</v>
      </c>
      <c r="BS1332">
        <v>41989014</v>
      </c>
      <c r="BT1332" s="73">
        <v>45352.590277777781</v>
      </c>
      <c r="BU1332" t="s">
        <v>226</v>
      </c>
      <c r="BV1332" t="s">
        <v>269</v>
      </c>
      <c r="BW1332" t="s">
        <v>228</v>
      </c>
      <c r="CH1332" t="s">
        <v>229</v>
      </c>
      <c r="CI1332" t="s">
        <v>133</v>
      </c>
      <c r="CJ1332" t="s">
        <v>226</v>
      </c>
      <c r="CK1332" t="s">
        <v>269</v>
      </c>
      <c r="CL1332" t="s">
        <v>228</v>
      </c>
      <c r="CM1332" t="s">
        <v>234</v>
      </c>
      <c r="CN1332" t="s">
        <v>73</v>
      </c>
      <c r="CO1332">
        <v>-597.29999999999995</v>
      </c>
      <c r="CP1332">
        <v>41989014</v>
      </c>
      <c r="CQ1332" s="73">
        <v>45352.590277777781</v>
      </c>
      <c r="CR1332" t="s">
        <v>229</v>
      </c>
      <c r="CS1332" t="s">
        <v>133</v>
      </c>
      <c r="CU1332" t="s">
        <v>225</v>
      </c>
    </row>
    <row r="1333" spans="1:99">
      <c r="A1333" t="s">
        <v>87</v>
      </c>
      <c r="B1333" t="s">
        <v>90</v>
      </c>
      <c r="J1333" t="s">
        <v>225</v>
      </c>
      <c r="K1333" t="s">
        <v>225</v>
      </c>
      <c r="M1333" s="73">
        <v>45352.590277777781</v>
      </c>
      <c r="N1333">
        <v>41989007</v>
      </c>
      <c r="O1333">
        <v>-59.7</v>
      </c>
      <c r="P1333" t="s">
        <v>73</v>
      </c>
      <c r="Q1333">
        <v>-59.7</v>
      </c>
      <c r="R1333" t="s">
        <v>73</v>
      </c>
      <c r="U1333" t="s">
        <v>226</v>
      </c>
      <c r="V1333" t="s">
        <v>269</v>
      </c>
      <c r="W1333" t="s">
        <v>228</v>
      </c>
      <c r="X1333" t="s">
        <v>229</v>
      </c>
      <c r="Y1333" t="s">
        <v>87</v>
      </c>
      <c r="AD1333" t="s">
        <v>73</v>
      </c>
      <c r="AE1333">
        <v>-59.7</v>
      </c>
      <c r="AF1333">
        <v>41989007</v>
      </c>
      <c r="AG1333" s="73">
        <v>45352.590277777781</v>
      </c>
      <c r="AH1333" t="s">
        <v>226</v>
      </c>
      <c r="AI1333" t="s">
        <v>269</v>
      </c>
      <c r="AJ1333" t="s">
        <v>228</v>
      </c>
      <c r="AK1333" t="s">
        <v>229</v>
      </c>
      <c r="AL1333" t="s">
        <v>87</v>
      </c>
      <c r="AP1333" t="s">
        <v>230</v>
      </c>
      <c r="AQ1333" t="s">
        <v>231</v>
      </c>
      <c r="AT1333" t="s">
        <v>232</v>
      </c>
      <c r="AU1333">
        <v>-99</v>
      </c>
      <c r="AV1333" t="s">
        <v>73</v>
      </c>
      <c r="AW1333">
        <v>-59.7</v>
      </c>
      <c r="AX1333">
        <v>41989007</v>
      </c>
      <c r="AY1333" s="73">
        <v>45352.590277777781</v>
      </c>
      <c r="AZ1333" t="s">
        <v>226</v>
      </c>
      <c r="BA1333" t="s">
        <v>269</v>
      </c>
      <c r="BB1333" t="s">
        <v>228</v>
      </c>
      <c r="BC1333" t="s">
        <v>229</v>
      </c>
      <c r="BD1333" t="s">
        <v>87</v>
      </c>
      <c r="BI1333" t="s">
        <v>233</v>
      </c>
      <c r="BJ1333" t="s">
        <v>0</v>
      </c>
      <c r="BK1333">
        <v>41989003</v>
      </c>
      <c r="BN1333" t="s">
        <v>73</v>
      </c>
      <c r="BR1333">
        <v>-59.7</v>
      </c>
      <c r="BS1333">
        <v>41989007</v>
      </c>
      <c r="BT1333" s="73">
        <v>45352.590277777781</v>
      </c>
      <c r="BU1333" t="s">
        <v>226</v>
      </c>
      <c r="BV1333" t="s">
        <v>269</v>
      </c>
      <c r="BW1333" t="s">
        <v>228</v>
      </c>
      <c r="CH1333" t="s">
        <v>229</v>
      </c>
      <c r="CI1333" t="s">
        <v>87</v>
      </c>
      <c r="CJ1333" t="s">
        <v>226</v>
      </c>
      <c r="CK1333" t="s">
        <v>269</v>
      </c>
      <c r="CL1333" t="s">
        <v>228</v>
      </c>
      <c r="CM1333" t="s">
        <v>234</v>
      </c>
      <c r="CN1333" t="s">
        <v>73</v>
      </c>
      <c r="CO1333">
        <v>-59.7</v>
      </c>
      <c r="CP1333">
        <v>41989007</v>
      </c>
      <c r="CQ1333" s="73">
        <v>45352.590277777781</v>
      </c>
      <c r="CR1333" t="s">
        <v>229</v>
      </c>
      <c r="CS1333" t="s">
        <v>87</v>
      </c>
      <c r="CU1333" t="s">
        <v>225</v>
      </c>
    </row>
    <row r="1334" spans="1:99">
      <c r="A1334" t="s">
        <v>131</v>
      </c>
      <c r="B1334" t="s">
        <v>90</v>
      </c>
      <c r="J1334" t="s">
        <v>225</v>
      </c>
      <c r="K1334" t="s">
        <v>225</v>
      </c>
      <c r="M1334" s="73">
        <v>45352.590277777781</v>
      </c>
      <c r="N1334">
        <v>41989000</v>
      </c>
      <c r="O1334">
        <v>-163.4</v>
      </c>
      <c r="P1334" t="s">
        <v>73</v>
      </c>
      <c r="Q1334">
        <v>-163.4</v>
      </c>
      <c r="R1334" t="s">
        <v>73</v>
      </c>
      <c r="U1334" t="s">
        <v>226</v>
      </c>
      <c r="V1334" t="s">
        <v>269</v>
      </c>
      <c r="W1334" t="s">
        <v>228</v>
      </c>
      <c r="X1334" t="s">
        <v>229</v>
      </c>
      <c r="Y1334" t="s">
        <v>131</v>
      </c>
      <c r="AD1334" t="s">
        <v>73</v>
      </c>
      <c r="AE1334">
        <v>-163.4</v>
      </c>
      <c r="AF1334">
        <v>41989000</v>
      </c>
      <c r="AG1334" s="73">
        <v>45352.590277777781</v>
      </c>
      <c r="AH1334" t="s">
        <v>226</v>
      </c>
      <c r="AI1334" t="s">
        <v>269</v>
      </c>
      <c r="AJ1334" t="s">
        <v>228</v>
      </c>
      <c r="AK1334" t="s">
        <v>229</v>
      </c>
      <c r="AL1334" t="s">
        <v>131</v>
      </c>
      <c r="AP1334" t="s">
        <v>230</v>
      </c>
      <c r="AQ1334" t="s">
        <v>231</v>
      </c>
      <c r="AT1334" t="s">
        <v>232</v>
      </c>
      <c r="AU1334">
        <v>-99</v>
      </c>
      <c r="AV1334" t="s">
        <v>73</v>
      </c>
      <c r="AW1334">
        <v>-163.4</v>
      </c>
      <c r="AX1334">
        <v>41989000</v>
      </c>
      <c r="AY1334" s="73">
        <v>45352.590277777781</v>
      </c>
      <c r="AZ1334" t="s">
        <v>226</v>
      </c>
      <c r="BA1334" t="s">
        <v>269</v>
      </c>
      <c r="BB1334" t="s">
        <v>228</v>
      </c>
      <c r="BC1334" t="s">
        <v>229</v>
      </c>
      <c r="BD1334" t="s">
        <v>131</v>
      </c>
      <c r="BI1334" t="s">
        <v>233</v>
      </c>
      <c r="BJ1334" t="s">
        <v>0</v>
      </c>
      <c r="BK1334">
        <v>41988996</v>
      </c>
      <c r="BN1334" t="s">
        <v>73</v>
      </c>
      <c r="BR1334">
        <v>-163.4</v>
      </c>
      <c r="BS1334">
        <v>41989000</v>
      </c>
      <c r="BT1334" s="73">
        <v>45352.590277777781</v>
      </c>
      <c r="BU1334" t="s">
        <v>226</v>
      </c>
      <c r="BV1334" t="s">
        <v>269</v>
      </c>
      <c r="BW1334" t="s">
        <v>228</v>
      </c>
      <c r="CH1334" t="s">
        <v>229</v>
      </c>
      <c r="CI1334" t="s">
        <v>131</v>
      </c>
      <c r="CJ1334" t="s">
        <v>226</v>
      </c>
      <c r="CK1334" t="s">
        <v>269</v>
      </c>
      <c r="CL1334" t="s">
        <v>228</v>
      </c>
      <c r="CM1334" t="s">
        <v>234</v>
      </c>
      <c r="CN1334" t="s">
        <v>73</v>
      </c>
      <c r="CO1334">
        <v>-163.4</v>
      </c>
      <c r="CP1334">
        <v>41989000</v>
      </c>
      <c r="CQ1334" s="73">
        <v>45352.590277777781</v>
      </c>
      <c r="CR1334" t="s">
        <v>229</v>
      </c>
      <c r="CS1334" t="s">
        <v>131</v>
      </c>
      <c r="CU1334" t="s">
        <v>225</v>
      </c>
    </row>
    <row r="1335" spans="1:99">
      <c r="A1335" t="s">
        <v>127</v>
      </c>
      <c r="B1335" t="s">
        <v>90</v>
      </c>
      <c r="J1335" t="s">
        <v>225</v>
      </c>
      <c r="K1335" t="s">
        <v>225</v>
      </c>
      <c r="M1335" s="73">
        <v>45352.590277777781</v>
      </c>
      <c r="N1335">
        <v>41988993</v>
      </c>
      <c r="O1335">
        <v>-672.6</v>
      </c>
      <c r="P1335" t="s">
        <v>73</v>
      </c>
      <c r="Q1335">
        <v>-672.6</v>
      </c>
      <c r="R1335" t="s">
        <v>73</v>
      </c>
      <c r="U1335" t="s">
        <v>226</v>
      </c>
      <c r="V1335" t="s">
        <v>269</v>
      </c>
      <c r="W1335" t="s">
        <v>228</v>
      </c>
      <c r="X1335" t="s">
        <v>229</v>
      </c>
      <c r="Y1335" t="s">
        <v>127</v>
      </c>
      <c r="AD1335" t="s">
        <v>73</v>
      </c>
      <c r="AE1335">
        <v>-672.6</v>
      </c>
      <c r="AF1335">
        <v>41988993</v>
      </c>
      <c r="AG1335" s="73">
        <v>45352.590277777781</v>
      </c>
      <c r="AH1335" t="s">
        <v>226</v>
      </c>
      <c r="AI1335" t="s">
        <v>269</v>
      </c>
      <c r="AJ1335" t="s">
        <v>228</v>
      </c>
      <c r="AK1335" t="s">
        <v>229</v>
      </c>
      <c r="AL1335" t="s">
        <v>127</v>
      </c>
      <c r="AP1335" t="s">
        <v>230</v>
      </c>
      <c r="AQ1335" t="s">
        <v>231</v>
      </c>
      <c r="AT1335" t="s">
        <v>232</v>
      </c>
      <c r="AU1335">
        <v>-99</v>
      </c>
      <c r="AV1335" t="s">
        <v>73</v>
      </c>
      <c r="AW1335">
        <v>-672.6</v>
      </c>
      <c r="AX1335">
        <v>41988993</v>
      </c>
      <c r="AY1335" s="73">
        <v>45352.590277777781</v>
      </c>
      <c r="AZ1335" t="s">
        <v>226</v>
      </c>
      <c r="BA1335" t="s">
        <v>269</v>
      </c>
      <c r="BB1335" t="s">
        <v>228</v>
      </c>
      <c r="BC1335" t="s">
        <v>229</v>
      </c>
      <c r="BD1335" t="s">
        <v>127</v>
      </c>
      <c r="BI1335" t="s">
        <v>233</v>
      </c>
      <c r="BJ1335" t="s">
        <v>0</v>
      </c>
      <c r="BK1335">
        <v>41988989</v>
      </c>
      <c r="BN1335" t="s">
        <v>73</v>
      </c>
      <c r="BR1335">
        <v>-672.6</v>
      </c>
      <c r="BS1335">
        <v>41988993</v>
      </c>
      <c r="BT1335" s="73">
        <v>45352.590277777781</v>
      </c>
      <c r="BU1335" t="s">
        <v>226</v>
      </c>
      <c r="BV1335" t="s">
        <v>269</v>
      </c>
      <c r="BW1335" t="s">
        <v>228</v>
      </c>
      <c r="CH1335" t="s">
        <v>229</v>
      </c>
      <c r="CI1335" t="s">
        <v>127</v>
      </c>
      <c r="CJ1335" t="s">
        <v>226</v>
      </c>
      <c r="CK1335" t="s">
        <v>269</v>
      </c>
      <c r="CL1335" t="s">
        <v>228</v>
      </c>
      <c r="CM1335" t="s">
        <v>234</v>
      </c>
      <c r="CN1335" t="s">
        <v>73</v>
      </c>
      <c r="CO1335">
        <v>-672.6</v>
      </c>
      <c r="CP1335">
        <v>41988993</v>
      </c>
      <c r="CQ1335" s="73">
        <v>45352.590277777781</v>
      </c>
      <c r="CR1335" t="s">
        <v>229</v>
      </c>
      <c r="CS1335" t="s">
        <v>127</v>
      </c>
      <c r="CU1335" t="s">
        <v>225</v>
      </c>
    </row>
    <row r="1336" spans="1:99">
      <c r="A1336" t="s">
        <v>46</v>
      </c>
      <c r="B1336" t="s">
        <v>92</v>
      </c>
      <c r="J1336" t="s">
        <v>225</v>
      </c>
      <c r="K1336" t="s">
        <v>225</v>
      </c>
      <c r="M1336" s="73">
        <v>45352.583333333336</v>
      </c>
      <c r="N1336">
        <v>41998756</v>
      </c>
      <c r="O1336">
        <v>-400</v>
      </c>
      <c r="P1336" t="s">
        <v>45</v>
      </c>
      <c r="Q1336">
        <v>-400</v>
      </c>
      <c r="R1336" t="s">
        <v>45</v>
      </c>
      <c r="U1336" t="s">
        <v>226</v>
      </c>
      <c r="V1336" t="s">
        <v>270</v>
      </c>
      <c r="W1336" t="s">
        <v>228</v>
      </c>
      <c r="X1336" t="s">
        <v>229</v>
      </c>
      <c r="Y1336" t="s">
        <v>46</v>
      </c>
      <c r="AD1336" t="s">
        <v>45</v>
      </c>
      <c r="AE1336">
        <v>-400</v>
      </c>
      <c r="AF1336">
        <v>41998756</v>
      </c>
      <c r="AG1336" s="73">
        <v>45352.583333333336</v>
      </c>
      <c r="AH1336" t="s">
        <v>226</v>
      </c>
      <c r="AI1336" t="s">
        <v>270</v>
      </c>
      <c r="AJ1336" t="s">
        <v>228</v>
      </c>
      <c r="AK1336" t="s">
        <v>229</v>
      </c>
      <c r="AL1336" t="s">
        <v>46</v>
      </c>
      <c r="AP1336" t="s">
        <v>230</v>
      </c>
      <c r="AQ1336" t="s">
        <v>231</v>
      </c>
      <c r="AT1336" t="s">
        <v>232</v>
      </c>
      <c r="AU1336">
        <v>-99</v>
      </c>
      <c r="AV1336" t="s">
        <v>45</v>
      </c>
      <c r="AW1336">
        <v>-400</v>
      </c>
      <c r="AX1336">
        <v>41998756</v>
      </c>
      <c r="AY1336" s="73">
        <v>45352.583333333336</v>
      </c>
      <c r="AZ1336" t="s">
        <v>226</v>
      </c>
      <c r="BA1336" t="s">
        <v>270</v>
      </c>
      <c r="BB1336" t="s">
        <v>228</v>
      </c>
      <c r="BC1336" t="s">
        <v>229</v>
      </c>
      <c r="BD1336" t="s">
        <v>46</v>
      </c>
      <c r="BI1336" t="s">
        <v>233</v>
      </c>
      <c r="BJ1336" t="s">
        <v>0</v>
      </c>
      <c r="BK1336">
        <v>41998737</v>
      </c>
      <c r="BN1336" t="s">
        <v>45</v>
      </c>
      <c r="BR1336">
        <v>-400</v>
      </c>
      <c r="BS1336">
        <v>41998756</v>
      </c>
      <c r="BT1336" s="73">
        <v>45352.583333333336</v>
      </c>
      <c r="BU1336" t="s">
        <v>226</v>
      </c>
      <c r="BV1336" t="s">
        <v>270</v>
      </c>
      <c r="BW1336" t="s">
        <v>228</v>
      </c>
      <c r="CH1336" t="s">
        <v>229</v>
      </c>
      <c r="CI1336" t="s">
        <v>46</v>
      </c>
      <c r="CJ1336" t="s">
        <v>226</v>
      </c>
      <c r="CK1336" t="s">
        <v>270</v>
      </c>
      <c r="CL1336" t="s">
        <v>228</v>
      </c>
      <c r="CM1336" t="s">
        <v>234</v>
      </c>
      <c r="CN1336" t="s">
        <v>45</v>
      </c>
      <c r="CO1336">
        <v>-400</v>
      </c>
      <c r="CP1336">
        <v>41998756</v>
      </c>
      <c r="CQ1336" s="73">
        <v>45352.583333333336</v>
      </c>
      <c r="CR1336" t="s">
        <v>229</v>
      </c>
      <c r="CS1336" t="s">
        <v>46</v>
      </c>
      <c r="CU1336" t="s">
        <v>225</v>
      </c>
    </row>
    <row r="1337" spans="1:99">
      <c r="A1337" t="s">
        <v>93</v>
      </c>
      <c r="B1337" t="s">
        <v>98</v>
      </c>
      <c r="J1337" t="s">
        <v>225</v>
      </c>
      <c r="K1337" t="s">
        <v>225</v>
      </c>
      <c r="M1337" s="73">
        <v>45352.583333333336</v>
      </c>
      <c r="N1337">
        <v>41998755</v>
      </c>
      <c r="O1337">
        <v>-20</v>
      </c>
      <c r="P1337" t="s">
        <v>73</v>
      </c>
      <c r="Q1337">
        <v>-20</v>
      </c>
      <c r="R1337" t="s">
        <v>73</v>
      </c>
      <c r="U1337" t="s">
        <v>226</v>
      </c>
      <c r="V1337" t="s">
        <v>270</v>
      </c>
      <c r="W1337" t="s">
        <v>228</v>
      </c>
      <c r="X1337" t="s">
        <v>229</v>
      </c>
      <c r="Y1337" t="s">
        <v>93</v>
      </c>
      <c r="AD1337" t="s">
        <v>73</v>
      </c>
      <c r="AE1337">
        <v>-20</v>
      </c>
      <c r="AF1337">
        <v>41998755</v>
      </c>
      <c r="AG1337" s="73">
        <v>45352.583333333336</v>
      </c>
      <c r="AH1337" t="s">
        <v>226</v>
      </c>
      <c r="AI1337" t="s">
        <v>270</v>
      </c>
      <c r="AJ1337" t="s">
        <v>228</v>
      </c>
      <c r="AK1337" t="s">
        <v>229</v>
      </c>
      <c r="AL1337" t="s">
        <v>93</v>
      </c>
      <c r="AP1337" t="s">
        <v>230</v>
      </c>
      <c r="AQ1337" t="s">
        <v>231</v>
      </c>
      <c r="AT1337" t="s">
        <v>232</v>
      </c>
      <c r="AU1337">
        <v>-99</v>
      </c>
      <c r="AV1337" t="s">
        <v>73</v>
      </c>
      <c r="AW1337">
        <v>-20</v>
      </c>
      <c r="AX1337">
        <v>41998755</v>
      </c>
      <c r="AY1337" s="73">
        <v>45352.583333333336</v>
      </c>
      <c r="AZ1337" t="s">
        <v>226</v>
      </c>
      <c r="BA1337" t="s">
        <v>270</v>
      </c>
      <c r="BB1337" t="s">
        <v>228</v>
      </c>
      <c r="BC1337" t="s">
        <v>229</v>
      </c>
      <c r="BD1337" t="s">
        <v>93</v>
      </c>
      <c r="BI1337" t="s">
        <v>233</v>
      </c>
      <c r="BJ1337" t="s">
        <v>0</v>
      </c>
      <c r="BK1337">
        <v>41998737</v>
      </c>
      <c r="BN1337" t="s">
        <v>73</v>
      </c>
      <c r="BR1337">
        <v>-20</v>
      </c>
      <c r="BS1337">
        <v>41998755</v>
      </c>
      <c r="BT1337" s="73">
        <v>45352.583333333336</v>
      </c>
      <c r="BU1337" t="s">
        <v>226</v>
      </c>
      <c r="BV1337" t="s">
        <v>270</v>
      </c>
      <c r="BW1337" t="s">
        <v>228</v>
      </c>
      <c r="CH1337" t="s">
        <v>229</v>
      </c>
      <c r="CI1337" t="s">
        <v>93</v>
      </c>
      <c r="CJ1337" t="s">
        <v>226</v>
      </c>
      <c r="CK1337" t="s">
        <v>270</v>
      </c>
      <c r="CL1337" t="s">
        <v>228</v>
      </c>
      <c r="CM1337" t="s">
        <v>234</v>
      </c>
      <c r="CN1337" t="s">
        <v>73</v>
      </c>
      <c r="CO1337">
        <v>-20</v>
      </c>
      <c r="CP1337">
        <v>41998755</v>
      </c>
      <c r="CQ1337" s="73">
        <v>45352.583333333336</v>
      </c>
      <c r="CR1337" t="s">
        <v>229</v>
      </c>
      <c r="CS1337" t="s">
        <v>93</v>
      </c>
      <c r="CU1337" t="s">
        <v>225</v>
      </c>
    </row>
    <row r="1338" spans="1:99">
      <c r="A1338" t="s">
        <v>108</v>
      </c>
      <c r="B1338" t="s">
        <v>98</v>
      </c>
      <c r="J1338" t="s">
        <v>225</v>
      </c>
      <c r="K1338" t="s">
        <v>225</v>
      </c>
      <c r="M1338" s="73">
        <v>45352.583333333336</v>
      </c>
      <c r="N1338">
        <v>41998754</v>
      </c>
      <c r="O1338">
        <v>400</v>
      </c>
      <c r="P1338" t="s">
        <v>104</v>
      </c>
      <c r="Q1338">
        <v>400</v>
      </c>
      <c r="R1338" t="s">
        <v>104</v>
      </c>
      <c r="S1338">
        <v>20</v>
      </c>
      <c r="T1338" t="s">
        <v>73</v>
      </c>
      <c r="U1338" t="s">
        <v>226</v>
      </c>
      <c r="V1338" t="s">
        <v>270</v>
      </c>
      <c r="W1338" t="s">
        <v>235</v>
      </c>
      <c r="X1338" t="s">
        <v>229</v>
      </c>
      <c r="Y1338" t="s">
        <v>108</v>
      </c>
      <c r="AD1338" t="s">
        <v>104</v>
      </c>
      <c r="AE1338">
        <v>400</v>
      </c>
      <c r="AF1338">
        <v>41998754</v>
      </c>
      <c r="AG1338" s="73">
        <v>45352.583333333336</v>
      </c>
      <c r="AH1338" t="s">
        <v>226</v>
      </c>
      <c r="AI1338" t="s">
        <v>270</v>
      </c>
      <c r="AJ1338" t="s">
        <v>235</v>
      </c>
      <c r="AK1338" t="s">
        <v>229</v>
      </c>
      <c r="AL1338" t="s">
        <v>108</v>
      </c>
      <c r="AP1338" t="s">
        <v>230</v>
      </c>
      <c r="AQ1338" t="s">
        <v>231</v>
      </c>
      <c r="AT1338" t="s">
        <v>232</v>
      </c>
      <c r="AU1338">
        <v>-99</v>
      </c>
      <c r="AV1338" t="s">
        <v>104</v>
      </c>
      <c r="AW1338">
        <v>400</v>
      </c>
      <c r="AX1338">
        <v>41998754</v>
      </c>
      <c r="AY1338" s="73">
        <v>45352.583333333336</v>
      </c>
      <c r="AZ1338" t="s">
        <v>226</v>
      </c>
      <c r="BA1338" t="s">
        <v>270</v>
      </c>
      <c r="BB1338" t="s">
        <v>235</v>
      </c>
      <c r="BC1338" t="s">
        <v>229</v>
      </c>
      <c r="BD1338" t="s">
        <v>108</v>
      </c>
      <c r="BI1338" t="s">
        <v>233</v>
      </c>
      <c r="BJ1338" t="s">
        <v>0</v>
      </c>
      <c r="BK1338">
        <v>41998737</v>
      </c>
      <c r="BN1338" t="s">
        <v>104</v>
      </c>
      <c r="BO1338">
        <v>41998750</v>
      </c>
      <c r="BR1338">
        <v>400</v>
      </c>
      <c r="BS1338">
        <v>41998754</v>
      </c>
      <c r="BT1338" s="73">
        <v>45352.583333333336</v>
      </c>
      <c r="BU1338" t="s">
        <v>226</v>
      </c>
      <c r="BV1338" t="s">
        <v>270</v>
      </c>
      <c r="BW1338" t="s">
        <v>235</v>
      </c>
      <c r="CH1338" t="s">
        <v>229</v>
      </c>
      <c r="CI1338" t="s">
        <v>108</v>
      </c>
      <c r="CJ1338" t="s">
        <v>226</v>
      </c>
      <c r="CK1338" t="s">
        <v>270</v>
      </c>
      <c r="CL1338" t="s">
        <v>235</v>
      </c>
      <c r="CM1338" t="s">
        <v>236</v>
      </c>
      <c r="CN1338" t="s">
        <v>104</v>
      </c>
      <c r="CO1338">
        <v>400</v>
      </c>
      <c r="CP1338">
        <v>41998754</v>
      </c>
      <c r="CQ1338" s="73">
        <v>45352.583333333336</v>
      </c>
      <c r="CR1338" t="s">
        <v>229</v>
      </c>
      <c r="CS1338" t="s">
        <v>108</v>
      </c>
      <c r="CU1338" t="s">
        <v>225</v>
      </c>
    </row>
    <row r="1339" spans="1:99">
      <c r="A1339" t="s">
        <v>42</v>
      </c>
      <c r="B1339" t="s">
        <v>92</v>
      </c>
      <c r="J1339" t="s">
        <v>225</v>
      </c>
      <c r="K1339" t="s">
        <v>225</v>
      </c>
      <c r="M1339" s="73">
        <v>45352.579502314817</v>
      </c>
      <c r="N1339">
        <v>41987725</v>
      </c>
      <c r="O1339">
        <v>-1200</v>
      </c>
      <c r="P1339" t="s">
        <v>45</v>
      </c>
      <c r="Q1339">
        <v>-1200</v>
      </c>
      <c r="R1339" t="s">
        <v>45</v>
      </c>
      <c r="U1339" t="s">
        <v>226</v>
      </c>
      <c r="V1339" t="s">
        <v>271</v>
      </c>
      <c r="W1339" t="s">
        <v>228</v>
      </c>
      <c r="X1339" t="s">
        <v>229</v>
      </c>
      <c r="Y1339" t="s">
        <v>42</v>
      </c>
      <c r="AD1339" t="s">
        <v>45</v>
      </c>
      <c r="AE1339">
        <v>-1200</v>
      </c>
      <c r="AF1339">
        <v>41987725</v>
      </c>
      <c r="AG1339" s="73">
        <v>45352.579502314817</v>
      </c>
      <c r="AH1339" t="s">
        <v>226</v>
      </c>
      <c r="AI1339" t="s">
        <v>271</v>
      </c>
      <c r="AJ1339" t="s">
        <v>228</v>
      </c>
      <c r="AK1339" t="s">
        <v>229</v>
      </c>
      <c r="AL1339" t="s">
        <v>42</v>
      </c>
      <c r="AP1339" t="s">
        <v>230</v>
      </c>
      <c r="AQ1339" t="s">
        <v>231</v>
      </c>
      <c r="AT1339" t="s">
        <v>232</v>
      </c>
      <c r="AU1339">
        <v>-99</v>
      </c>
      <c r="AV1339" t="s">
        <v>45</v>
      </c>
      <c r="AW1339">
        <v>-1200</v>
      </c>
      <c r="AX1339">
        <v>41987725</v>
      </c>
      <c r="AY1339" s="73">
        <v>45352.579502314817</v>
      </c>
      <c r="AZ1339" t="s">
        <v>226</v>
      </c>
      <c r="BA1339" t="s">
        <v>271</v>
      </c>
      <c r="BB1339" t="s">
        <v>228</v>
      </c>
      <c r="BC1339" t="s">
        <v>229</v>
      </c>
      <c r="BD1339" t="s">
        <v>42</v>
      </c>
      <c r="BI1339" t="s">
        <v>233</v>
      </c>
      <c r="BJ1339" t="s">
        <v>0</v>
      </c>
      <c r="BK1339">
        <v>41987710</v>
      </c>
      <c r="BN1339" t="s">
        <v>45</v>
      </c>
      <c r="BR1339">
        <v>-1200</v>
      </c>
      <c r="BS1339">
        <v>41987725</v>
      </c>
      <c r="BT1339" s="73">
        <v>45352.579502314817</v>
      </c>
      <c r="BU1339" t="s">
        <v>226</v>
      </c>
      <c r="BV1339" t="s">
        <v>271</v>
      </c>
      <c r="BW1339" t="s">
        <v>228</v>
      </c>
      <c r="CH1339" t="s">
        <v>229</v>
      </c>
      <c r="CI1339" t="s">
        <v>42</v>
      </c>
      <c r="CJ1339" t="s">
        <v>226</v>
      </c>
      <c r="CK1339" t="s">
        <v>271</v>
      </c>
      <c r="CL1339" t="s">
        <v>228</v>
      </c>
      <c r="CM1339" t="s">
        <v>234</v>
      </c>
      <c r="CN1339" t="s">
        <v>45</v>
      </c>
      <c r="CO1339">
        <v>-1200</v>
      </c>
      <c r="CP1339">
        <v>41987725</v>
      </c>
      <c r="CQ1339" s="73">
        <v>45352.579502314817</v>
      </c>
      <c r="CR1339" t="s">
        <v>229</v>
      </c>
      <c r="CS1339" t="s">
        <v>42</v>
      </c>
      <c r="CU1339" t="s">
        <v>225</v>
      </c>
    </row>
    <row r="1340" spans="1:99">
      <c r="A1340" t="s">
        <v>99</v>
      </c>
      <c r="B1340" t="s">
        <v>98</v>
      </c>
      <c r="J1340" t="s">
        <v>225</v>
      </c>
      <c r="K1340" t="s">
        <v>225</v>
      </c>
      <c r="M1340" s="73">
        <v>45352.579502314817</v>
      </c>
      <c r="N1340">
        <v>41987724</v>
      </c>
      <c r="O1340">
        <v>-60</v>
      </c>
      <c r="P1340" t="s">
        <v>73</v>
      </c>
      <c r="Q1340">
        <v>-60</v>
      </c>
      <c r="R1340" t="s">
        <v>73</v>
      </c>
      <c r="U1340" t="s">
        <v>226</v>
      </c>
      <c r="V1340" t="s">
        <v>271</v>
      </c>
      <c r="W1340" t="s">
        <v>228</v>
      </c>
      <c r="X1340" t="s">
        <v>229</v>
      </c>
      <c r="Y1340" t="s">
        <v>99</v>
      </c>
      <c r="AD1340" t="s">
        <v>73</v>
      </c>
      <c r="AE1340">
        <v>-60</v>
      </c>
      <c r="AF1340">
        <v>41987724</v>
      </c>
      <c r="AG1340" s="73">
        <v>45352.579502314817</v>
      </c>
      <c r="AH1340" t="s">
        <v>226</v>
      </c>
      <c r="AI1340" t="s">
        <v>271</v>
      </c>
      <c r="AJ1340" t="s">
        <v>228</v>
      </c>
      <c r="AK1340" t="s">
        <v>229</v>
      </c>
      <c r="AL1340" t="s">
        <v>99</v>
      </c>
      <c r="AP1340" t="s">
        <v>230</v>
      </c>
      <c r="AQ1340" t="s">
        <v>231</v>
      </c>
      <c r="AT1340" t="s">
        <v>232</v>
      </c>
      <c r="AU1340">
        <v>-99</v>
      </c>
      <c r="AV1340" t="s">
        <v>73</v>
      </c>
      <c r="AW1340">
        <v>-60</v>
      </c>
      <c r="AX1340">
        <v>41987724</v>
      </c>
      <c r="AY1340" s="73">
        <v>45352.579502314817</v>
      </c>
      <c r="AZ1340" t="s">
        <v>226</v>
      </c>
      <c r="BA1340" t="s">
        <v>271</v>
      </c>
      <c r="BB1340" t="s">
        <v>228</v>
      </c>
      <c r="BC1340" t="s">
        <v>229</v>
      </c>
      <c r="BD1340" t="s">
        <v>99</v>
      </c>
      <c r="BI1340" t="s">
        <v>233</v>
      </c>
      <c r="BJ1340" t="s">
        <v>0</v>
      </c>
      <c r="BK1340">
        <v>41987710</v>
      </c>
      <c r="BN1340" t="s">
        <v>73</v>
      </c>
      <c r="BR1340">
        <v>-60</v>
      </c>
      <c r="BS1340">
        <v>41987724</v>
      </c>
      <c r="BT1340" s="73">
        <v>45352.579502314817</v>
      </c>
      <c r="BU1340" t="s">
        <v>226</v>
      </c>
      <c r="BV1340" t="s">
        <v>271</v>
      </c>
      <c r="BW1340" t="s">
        <v>228</v>
      </c>
      <c r="CH1340" t="s">
        <v>229</v>
      </c>
      <c r="CI1340" t="s">
        <v>99</v>
      </c>
      <c r="CJ1340" t="s">
        <v>226</v>
      </c>
      <c r="CK1340" t="s">
        <v>271</v>
      </c>
      <c r="CL1340" t="s">
        <v>228</v>
      </c>
      <c r="CM1340" t="s">
        <v>234</v>
      </c>
      <c r="CN1340" t="s">
        <v>73</v>
      </c>
      <c r="CO1340">
        <v>-60</v>
      </c>
      <c r="CP1340">
        <v>41987724</v>
      </c>
      <c r="CQ1340" s="73">
        <v>45352.579502314817</v>
      </c>
      <c r="CR1340" t="s">
        <v>229</v>
      </c>
      <c r="CS1340" t="s">
        <v>99</v>
      </c>
      <c r="CU1340" t="s">
        <v>225</v>
      </c>
    </row>
    <row r="1341" spans="1:99">
      <c r="A1341" t="s">
        <v>103</v>
      </c>
      <c r="B1341" t="s">
        <v>98</v>
      </c>
      <c r="J1341" t="s">
        <v>225</v>
      </c>
      <c r="K1341" t="s">
        <v>225</v>
      </c>
      <c r="M1341" s="73">
        <v>45352.579502314817</v>
      </c>
      <c r="N1341">
        <v>41987723</v>
      </c>
      <c r="O1341">
        <v>1200</v>
      </c>
      <c r="P1341" t="s">
        <v>104</v>
      </c>
      <c r="Q1341">
        <v>1200</v>
      </c>
      <c r="R1341" t="s">
        <v>104</v>
      </c>
      <c r="S1341">
        <v>60</v>
      </c>
      <c r="T1341" t="s">
        <v>73</v>
      </c>
      <c r="U1341" t="s">
        <v>226</v>
      </c>
      <c r="V1341" t="s">
        <v>271</v>
      </c>
      <c r="W1341" t="s">
        <v>235</v>
      </c>
      <c r="X1341" t="s">
        <v>229</v>
      </c>
      <c r="Y1341" t="s">
        <v>103</v>
      </c>
      <c r="AD1341" t="s">
        <v>104</v>
      </c>
      <c r="AE1341">
        <v>1200</v>
      </c>
      <c r="AF1341">
        <v>41987723</v>
      </c>
      <c r="AG1341" s="73">
        <v>45352.579502314817</v>
      </c>
      <c r="AH1341" t="s">
        <v>226</v>
      </c>
      <c r="AI1341" t="s">
        <v>271</v>
      </c>
      <c r="AJ1341" t="s">
        <v>235</v>
      </c>
      <c r="AK1341" t="s">
        <v>229</v>
      </c>
      <c r="AL1341" t="s">
        <v>103</v>
      </c>
      <c r="AP1341" t="s">
        <v>230</v>
      </c>
      <c r="AQ1341" t="s">
        <v>231</v>
      </c>
      <c r="AT1341" t="s">
        <v>232</v>
      </c>
      <c r="AU1341">
        <v>-99</v>
      </c>
      <c r="AV1341" t="s">
        <v>104</v>
      </c>
      <c r="AW1341">
        <v>1200</v>
      </c>
      <c r="AX1341">
        <v>41987723</v>
      </c>
      <c r="AY1341" s="73">
        <v>45352.579502314817</v>
      </c>
      <c r="AZ1341" t="s">
        <v>226</v>
      </c>
      <c r="BA1341" t="s">
        <v>271</v>
      </c>
      <c r="BB1341" t="s">
        <v>235</v>
      </c>
      <c r="BC1341" t="s">
        <v>229</v>
      </c>
      <c r="BD1341" t="s">
        <v>103</v>
      </c>
      <c r="BI1341" t="s">
        <v>233</v>
      </c>
      <c r="BJ1341" t="s">
        <v>0</v>
      </c>
      <c r="BK1341">
        <v>41987710</v>
      </c>
      <c r="BN1341" t="s">
        <v>104</v>
      </c>
      <c r="BO1341">
        <v>41987719</v>
      </c>
      <c r="BR1341">
        <v>1200</v>
      </c>
      <c r="BS1341">
        <v>41987723</v>
      </c>
      <c r="BT1341" s="73">
        <v>45352.579502314817</v>
      </c>
      <c r="BU1341" t="s">
        <v>226</v>
      </c>
      <c r="BV1341" t="s">
        <v>271</v>
      </c>
      <c r="BW1341" t="s">
        <v>235</v>
      </c>
      <c r="CH1341" t="s">
        <v>229</v>
      </c>
      <c r="CI1341" t="s">
        <v>103</v>
      </c>
      <c r="CJ1341" t="s">
        <v>226</v>
      </c>
      <c r="CK1341" t="s">
        <v>271</v>
      </c>
      <c r="CL1341" t="s">
        <v>235</v>
      </c>
      <c r="CM1341" t="s">
        <v>236</v>
      </c>
      <c r="CN1341" t="s">
        <v>104</v>
      </c>
      <c r="CO1341">
        <v>1200</v>
      </c>
      <c r="CP1341">
        <v>41987723</v>
      </c>
      <c r="CQ1341" s="73">
        <v>45352.579502314817</v>
      </c>
      <c r="CR1341" t="s">
        <v>229</v>
      </c>
      <c r="CS1341" t="s">
        <v>103</v>
      </c>
      <c r="CU1341" t="s">
        <v>225</v>
      </c>
    </row>
    <row r="1342" spans="1:99">
      <c r="A1342" t="s">
        <v>42</v>
      </c>
      <c r="B1342" t="s">
        <v>92</v>
      </c>
      <c r="J1342" t="s">
        <v>225</v>
      </c>
      <c r="K1342" t="s">
        <v>225</v>
      </c>
      <c r="M1342" s="73">
        <v>45352.577928240738</v>
      </c>
      <c r="N1342">
        <v>41987705</v>
      </c>
      <c r="O1342">
        <v>-2529</v>
      </c>
      <c r="P1342" t="s">
        <v>45</v>
      </c>
      <c r="Q1342">
        <v>-2529</v>
      </c>
      <c r="R1342" t="s">
        <v>45</v>
      </c>
      <c r="U1342" t="s">
        <v>226</v>
      </c>
      <c r="V1342" t="s">
        <v>272</v>
      </c>
      <c r="W1342" t="s">
        <v>228</v>
      </c>
      <c r="X1342" t="s">
        <v>229</v>
      </c>
      <c r="Y1342" t="s">
        <v>42</v>
      </c>
      <c r="AD1342" t="s">
        <v>45</v>
      </c>
      <c r="AE1342">
        <v>-2529</v>
      </c>
      <c r="AF1342">
        <v>41987705</v>
      </c>
      <c r="AG1342" s="73">
        <v>45352.577928240738</v>
      </c>
      <c r="AH1342" t="s">
        <v>226</v>
      </c>
      <c r="AI1342" t="s">
        <v>272</v>
      </c>
      <c r="AJ1342" t="s">
        <v>228</v>
      </c>
      <c r="AK1342" t="s">
        <v>229</v>
      </c>
      <c r="AL1342" t="s">
        <v>42</v>
      </c>
      <c r="AP1342" t="s">
        <v>230</v>
      </c>
      <c r="AQ1342" t="s">
        <v>231</v>
      </c>
      <c r="AT1342" t="s">
        <v>232</v>
      </c>
      <c r="AU1342">
        <v>-99</v>
      </c>
      <c r="AV1342" t="s">
        <v>45</v>
      </c>
      <c r="AW1342">
        <v>-2529</v>
      </c>
      <c r="AX1342">
        <v>41987705</v>
      </c>
      <c r="AY1342" s="73">
        <v>45352.577928240738</v>
      </c>
      <c r="AZ1342" t="s">
        <v>226</v>
      </c>
      <c r="BA1342" t="s">
        <v>272</v>
      </c>
      <c r="BB1342" t="s">
        <v>228</v>
      </c>
      <c r="BC1342" t="s">
        <v>229</v>
      </c>
      <c r="BD1342" t="s">
        <v>42</v>
      </c>
      <c r="BI1342" t="s">
        <v>233</v>
      </c>
      <c r="BJ1342" t="s">
        <v>0</v>
      </c>
      <c r="BK1342">
        <v>41987689</v>
      </c>
      <c r="BN1342" t="s">
        <v>45</v>
      </c>
      <c r="BR1342">
        <v>-2529</v>
      </c>
      <c r="BS1342">
        <v>41987705</v>
      </c>
      <c r="BT1342" s="73">
        <v>45352.577928240738</v>
      </c>
      <c r="BU1342" t="s">
        <v>226</v>
      </c>
      <c r="BV1342" t="s">
        <v>272</v>
      </c>
      <c r="BW1342" t="s">
        <v>228</v>
      </c>
      <c r="CH1342" t="s">
        <v>229</v>
      </c>
      <c r="CI1342" t="s">
        <v>42</v>
      </c>
      <c r="CJ1342" t="s">
        <v>226</v>
      </c>
      <c r="CK1342" t="s">
        <v>272</v>
      </c>
      <c r="CL1342" t="s">
        <v>228</v>
      </c>
      <c r="CM1342" t="s">
        <v>234</v>
      </c>
      <c r="CN1342" t="s">
        <v>45</v>
      </c>
      <c r="CO1342">
        <v>-2529</v>
      </c>
      <c r="CP1342">
        <v>41987705</v>
      </c>
      <c r="CQ1342" s="73">
        <v>45352.577928240738</v>
      </c>
      <c r="CR1342" t="s">
        <v>229</v>
      </c>
      <c r="CS1342" t="s">
        <v>42</v>
      </c>
      <c r="CU1342" t="s">
        <v>225</v>
      </c>
    </row>
    <row r="1343" spans="1:99">
      <c r="A1343" t="s">
        <v>99</v>
      </c>
      <c r="B1343" t="s">
        <v>98</v>
      </c>
      <c r="J1343" t="s">
        <v>225</v>
      </c>
      <c r="K1343" t="s">
        <v>225</v>
      </c>
      <c r="M1343" s="73">
        <v>45352.577928240738</v>
      </c>
      <c r="N1343">
        <v>41987704</v>
      </c>
      <c r="O1343">
        <v>-126</v>
      </c>
      <c r="P1343" t="s">
        <v>73</v>
      </c>
      <c r="Q1343">
        <v>-126</v>
      </c>
      <c r="R1343" t="s">
        <v>73</v>
      </c>
      <c r="U1343" t="s">
        <v>226</v>
      </c>
      <c r="V1343" t="s">
        <v>272</v>
      </c>
      <c r="W1343" t="s">
        <v>228</v>
      </c>
      <c r="X1343" t="s">
        <v>229</v>
      </c>
      <c r="Y1343" t="s">
        <v>99</v>
      </c>
      <c r="AD1343" t="s">
        <v>73</v>
      </c>
      <c r="AE1343">
        <v>-126</v>
      </c>
      <c r="AF1343">
        <v>41987704</v>
      </c>
      <c r="AG1343" s="73">
        <v>45352.577928240738</v>
      </c>
      <c r="AH1343" t="s">
        <v>226</v>
      </c>
      <c r="AI1343" t="s">
        <v>272</v>
      </c>
      <c r="AJ1343" t="s">
        <v>228</v>
      </c>
      <c r="AK1343" t="s">
        <v>229</v>
      </c>
      <c r="AL1343" t="s">
        <v>99</v>
      </c>
      <c r="AP1343" t="s">
        <v>230</v>
      </c>
      <c r="AQ1343" t="s">
        <v>231</v>
      </c>
      <c r="AT1343" t="s">
        <v>232</v>
      </c>
      <c r="AU1343">
        <v>-99</v>
      </c>
      <c r="AV1343" t="s">
        <v>73</v>
      </c>
      <c r="AW1343">
        <v>-126</v>
      </c>
      <c r="AX1343">
        <v>41987704</v>
      </c>
      <c r="AY1343" s="73">
        <v>45352.577928240738</v>
      </c>
      <c r="AZ1343" t="s">
        <v>226</v>
      </c>
      <c r="BA1343" t="s">
        <v>272</v>
      </c>
      <c r="BB1343" t="s">
        <v>228</v>
      </c>
      <c r="BC1343" t="s">
        <v>229</v>
      </c>
      <c r="BD1343" t="s">
        <v>99</v>
      </c>
      <c r="BI1343" t="s">
        <v>233</v>
      </c>
      <c r="BJ1343" t="s">
        <v>0</v>
      </c>
      <c r="BK1343">
        <v>41987689</v>
      </c>
      <c r="BN1343" t="s">
        <v>73</v>
      </c>
      <c r="BR1343">
        <v>-126</v>
      </c>
      <c r="BS1343">
        <v>41987704</v>
      </c>
      <c r="BT1343" s="73">
        <v>45352.577928240738</v>
      </c>
      <c r="BU1343" t="s">
        <v>226</v>
      </c>
      <c r="BV1343" t="s">
        <v>272</v>
      </c>
      <c r="BW1343" t="s">
        <v>228</v>
      </c>
      <c r="CH1343" t="s">
        <v>229</v>
      </c>
      <c r="CI1343" t="s">
        <v>99</v>
      </c>
      <c r="CJ1343" t="s">
        <v>226</v>
      </c>
      <c r="CK1343" t="s">
        <v>272</v>
      </c>
      <c r="CL1343" t="s">
        <v>228</v>
      </c>
      <c r="CM1343" t="s">
        <v>234</v>
      </c>
      <c r="CN1343" t="s">
        <v>73</v>
      </c>
      <c r="CO1343">
        <v>-126</v>
      </c>
      <c r="CP1343">
        <v>41987704</v>
      </c>
      <c r="CQ1343" s="73">
        <v>45352.577928240738</v>
      </c>
      <c r="CR1343" t="s">
        <v>229</v>
      </c>
      <c r="CS1343" t="s">
        <v>99</v>
      </c>
      <c r="CU1343" t="s">
        <v>225</v>
      </c>
    </row>
    <row r="1344" spans="1:99">
      <c r="A1344" t="s">
        <v>103</v>
      </c>
      <c r="B1344" t="s">
        <v>98</v>
      </c>
      <c r="J1344" t="s">
        <v>225</v>
      </c>
      <c r="K1344" t="s">
        <v>225</v>
      </c>
      <c r="M1344" s="73">
        <v>45352.577928240738</v>
      </c>
      <c r="N1344">
        <v>41987703</v>
      </c>
      <c r="O1344">
        <v>2520</v>
      </c>
      <c r="P1344" t="s">
        <v>104</v>
      </c>
      <c r="Q1344">
        <v>2520</v>
      </c>
      <c r="R1344" t="s">
        <v>104</v>
      </c>
      <c r="S1344">
        <v>126</v>
      </c>
      <c r="T1344" t="s">
        <v>73</v>
      </c>
      <c r="U1344" t="s">
        <v>226</v>
      </c>
      <c r="V1344" t="s">
        <v>272</v>
      </c>
      <c r="W1344" t="s">
        <v>235</v>
      </c>
      <c r="X1344" t="s">
        <v>229</v>
      </c>
      <c r="Y1344" t="s">
        <v>103</v>
      </c>
      <c r="AD1344" t="s">
        <v>104</v>
      </c>
      <c r="AE1344">
        <v>2520</v>
      </c>
      <c r="AF1344">
        <v>41987703</v>
      </c>
      <c r="AG1344" s="73">
        <v>45352.577928240738</v>
      </c>
      <c r="AH1344" t="s">
        <v>226</v>
      </c>
      <c r="AI1344" t="s">
        <v>272</v>
      </c>
      <c r="AJ1344" t="s">
        <v>235</v>
      </c>
      <c r="AK1344" t="s">
        <v>229</v>
      </c>
      <c r="AL1344" t="s">
        <v>103</v>
      </c>
      <c r="AP1344" t="s">
        <v>230</v>
      </c>
      <c r="AQ1344" t="s">
        <v>231</v>
      </c>
      <c r="AT1344" t="s">
        <v>232</v>
      </c>
      <c r="AU1344">
        <v>-99</v>
      </c>
      <c r="AV1344" t="s">
        <v>104</v>
      </c>
      <c r="AW1344">
        <v>2520</v>
      </c>
      <c r="AX1344">
        <v>41987703</v>
      </c>
      <c r="AY1344" s="73">
        <v>45352.577928240738</v>
      </c>
      <c r="AZ1344" t="s">
        <v>226</v>
      </c>
      <c r="BA1344" t="s">
        <v>272</v>
      </c>
      <c r="BB1344" t="s">
        <v>235</v>
      </c>
      <c r="BC1344" t="s">
        <v>229</v>
      </c>
      <c r="BD1344" t="s">
        <v>103</v>
      </c>
      <c r="BI1344" t="s">
        <v>233</v>
      </c>
      <c r="BJ1344" t="s">
        <v>0</v>
      </c>
      <c r="BK1344">
        <v>41987689</v>
      </c>
      <c r="BN1344" t="s">
        <v>104</v>
      </c>
      <c r="BO1344">
        <v>41987695</v>
      </c>
      <c r="BR1344">
        <v>2520</v>
      </c>
      <c r="BS1344">
        <v>41987703</v>
      </c>
      <c r="BT1344" s="73">
        <v>45352.577928240738</v>
      </c>
      <c r="BU1344" t="s">
        <v>226</v>
      </c>
      <c r="BV1344" t="s">
        <v>272</v>
      </c>
      <c r="BW1344" t="s">
        <v>235</v>
      </c>
      <c r="CH1344" t="s">
        <v>229</v>
      </c>
      <c r="CI1344" t="s">
        <v>103</v>
      </c>
      <c r="CJ1344" t="s">
        <v>226</v>
      </c>
      <c r="CK1344" t="s">
        <v>272</v>
      </c>
      <c r="CL1344" t="s">
        <v>235</v>
      </c>
      <c r="CM1344" t="s">
        <v>236</v>
      </c>
      <c r="CN1344" t="s">
        <v>104</v>
      </c>
      <c r="CO1344">
        <v>2520</v>
      </c>
      <c r="CP1344">
        <v>41987703</v>
      </c>
      <c r="CQ1344" s="73">
        <v>45352.577928240738</v>
      </c>
      <c r="CR1344" t="s">
        <v>229</v>
      </c>
      <c r="CS1344" t="s">
        <v>103</v>
      </c>
      <c r="CU1344" t="s">
        <v>225</v>
      </c>
    </row>
    <row r="1345" spans="1:99">
      <c r="A1345" t="s">
        <v>111</v>
      </c>
      <c r="B1345" t="s">
        <v>77</v>
      </c>
      <c r="J1345" t="s">
        <v>225</v>
      </c>
      <c r="K1345" t="s">
        <v>225</v>
      </c>
      <c r="M1345" s="73">
        <v>45352.577928240738</v>
      </c>
      <c r="N1345">
        <v>41987702</v>
      </c>
      <c r="O1345">
        <v>9</v>
      </c>
      <c r="P1345" t="s">
        <v>45</v>
      </c>
      <c r="Q1345">
        <v>9</v>
      </c>
      <c r="R1345" t="s">
        <v>45</v>
      </c>
      <c r="U1345" t="s">
        <v>226</v>
      </c>
      <c r="V1345" t="s">
        <v>272</v>
      </c>
      <c r="W1345" t="s">
        <v>237</v>
      </c>
      <c r="X1345" t="s">
        <v>229</v>
      </c>
      <c r="Y1345" t="s">
        <v>111</v>
      </c>
      <c r="AD1345" t="s">
        <v>45</v>
      </c>
      <c r="AE1345">
        <v>9</v>
      </c>
      <c r="AF1345">
        <v>41987702</v>
      </c>
      <c r="AG1345" s="73">
        <v>45352.577928240738</v>
      </c>
      <c r="AH1345" t="s">
        <v>226</v>
      </c>
      <c r="AI1345" t="s">
        <v>272</v>
      </c>
      <c r="AJ1345" t="s">
        <v>237</v>
      </c>
      <c r="AK1345" t="s">
        <v>229</v>
      </c>
      <c r="AL1345" t="s">
        <v>111</v>
      </c>
      <c r="AP1345" t="s">
        <v>230</v>
      </c>
      <c r="AQ1345" t="s">
        <v>231</v>
      </c>
      <c r="AT1345" t="s">
        <v>232</v>
      </c>
      <c r="AU1345">
        <v>-99</v>
      </c>
      <c r="AV1345" t="s">
        <v>45</v>
      </c>
      <c r="AW1345">
        <v>9</v>
      </c>
      <c r="AX1345">
        <v>41987702</v>
      </c>
      <c r="AY1345" s="73">
        <v>45352.577928240738</v>
      </c>
      <c r="AZ1345" t="s">
        <v>226</v>
      </c>
      <c r="BA1345" t="s">
        <v>272</v>
      </c>
      <c r="BB1345" t="s">
        <v>237</v>
      </c>
      <c r="BC1345" t="s">
        <v>229</v>
      </c>
      <c r="BD1345" t="s">
        <v>111</v>
      </c>
      <c r="BI1345" t="s">
        <v>233</v>
      </c>
      <c r="BJ1345" t="s">
        <v>0</v>
      </c>
      <c r="BK1345">
        <v>41987689</v>
      </c>
      <c r="BN1345" t="s">
        <v>45</v>
      </c>
      <c r="BO1345">
        <v>41987697</v>
      </c>
      <c r="BR1345">
        <v>9</v>
      </c>
      <c r="BS1345">
        <v>41987702</v>
      </c>
      <c r="BT1345" s="73">
        <v>45352.577928240738</v>
      </c>
      <c r="BU1345" t="s">
        <v>226</v>
      </c>
      <c r="BV1345" t="s">
        <v>272</v>
      </c>
      <c r="BW1345" t="s">
        <v>237</v>
      </c>
      <c r="CH1345" t="s">
        <v>229</v>
      </c>
      <c r="CI1345" t="s">
        <v>111</v>
      </c>
      <c r="CJ1345" t="s">
        <v>226</v>
      </c>
      <c r="CK1345" t="s">
        <v>272</v>
      </c>
      <c r="CL1345" t="s">
        <v>237</v>
      </c>
      <c r="CM1345" t="s">
        <v>236</v>
      </c>
      <c r="CN1345" t="s">
        <v>45</v>
      </c>
      <c r="CO1345">
        <v>9</v>
      </c>
      <c r="CP1345">
        <v>41987702</v>
      </c>
      <c r="CQ1345" s="73">
        <v>45352.577928240738</v>
      </c>
      <c r="CR1345" t="s">
        <v>229</v>
      </c>
      <c r="CS1345" t="s">
        <v>111</v>
      </c>
      <c r="CU1345" t="s">
        <v>225</v>
      </c>
    </row>
    <row r="1346" spans="1:99">
      <c r="A1346" t="s">
        <v>52</v>
      </c>
      <c r="B1346" t="s">
        <v>92</v>
      </c>
      <c r="J1346" t="s">
        <v>225</v>
      </c>
      <c r="K1346" t="s">
        <v>225</v>
      </c>
      <c r="M1346" s="73">
        <v>45352.576689814814</v>
      </c>
      <c r="N1346">
        <v>41987687</v>
      </c>
      <c r="O1346">
        <v>-580</v>
      </c>
      <c r="P1346" t="s">
        <v>45</v>
      </c>
      <c r="Q1346">
        <v>-580</v>
      </c>
      <c r="R1346" t="s">
        <v>45</v>
      </c>
      <c r="U1346" t="s">
        <v>226</v>
      </c>
      <c r="V1346" t="s">
        <v>273</v>
      </c>
      <c r="W1346" t="s">
        <v>228</v>
      </c>
      <c r="X1346" t="s">
        <v>229</v>
      </c>
      <c r="Y1346" t="s">
        <v>52</v>
      </c>
      <c r="AD1346" t="s">
        <v>45</v>
      </c>
      <c r="AE1346">
        <v>-580</v>
      </c>
      <c r="AF1346">
        <v>41987687</v>
      </c>
      <c r="AG1346" s="73">
        <v>45352.576689814814</v>
      </c>
      <c r="AH1346" t="s">
        <v>226</v>
      </c>
      <c r="AI1346" t="s">
        <v>273</v>
      </c>
      <c r="AJ1346" t="s">
        <v>228</v>
      </c>
      <c r="AK1346" t="s">
        <v>229</v>
      </c>
      <c r="AL1346" t="s">
        <v>52</v>
      </c>
      <c r="AP1346" t="s">
        <v>230</v>
      </c>
      <c r="AQ1346" t="s">
        <v>231</v>
      </c>
      <c r="AT1346" t="s">
        <v>232</v>
      </c>
      <c r="AU1346">
        <v>-99</v>
      </c>
      <c r="AV1346" t="s">
        <v>45</v>
      </c>
      <c r="AW1346">
        <v>-580</v>
      </c>
      <c r="AX1346">
        <v>41987687</v>
      </c>
      <c r="AY1346" s="73">
        <v>45352.576689814814</v>
      </c>
      <c r="AZ1346" t="s">
        <v>226</v>
      </c>
      <c r="BA1346" t="s">
        <v>273</v>
      </c>
      <c r="BB1346" t="s">
        <v>228</v>
      </c>
      <c r="BC1346" t="s">
        <v>229</v>
      </c>
      <c r="BD1346" t="s">
        <v>52</v>
      </c>
      <c r="BI1346" t="s">
        <v>233</v>
      </c>
      <c r="BJ1346" t="s">
        <v>0</v>
      </c>
      <c r="BK1346">
        <v>41987675</v>
      </c>
      <c r="BN1346" t="s">
        <v>45</v>
      </c>
      <c r="BR1346">
        <v>-580</v>
      </c>
      <c r="BS1346">
        <v>41987687</v>
      </c>
      <c r="BT1346" s="73">
        <v>45352.576689814814</v>
      </c>
      <c r="BU1346" t="s">
        <v>226</v>
      </c>
      <c r="BV1346" t="s">
        <v>273</v>
      </c>
      <c r="BW1346" t="s">
        <v>228</v>
      </c>
      <c r="CH1346" t="s">
        <v>229</v>
      </c>
      <c r="CI1346" t="s">
        <v>52</v>
      </c>
      <c r="CJ1346" t="s">
        <v>226</v>
      </c>
      <c r="CK1346" t="s">
        <v>273</v>
      </c>
      <c r="CL1346" t="s">
        <v>228</v>
      </c>
      <c r="CM1346" t="s">
        <v>234</v>
      </c>
      <c r="CN1346" t="s">
        <v>45</v>
      </c>
      <c r="CO1346">
        <v>-580</v>
      </c>
      <c r="CP1346">
        <v>41987687</v>
      </c>
      <c r="CQ1346" s="73">
        <v>45352.576689814814</v>
      </c>
      <c r="CR1346" t="s">
        <v>229</v>
      </c>
      <c r="CS1346" t="s">
        <v>52</v>
      </c>
      <c r="CU1346" t="s">
        <v>225</v>
      </c>
    </row>
    <row r="1347" spans="1:99">
      <c r="A1347" t="s">
        <v>101</v>
      </c>
      <c r="B1347" t="s">
        <v>98</v>
      </c>
      <c r="J1347" t="s">
        <v>225</v>
      </c>
      <c r="K1347" t="s">
        <v>225</v>
      </c>
      <c r="M1347" s="73">
        <v>45352.576689814814</v>
      </c>
      <c r="N1347">
        <v>41987686</v>
      </c>
      <c r="O1347">
        <v>-29</v>
      </c>
      <c r="P1347" t="s">
        <v>73</v>
      </c>
      <c r="Q1347">
        <v>-29</v>
      </c>
      <c r="R1347" t="s">
        <v>73</v>
      </c>
      <c r="U1347" t="s">
        <v>226</v>
      </c>
      <c r="V1347" t="s">
        <v>273</v>
      </c>
      <c r="W1347" t="s">
        <v>228</v>
      </c>
      <c r="X1347" t="s">
        <v>229</v>
      </c>
      <c r="Y1347" t="s">
        <v>101</v>
      </c>
      <c r="AD1347" t="s">
        <v>73</v>
      </c>
      <c r="AE1347">
        <v>-29</v>
      </c>
      <c r="AF1347">
        <v>41987686</v>
      </c>
      <c r="AG1347" s="73">
        <v>45352.576689814814</v>
      </c>
      <c r="AH1347" t="s">
        <v>226</v>
      </c>
      <c r="AI1347" t="s">
        <v>273</v>
      </c>
      <c r="AJ1347" t="s">
        <v>228</v>
      </c>
      <c r="AK1347" t="s">
        <v>229</v>
      </c>
      <c r="AL1347" t="s">
        <v>101</v>
      </c>
      <c r="AP1347" t="s">
        <v>230</v>
      </c>
      <c r="AQ1347" t="s">
        <v>231</v>
      </c>
      <c r="AT1347" t="s">
        <v>232</v>
      </c>
      <c r="AU1347">
        <v>-99</v>
      </c>
      <c r="AV1347" t="s">
        <v>73</v>
      </c>
      <c r="AW1347">
        <v>-29</v>
      </c>
      <c r="AX1347">
        <v>41987686</v>
      </c>
      <c r="AY1347" s="73">
        <v>45352.576689814814</v>
      </c>
      <c r="AZ1347" t="s">
        <v>226</v>
      </c>
      <c r="BA1347" t="s">
        <v>273</v>
      </c>
      <c r="BB1347" t="s">
        <v>228</v>
      </c>
      <c r="BC1347" t="s">
        <v>229</v>
      </c>
      <c r="BD1347" t="s">
        <v>101</v>
      </c>
      <c r="BI1347" t="s">
        <v>233</v>
      </c>
      <c r="BJ1347" t="s">
        <v>0</v>
      </c>
      <c r="BK1347">
        <v>41987675</v>
      </c>
      <c r="BN1347" t="s">
        <v>73</v>
      </c>
      <c r="BR1347">
        <v>-29</v>
      </c>
      <c r="BS1347">
        <v>41987686</v>
      </c>
      <c r="BT1347" s="73">
        <v>45352.576689814814</v>
      </c>
      <c r="BU1347" t="s">
        <v>226</v>
      </c>
      <c r="BV1347" t="s">
        <v>273</v>
      </c>
      <c r="BW1347" t="s">
        <v>228</v>
      </c>
      <c r="CH1347" t="s">
        <v>229</v>
      </c>
      <c r="CI1347" t="s">
        <v>101</v>
      </c>
      <c r="CJ1347" t="s">
        <v>226</v>
      </c>
      <c r="CK1347" t="s">
        <v>273</v>
      </c>
      <c r="CL1347" t="s">
        <v>228</v>
      </c>
      <c r="CM1347" t="s">
        <v>234</v>
      </c>
      <c r="CN1347" t="s">
        <v>73</v>
      </c>
      <c r="CO1347">
        <v>-29</v>
      </c>
      <c r="CP1347">
        <v>41987686</v>
      </c>
      <c r="CQ1347" s="73">
        <v>45352.576689814814</v>
      </c>
      <c r="CR1347" t="s">
        <v>229</v>
      </c>
      <c r="CS1347" t="s">
        <v>101</v>
      </c>
      <c r="CU1347" t="s">
        <v>225</v>
      </c>
    </row>
    <row r="1348" spans="1:99">
      <c r="A1348" t="s">
        <v>107</v>
      </c>
      <c r="B1348" t="s">
        <v>98</v>
      </c>
      <c r="J1348" t="s">
        <v>225</v>
      </c>
      <c r="K1348" t="s">
        <v>225</v>
      </c>
      <c r="M1348" s="73">
        <v>45352.576689814814</v>
      </c>
      <c r="N1348">
        <v>41987685</v>
      </c>
      <c r="O1348">
        <v>580</v>
      </c>
      <c r="P1348" t="s">
        <v>104</v>
      </c>
      <c r="Q1348">
        <v>580</v>
      </c>
      <c r="R1348" t="s">
        <v>104</v>
      </c>
      <c r="S1348">
        <v>29</v>
      </c>
      <c r="T1348" t="s">
        <v>73</v>
      </c>
      <c r="U1348" t="s">
        <v>226</v>
      </c>
      <c r="V1348" t="s">
        <v>273</v>
      </c>
      <c r="W1348" t="s">
        <v>235</v>
      </c>
      <c r="X1348" t="s">
        <v>229</v>
      </c>
      <c r="Y1348" t="s">
        <v>107</v>
      </c>
      <c r="AD1348" t="s">
        <v>104</v>
      </c>
      <c r="AE1348">
        <v>580</v>
      </c>
      <c r="AF1348">
        <v>41987685</v>
      </c>
      <c r="AG1348" s="73">
        <v>45352.576689814814</v>
      </c>
      <c r="AH1348" t="s">
        <v>226</v>
      </c>
      <c r="AI1348" t="s">
        <v>273</v>
      </c>
      <c r="AJ1348" t="s">
        <v>235</v>
      </c>
      <c r="AK1348" t="s">
        <v>229</v>
      </c>
      <c r="AL1348" t="s">
        <v>107</v>
      </c>
      <c r="AP1348" t="s">
        <v>230</v>
      </c>
      <c r="AQ1348" t="s">
        <v>231</v>
      </c>
      <c r="AT1348" t="s">
        <v>232</v>
      </c>
      <c r="AU1348">
        <v>-99</v>
      </c>
      <c r="AV1348" t="s">
        <v>104</v>
      </c>
      <c r="AW1348">
        <v>580</v>
      </c>
      <c r="AX1348">
        <v>41987685</v>
      </c>
      <c r="AY1348" s="73">
        <v>45352.576689814814</v>
      </c>
      <c r="AZ1348" t="s">
        <v>226</v>
      </c>
      <c r="BA1348" t="s">
        <v>273</v>
      </c>
      <c r="BB1348" t="s">
        <v>235</v>
      </c>
      <c r="BC1348" t="s">
        <v>229</v>
      </c>
      <c r="BD1348" t="s">
        <v>107</v>
      </c>
      <c r="BI1348" t="s">
        <v>233</v>
      </c>
      <c r="BJ1348" t="s">
        <v>0</v>
      </c>
      <c r="BK1348">
        <v>41987675</v>
      </c>
      <c r="BN1348" t="s">
        <v>104</v>
      </c>
      <c r="BO1348">
        <v>41987681</v>
      </c>
      <c r="BR1348">
        <v>580</v>
      </c>
      <c r="BS1348">
        <v>41987685</v>
      </c>
      <c r="BT1348" s="73">
        <v>45352.576689814814</v>
      </c>
      <c r="BU1348" t="s">
        <v>226</v>
      </c>
      <c r="BV1348" t="s">
        <v>273</v>
      </c>
      <c r="BW1348" t="s">
        <v>235</v>
      </c>
      <c r="CH1348" t="s">
        <v>229</v>
      </c>
      <c r="CI1348" t="s">
        <v>107</v>
      </c>
      <c r="CJ1348" t="s">
        <v>226</v>
      </c>
      <c r="CK1348" t="s">
        <v>273</v>
      </c>
      <c r="CL1348" t="s">
        <v>235</v>
      </c>
      <c r="CM1348" t="s">
        <v>236</v>
      </c>
      <c r="CN1348" t="s">
        <v>104</v>
      </c>
      <c r="CO1348">
        <v>580</v>
      </c>
      <c r="CP1348">
        <v>41987685</v>
      </c>
      <c r="CQ1348" s="73">
        <v>45352.576689814814</v>
      </c>
      <c r="CR1348" t="s">
        <v>229</v>
      </c>
      <c r="CS1348" t="s">
        <v>107</v>
      </c>
      <c r="CU1348" t="s">
        <v>225</v>
      </c>
    </row>
    <row r="1349" spans="1:99">
      <c r="A1349" t="s">
        <v>113</v>
      </c>
      <c r="B1349" t="s">
        <v>90</v>
      </c>
      <c r="J1349" t="s">
        <v>225</v>
      </c>
      <c r="K1349" t="s">
        <v>225</v>
      </c>
      <c r="M1349" s="73">
        <v>45352.256956018522</v>
      </c>
      <c r="N1349">
        <v>42200331</v>
      </c>
      <c r="O1349">
        <v>-300</v>
      </c>
      <c r="P1349" t="s">
        <v>115</v>
      </c>
      <c r="Q1349">
        <v>-300</v>
      </c>
      <c r="R1349" t="s">
        <v>115</v>
      </c>
      <c r="U1349" t="s">
        <v>226</v>
      </c>
      <c r="V1349" t="s">
        <v>269</v>
      </c>
      <c r="W1349" t="s">
        <v>228</v>
      </c>
      <c r="X1349" t="s">
        <v>229</v>
      </c>
      <c r="Y1349" t="s">
        <v>113</v>
      </c>
      <c r="AD1349" t="s">
        <v>115</v>
      </c>
      <c r="AE1349">
        <v>-300</v>
      </c>
      <c r="AF1349">
        <v>42200331</v>
      </c>
      <c r="AG1349" s="73">
        <v>45352.256956018522</v>
      </c>
      <c r="AH1349" t="s">
        <v>226</v>
      </c>
      <c r="AI1349" t="s">
        <v>269</v>
      </c>
      <c r="AJ1349" t="s">
        <v>228</v>
      </c>
      <c r="AK1349" t="s">
        <v>229</v>
      </c>
      <c r="AL1349" t="s">
        <v>113</v>
      </c>
      <c r="AP1349" t="s">
        <v>230</v>
      </c>
      <c r="AQ1349" t="s">
        <v>231</v>
      </c>
      <c r="AT1349" t="s">
        <v>232</v>
      </c>
      <c r="AU1349">
        <v>-99</v>
      </c>
      <c r="AV1349" t="s">
        <v>115</v>
      </c>
      <c r="AW1349">
        <v>-300</v>
      </c>
      <c r="AX1349">
        <v>42200331</v>
      </c>
      <c r="AY1349" s="73">
        <v>45352.256956018522</v>
      </c>
      <c r="AZ1349" t="s">
        <v>226</v>
      </c>
      <c r="BA1349" t="s">
        <v>269</v>
      </c>
      <c r="BB1349" t="s">
        <v>228</v>
      </c>
      <c r="BC1349" t="s">
        <v>229</v>
      </c>
      <c r="BD1349" t="s">
        <v>113</v>
      </c>
      <c r="BI1349" t="s">
        <v>233</v>
      </c>
      <c r="BJ1349" t="s">
        <v>0</v>
      </c>
      <c r="BK1349">
        <v>42200327</v>
      </c>
      <c r="BN1349" t="s">
        <v>115</v>
      </c>
      <c r="BR1349">
        <v>-300</v>
      </c>
      <c r="BS1349">
        <v>42200331</v>
      </c>
      <c r="BT1349" s="73">
        <v>45352.256956018522</v>
      </c>
      <c r="BU1349" t="s">
        <v>226</v>
      </c>
      <c r="BV1349" t="s">
        <v>269</v>
      </c>
      <c r="BW1349" t="s">
        <v>228</v>
      </c>
      <c r="CH1349" t="s">
        <v>229</v>
      </c>
      <c r="CI1349" t="s">
        <v>113</v>
      </c>
      <c r="CJ1349" t="s">
        <v>226</v>
      </c>
      <c r="CK1349" t="s">
        <v>269</v>
      </c>
      <c r="CL1349" t="s">
        <v>228</v>
      </c>
      <c r="CM1349" t="s">
        <v>234</v>
      </c>
      <c r="CN1349" t="s">
        <v>115</v>
      </c>
      <c r="CO1349">
        <v>-300</v>
      </c>
      <c r="CP1349">
        <v>42200331</v>
      </c>
      <c r="CQ1349" s="73">
        <v>45352.256956018522</v>
      </c>
      <c r="CR1349" t="s">
        <v>229</v>
      </c>
      <c r="CS1349" t="s">
        <v>113</v>
      </c>
      <c r="CU1349" t="s">
        <v>225</v>
      </c>
    </row>
    <row r="1350" spans="1:99">
      <c r="A1350" t="s">
        <v>129</v>
      </c>
      <c r="B1350" t="s">
        <v>90</v>
      </c>
      <c r="J1350" t="s">
        <v>225</v>
      </c>
      <c r="K1350" t="s">
        <v>225</v>
      </c>
      <c r="M1350" s="73">
        <v>45352.256956018522</v>
      </c>
      <c r="N1350">
        <v>42200300</v>
      </c>
      <c r="O1350">
        <v>-5.2</v>
      </c>
      <c r="P1350" t="s">
        <v>73</v>
      </c>
      <c r="Q1350">
        <v>-5.2</v>
      </c>
      <c r="R1350" t="s">
        <v>73</v>
      </c>
      <c r="U1350" t="s">
        <v>226</v>
      </c>
      <c r="V1350" t="s">
        <v>269</v>
      </c>
      <c r="W1350" t="s">
        <v>228</v>
      </c>
      <c r="X1350" t="s">
        <v>229</v>
      </c>
      <c r="Y1350" t="s">
        <v>129</v>
      </c>
      <c r="AD1350" t="s">
        <v>73</v>
      </c>
      <c r="AE1350">
        <v>-5.2</v>
      </c>
      <c r="AF1350">
        <v>42200300</v>
      </c>
      <c r="AG1350" s="73">
        <v>45352.256956018522</v>
      </c>
      <c r="AH1350" t="s">
        <v>226</v>
      </c>
      <c r="AI1350" t="s">
        <v>269</v>
      </c>
      <c r="AJ1350" t="s">
        <v>228</v>
      </c>
      <c r="AK1350" t="s">
        <v>229</v>
      </c>
      <c r="AL1350" t="s">
        <v>129</v>
      </c>
      <c r="AP1350" t="s">
        <v>230</v>
      </c>
      <c r="AQ1350" t="s">
        <v>231</v>
      </c>
      <c r="AT1350" t="s">
        <v>232</v>
      </c>
      <c r="AU1350">
        <v>-99</v>
      </c>
      <c r="AV1350" t="s">
        <v>73</v>
      </c>
      <c r="AW1350">
        <v>-5.2</v>
      </c>
      <c r="AX1350">
        <v>42200300</v>
      </c>
      <c r="AY1350" s="73">
        <v>45352.256956018522</v>
      </c>
      <c r="AZ1350" t="s">
        <v>226</v>
      </c>
      <c r="BA1350" t="s">
        <v>269</v>
      </c>
      <c r="BB1350" t="s">
        <v>228</v>
      </c>
      <c r="BC1350" t="s">
        <v>229</v>
      </c>
      <c r="BD1350" t="s">
        <v>129</v>
      </c>
      <c r="BI1350" t="s">
        <v>233</v>
      </c>
      <c r="BJ1350" t="s">
        <v>0</v>
      </c>
      <c r="BK1350">
        <v>42200296</v>
      </c>
      <c r="BN1350" t="s">
        <v>73</v>
      </c>
      <c r="BR1350">
        <v>-5.2</v>
      </c>
      <c r="BS1350">
        <v>42200300</v>
      </c>
      <c r="BT1350" s="73">
        <v>45352.256956018522</v>
      </c>
      <c r="BU1350" t="s">
        <v>226</v>
      </c>
      <c r="BV1350" t="s">
        <v>269</v>
      </c>
      <c r="BW1350" t="s">
        <v>228</v>
      </c>
      <c r="CH1350" t="s">
        <v>229</v>
      </c>
      <c r="CI1350" t="s">
        <v>129</v>
      </c>
      <c r="CJ1350" t="s">
        <v>226</v>
      </c>
      <c r="CK1350" t="s">
        <v>269</v>
      </c>
      <c r="CL1350" t="s">
        <v>228</v>
      </c>
      <c r="CM1350" t="s">
        <v>234</v>
      </c>
      <c r="CN1350" t="s">
        <v>73</v>
      </c>
      <c r="CO1350">
        <v>-5.2</v>
      </c>
      <c r="CP1350">
        <v>42200300</v>
      </c>
      <c r="CQ1350" s="73">
        <v>45352.256956018522</v>
      </c>
      <c r="CR1350" t="s">
        <v>229</v>
      </c>
      <c r="CS1350" t="s">
        <v>129</v>
      </c>
      <c r="CU1350" t="s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A09E1-7CFE-45A0-ACDD-4FD4E7F271AA}">
  <sheetPr codeName="Sheet8">
    <tabColor theme="4" tint="-0.249977111117893"/>
  </sheetPr>
  <dimension ref="A1:H15"/>
  <sheetViews>
    <sheetView workbookViewId="0">
      <selection activeCell="H10" sqref="H10"/>
    </sheetView>
  </sheetViews>
  <sheetFormatPr defaultRowHeight="15"/>
  <cols>
    <col min="1" max="1" width="16.28515625" bestFit="1" customWidth="1"/>
  </cols>
  <sheetData>
    <row r="1" spans="1:8">
      <c r="E1" s="74" t="s">
        <v>274</v>
      </c>
      <c r="F1" s="143" t="s">
        <v>564</v>
      </c>
      <c r="G1" s="74" t="s">
        <v>275</v>
      </c>
      <c r="H1" s="143" t="s">
        <v>232</v>
      </c>
    </row>
    <row r="2" spans="1:8">
      <c r="A2" s="75" t="s">
        <v>42</v>
      </c>
      <c r="B2" s="75" t="str">
        <f>VLOOKUP(A2,'Check ILS'!$A$17:$H$21,8,0)</f>
        <v>BM (2 PLY)</v>
      </c>
      <c r="C2" s="75"/>
      <c r="D2" s="75"/>
      <c r="E2" s="76">
        <f>-SUMIFS('Material Transaction'!$O:$O,'Material Transaction'!$A:$A,'Check Mat Trans'!A2)</f>
        <v>656265</v>
      </c>
      <c r="F2" s="167">
        <f ca="1">[1]Monthly!$D$8+[1]Monthly!$F$8</f>
        <v>656265</v>
      </c>
      <c r="G2">
        <f>-(VLOOKUP($A2,'Check ILS'!$A$8:$G$13,4,0)+VLOOKUP($A2,'Check ILS'!$A$8:$G$13,5,0))</f>
        <v>656265</v>
      </c>
    </row>
    <row r="3" spans="1:8">
      <c r="A3" s="75" t="s">
        <v>46</v>
      </c>
      <c r="B3" s="75" t="str">
        <f>VLOOKUP(A3,'Check ILS'!$A$17:$H$21,8,0)</f>
        <v>Gold (2 PLY)</v>
      </c>
      <c r="C3" s="75"/>
      <c r="D3" s="75"/>
      <c r="E3" s="76">
        <f>-SUMIFS('Material Transaction'!$O:$O,'Material Transaction'!$A:$A,'Check Mat Trans'!A3)</f>
        <v>25896</v>
      </c>
      <c r="F3" s="167">
        <f ca="1">[1]Monthly!$D$11+[1]Monthly!$F$11</f>
        <v>25896</v>
      </c>
      <c r="G3">
        <f>-(VLOOKUP($A3,'Check ILS'!$A$8:$G$13,4,0)+VLOOKUP($A3,'Check ILS'!$A$8:$G$13,5,0))</f>
        <v>25896</v>
      </c>
    </row>
    <row r="4" spans="1:8">
      <c r="A4" s="75" t="s">
        <v>48</v>
      </c>
      <c r="B4" s="75" t="str">
        <f>VLOOKUP(A4,'Check ILS'!$A$17:$H$21,8,0)</f>
        <v>Gold (1 PLY)</v>
      </c>
      <c r="C4" s="75"/>
      <c r="D4" s="75"/>
      <c r="E4" s="76">
        <f>-SUMIFS('Material Transaction'!$O:$O,'Material Transaction'!$A:$A,'Check Mat Trans'!A4)</f>
        <v>2207</v>
      </c>
      <c r="F4" s="167">
        <f ca="1">[1]Monthly!$D$12+[1]Monthly!$F$12</f>
        <v>2207</v>
      </c>
      <c r="G4">
        <f>-(VLOOKUP($A4,'Check ILS'!$A$8:$G$13,4,0)+VLOOKUP($A4,'Check ILS'!$A$8:$G$13,5,0))</f>
        <v>2207</v>
      </c>
    </row>
    <row r="5" spans="1:8">
      <c r="A5" s="75" t="s">
        <v>50</v>
      </c>
      <c r="B5" s="75" t="str">
        <f>VLOOKUP(A5,'Check ILS'!$A$17:$H$21,8,0)</f>
        <v>AM (1 PLY )</v>
      </c>
      <c r="C5" s="75"/>
      <c r="D5" s="75"/>
      <c r="E5" s="76">
        <f>-SUMIFS('Material Transaction'!$O:$O,'Material Transaction'!$A:$A,'Check Mat Trans'!A5)</f>
        <v>488</v>
      </c>
      <c r="F5" s="167">
        <f ca="1">[1]Monthly!$D$10+[1]Monthly!$F$10</f>
        <v>488</v>
      </c>
      <c r="G5">
        <f>-(VLOOKUP($A5,'Check ILS'!$A$8:$G$13,4,0)+VLOOKUP($A5,'Check ILS'!$A$8:$G$13,5,0))</f>
        <v>488</v>
      </c>
    </row>
    <row r="6" spans="1:8">
      <c r="A6" s="75" t="s">
        <v>52</v>
      </c>
      <c r="B6" s="75" t="str">
        <f>VLOOKUP(A6,'Check ILS'!$A$17:$H$21,8,0)</f>
        <v>AM (2 Ply)</v>
      </c>
      <c r="C6" s="75"/>
      <c r="D6" s="75"/>
      <c r="E6" s="76">
        <f>-SUMIFS('Material Transaction'!$O:$O,'Material Transaction'!$A:$A,'Check Mat Trans'!A6)</f>
        <v>119629</v>
      </c>
      <c r="F6" s="167">
        <f ca="1">[1]Monthly!$D$9+[1]Monthly!$F$9</f>
        <v>119629</v>
      </c>
      <c r="G6">
        <f>-(VLOOKUP($A6,'Check ILS'!$A$8:$G$13,4,0)+VLOOKUP($A6,'Check ILS'!$A$8:$G$13,5,0))</f>
        <v>119629</v>
      </c>
    </row>
    <row r="7" spans="1:8">
      <c r="A7" s="77" t="s">
        <v>99</v>
      </c>
      <c r="B7" s="77"/>
      <c r="C7" s="77"/>
      <c r="D7" s="77"/>
      <c r="E7" s="139">
        <f>-SUMIFS('Material Transaction'!$O:$O, 'Material Transaction'!$A:$A, 'Check Mat Trans'!A7, 'Material Transaction'!$O:$O, "&lt;0")</f>
        <v>32784.199999999997</v>
      </c>
      <c r="F7" s="166">
        <f ca="1">[1]Monthly!$D$20</f>
        <v>32784.199999999997</v>
      </c>
      <c r="G7" s="149"/>
    </row>
    <row r="8" spans="1:8">
      <c r="A8" s="77" t="s">
        <v>101</v>
      </c>
      <c r="B8" s="77"/>
      <c r="C8" s="77"/>
      <c r="D8" s="77"/>
      <c r="E8" s="139">
        <f>-SUMIFS('Material Transaction'!$O:$O, 'Material Transaction'!$A:$A, 'Check Mat Trans'!A8, 'Material Transaction'!$O:$O, "&lt;0")</f>
        <v>5998.4500000000007</v>
      </c>
      <c r="F8" s="166">
        <f ca="1">[1]Monthly!$D$21</f>
        <v>5998.45</v>
      </c>
      <c r="G8" s="149"/>
    </row>
    <row r="9" spans="1:8">
      <c r="A9" s="77" t="s">
        <v>93</v>
      </c>
      <c r="B9" s="77"/>
      <c r="C9" s="77"/>
      <c r="D9" s="77"/>
      <c r="E9" s="139">
        <f>-SUMIFS('Material Transaction'!$O:$O, 'Material Transaction'!$A:$A, 'Check Mat Trans'!A9, 'Material Transaction'!$O:$O, "&lt;0")</f>
        <v>1402.8</v>
      </c>
      <c r="F9" s="166">
        <f ca="1">[1]Monthly!$D$22</f>
        <v>1402.8</v>
      </c>
      <c r="G9" s="149"/>
    </row>
    <row r="10" spans="1:8">
      <c r="A10" s="78" t="s">
        <v>103</v>
      </c>
      <c r="B10" s="78"/>
      <c r="C10" s="78"/>
      <c r="D10" s="78"/>
      <c r="E10" s="79">
        <f>SUMIFS('Material Transaction'!$O:$O,'Material Transaction'!$A:$A,'Check Mat Trans'!A10)</f>
        <v>655684</v>
      </c>
      <c r="F10" s="167">
        <f ca="1">[1]Monthly!$D$8</f>
        <v>655684</v>
      </c>
    </row>
    <row r="11" spans="1:8">
      <c r="A11" s="78" t="s">
        <v>107</v>
      </c>
      <c r="B11" s="78"/>
      <c r="C11" s="78"/>
      <c r="D11" s="78"/>
      <c r="E11" s="79">
        <f>SUMIFS('Material Transaction'!$O:$O,'Material Transaction'!$A:$A,'Check Mat Trans'!A11)</f>
        <v>119481</v>
      </c>
      <c r="F11" s="167">
        <f ca="1">[1]Monthly!$D$9</f>
        <v>119481</v>
      </c>
    </row>
    <row r="12" spans="1:8">
      <c r="A12" s="78" t="s">
        <v>110</v>
      </c>
      <c r="B12" s="78"/>
      <c r="C12" s="78"/>
      <c r="D12" s="78"/>
      <c r="E12" s="79">
        <f>SUMIFS('Material Transaction'!$O:$O,'Material Transaction'!$A:$A,'Check Mat Trans'!A12)</f>
        <v>488</v>
      </c>
      <c r="F12" s="167">
        <f ca="1">[1]Monthly!$D$10</f>
        <v>488</v>
      </c>
    </row>
    <row r="13" spans="1:8">
      <c r="A13" s="78" t="s">
        <v>108</v>
      </c>
      <c r="B13" s="78"/>
      <c r="C13" s="78"/>
      <c r="D13" s="78"/>
      <c r="E13" s="79">
        <f>SUMIFS('Material Transaction'!$O:$O,'Material Transaction'!$A:$A,'Check Mat Trans'!A13)</f>
        <v>25856</v>
      </c>
      <c r="F13" s="167">
        <f ca="1">[1]Monthly!$D$11</f>
        <v>25856</v>
      </c>
    </row>
    <row r="14" spans="1:8">
      <c r="A14" s="78" t="s">
        <v>109</v>
      </c>
      <c r="B14" s="78"/>
      <c r="C14" s="78"/>
      <c r="D14" s="78"/>
      <c r="E14" s="79">
        <f>SUMIFS('Material Transaction'!$O:$O,'Material Transaction'!$A:$A,'Check Mat Trans'!A14)</f>
        <v>2200</v>
      </c>
      <c r="F14" s="167">
        <f ca="1">[1]Monthly!$D$12</f>
        <v>2200</v>
      </c>
    </row>
    <row r="15" spans="1:8">
      <c r="A15" s="80" t="s">
        <v>111</v>
      </c>
      <c r="B15" s="80"/>
      <c r="C15" s="80"/>
      <c r="D15" s="80"/>
      <c r="E15" s="81">
        <f>SUMIFS('Material Transaction'!$O:$O,'Material Transaction'!$A:$A,'Check Mat Trans'!A15)</f>
        <v>776</v>
      </c>
      <c r="F15" s="167">
        <f ca="1">[1]Monthly!$F$13</f>
        <v>776</v>
      </c>
    </row>
  </sheetData>
  <phoneticPr fontId="70" type="noConversion"/>
  <conditionalFormatting sqref="F10:F15">
    <cfRule type="expression" dxfId="7" priority="2">
      <formula>IF(F10=E10,TRUE)</formula>
    </cfRule>
  </conditionalFormatting>
  <conditionalFormatting sqref="F2:F9">
    <cfRule type="expression" dxfId="6" priority="1">
      <formula>IF(F2=E2,TRUE)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O50"/>
  <sheetViews>
    <sheetView workbookViewId="0">
      <selection activeCell="D19" sqref="D19"/>
    </sheetView>
  </sheetViews>
  <sheetFormatPr defaultColWidth="9" defaultRowHeight="15"/>
  <cols>
    <col min="1" max="1" width="16.28515625" customWidth="1"/>
    <col min="2" max="2" width="47.28515625" customWidth="1"/>
    <col min="3" max="3" width="19.5703125" customWidth="1"/>
    <col min="4" max="4" width="4.28515625" customWidth="1"/>
    <col min="5" max="5" width="14.140625" customWidth="1"/>
    <col min="6" max="6" width="7" customWidth="1"/>
    <col min="7" max="7" width="3" customWidth="1"/>
    <col min="8" max="8" width="19.28515625" customWidth="1"/>
    <col min="9" max="9" width="18.28515625" customWidth="1"/>
    <col min="10" max="10" width="16.5703125" customWidth="1"/>
    <col min="11" max="11" width="7.5703125" customWidth="1"/>
    <col min="12" max="12" width="9.28515625" customWidth="1"/>
    <col min="13" max="13" width="10.28515625" customWidth="1"/>
    <col min="14" max="14" width="17.42578125" customWidth="1"/>
    <col min="15" max="15" width="13.5703125" customWidth="1"/>
  </cols>
  <sheetData>
    <row r="1" spans="1:15" ht="18" customHeight="1">
      <c r="A1" s="148" t="s">
        <v>0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</row>
    <row r="2" spans="1:15" ht="15" customHeight="1">
      <c r="A2" s="165" t="s">
        <v>1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</row>
    <row r="3" spans="1:15" ht="15" customHeight="1">
      <c r="A3" s="138" t="s">
        <v>151</v>
      </c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</row>
    <row r="4" spans="1:15" ht="15" customHeight="1">
      <c r="A4" s="150" t="s">
        <v>278</v>
      </c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</row>
    <row r="5" spans="1:15" ht="15" customHeight="1">
      <c r="A5" s="150" t="s">
        <v>152</v>
      </c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</row>
    <row r="6" spans="1:15" ht="15" customHeight="1">
      <c r="A6" s="150" t="s">
        <v>279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</row>
    <row r="7" spans="1:15">
      <c r="A7" s="169" t="s">
        <v>165</v>
      </c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</row>
    <row r="8" spans="1:15" ht="15" customHeight="1">
      <c r="A8" s="147" t="s">
        <v>34</v>
      </c>
      <c r="B8" s="147" t="s">
        <v>35</v>
      </c>
      <c r="C8" s="147" t="s">
        <v>153</v>
      </c>
      <c r="D8" s="147" t="s">
        <v>36</v>
      </c>
      <c r="E8" s="147" t="s">
        <v>37</v>
      </c>
      <c r="F8" s="147" t="s">
        <v>154</v>
      </c>
      <c r="G8" s="170" t="s">
        <v>155</v>
      </c>
      <c r="H8" s="147" t="s">
        <v>156</v>
      </c>
      <c r="I8" s="147" t="s">
        <v>38</v>
      </c>
      <c r="J8" s="170" t="s">
        <v>39</v>
      </c>
      <c r="K8" s="147" t="s">
        <v>157</v>
      </c>
      <c r="L8" s="147" t="s">
        <v>158</v>
      </c>
      <c r="M8" s="147" t="s">
        <v>40</v>
      </c>
      <c r="N8" s="147" t="s">
        <v>159</v>
      </c>
      <c r="O8" s="170" t="s">
        <v>41</v>
      </c>
    </row>
    <row r="9" spans="1:15" ht="15" customHeight="1">
      <c r="A9" s="141"/>
      <c r="B9" s="141"/>
      <c r="C9" s="141"/>
      <c r="D9" s="141"/>
      <c r="E9" s="141"/>
      <c r="F9" s="141"/>
      <c r="G9" s="171" t="s">
        <v>160</v>
      </c>
      <c r="H9" s="141"/>
      <c r="I9" s="141"/>
      <c r="J9" s="171" t="s">
        <v>15</v>
      </c>
      <c r="K9" s="141"/>
      <c r="L9" s="141"/>
      <c r="M9" s="141"/>
      <c r="N9" s="141"/>
      <c r="O9" s="171" t="s">
        <v>161</v>
      </c>
    </row>
    <row r="10" spans="1:15">
      <c r="A10" s="172" t="s">
        <v>42</v>
      </c>
      <c r="B10" s="173" t="s">
        <v>43</v>
      </c>
      <c r="C10" s="173" t="s">
        <v>44</v>
      </c>
      <c r="D10" s="174" t="s">
        <v>45</v>
      </c>
      <c r="E10" s="175">
        <v>17312</v>
      </c>
      <c r="F10" s="176">
        <v>22.077999999999999</v>
      </c>
      <c r="G10" s="176">
        <v>0</v>
      </c>
      <c r="H10" s="176">
        <v>0</v>
      </c>
      <c r="I10" s="175">
        <v>1600</v>
      </c>
      <c r="J10" s="175">
        <v>-657865</v>
      </c>
      <c r="K10" s="176">
        <v>0</v>
      </c>
      <c r="L10" s="177">
        <v>0</v>
      </c>
      <c r="M10" s="175">
        <v>694000</v>
      </c>
      <c r="N10" s="176">
        <v>0</v>
      </c>
      <c r="O10" s="175">
        <v>55047</v>
      </c>
    </row>
    <row r="11" spans="1:15">
      <c r="A11" s="172" t="s">
        <v>46</v>
      </c>
      <c r="B11" s="173" t="s">
        <v>47</v>
      </c>
      <c r="C11" s="173" t="s">
        <v>44</v>
      </c>
      <c r="D11" s="174" t="s">
        <v>45</v>
      </c>
      <c r="E11" s="175">
        <v>5266</v>
      </c>
      <c r="F11" s="176">
        <v>21.481000000000002</v>
      </c>
      <c r="G11" s="176">
        <v>0</v>
      </c>
      <c r="H11" s="176">
        <v>0</v>
      </c>
      <c r="I11" s="176">
        <v>611</v>
      </c>
      <c r="J11" s="175">
        <v>-26507</v>
      </c>
      <c r="K11" s="176">
        <v>0</v>
      </c>
      <c r="L11" s="177">
        <v>0</v>
      </c>
      <c r="M11" s="175">
        <v>24000</v>
      </c>
      <c r="N11" s="176">
        <v>0</v>
      </c>
      <c r="O11" s="175">
        <v>3370</v>
      </c>
    </row>
    <row r="12" spans="1:15">
      <c r="A12" s="172" t="s">
        <v>48</v>
      </c>
      <c r="B12" s="173" t="s">
        <v>49</v>
      </c>
      <c r="C12" s="173" t="s">
        <v>44</v>
      </c>
      <c r="D12" s="174" t="s">
        <v>45</v>
      </c>
      <c r="E12" s="175">
        <v>2099</v>
      </c>
      <c r="F12" s="176">
        <v>14.428000000000001</v>
      </c>
      <c r="G12" s="176">
        <v>0</v>
      </c>
      <c r="H12" s="176">
        <v>0</v>
      </c>
      <c r="I12" s="176">
        <v>0</v>
      </c>
      <c r="J12" s="175">
        <v>-2207</v>
      </c>
      <c r="K12" s="176">
        <v>0</v>
      </c>
      <c r="L12" s="177">
        <v>0</v>
      </c>
      <c r="M12" s="175">
        <v>2000</v>
      </c>
      <c r="N12" s="176">
        <v>0</v>
      </c>
      <c r="O12" s="175">
        <v>1892</v>
      </c>
    </row>
    <row r="13" spans="1:15">
      <c r="A13" s="172" t="s">
        <v>50</v>
      </c>
      <c r="B13" s="173" t="s">
        <v>51</v>
      </c>
      <c r="C13" s="173" t="s">
        <v>44</v>
      </c>
      <c r="D13" s="174" t="s">
        <v>45</v>
      </c>
      <c r="E13" s="175">
        <v>2427</v>
      </c>
      <c r="F13" s="176">
        <v>15.326000000000001</v>
      </c>
      <c r="G13" s="176">
        <v>0</v>
      </c>
      <c r="H13" s="176">
        <v>0</v>
      </c>
      <c r="I13" s="176">
        <v>0</v>
      </c>
      <c r="J13" s="176">
        <v>-488</v>
      </c>
      <c r="K13" s="176">
        <v>0</v>
      </c>
      <c r="L13" s="177">
        <v>0</v>
      </c>
      <c r="M13" s="176">
        <v>0</v>
      </c>
      <c r="N13" s="176">
        <v>0</v>
      </c>
      <c r="O13" s="175">
        <v>1939</v>
      </c>
    </row>
    <row r="14" spans="1:15">
      <c r="A14" s="172" t="s">
        <v>52</v>
      </c>
      <c r="B14" s="173" t="s">
        <v>53</v>
      </c>
      <c r="C14" s="173" t="s">
        <v>44</v>
      </c>
      <c r="D14" s="174" t="s">
        <v>45</v>
      </c>
      <c r="E14" s="175">
        <v>6606</v>
      </c>
      <c r="F14" s="176">
        <v>22.222000000000001</v>
      </c>
      <c r="G14" s="176">
        <v>0</v>
      </c>
      <c r="H14" s="176">
        <v>0</v>
      </c>
      <c r="I14" s="175">
        <v>4182</v>
      </c>
      <c r="J14" s="175">
        <v>-123811</v>
      </c>
      <c r="K14" s="176">
        <v>0</v>
      </c>
      <c r="L14" s="177">
        <v>0</v>
      </c>
      <c r="M14" s="175">
        <v>123000</v>
      </c>
      <c r="N14" s="176">
        <v>0</v>
      </c>
      <c r="O14" s="175">
        <v>9977</v>
      </c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</sheetData>
  <mergeCells count="18">
    <mergeCell ref="K8:K9"/>
    <mergeCell ref="L8:L9"/>
    <mergeCell ref="M8:M9"/>
    <mergeCell ref="N8:N9"/>
    <mergeCell ref="A8:A9"/>
    <mergeCell ref="B8:B9"/>
    <mergeCell ref="C8:C9"/>
    <mergeCell ref="D8:D9"/>
    <mergeCell ref="E8:E9"/>
    <mergeCell ref="F8:F9"/>
    <mergeCell ref="A6:O6"/>
    <mergeCell ref="H8:H9"/>
    <mergeCell ref="I8:I9"/>
    <mergeCell ref="A1:O1"/>
    <mergeCell ref="A2:O2"/>
    <mergeCell ref="A3:O3"/>
    <mergeCell ref="A4:O4"/>
    <mergeCell ref="A5:O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-0.249977111117893"/>
  </sheetPr>
  <dimension ref="A5:K21"/>
  <sheetViews>
    <sheetView topLeftCell="A4" workbookViewId="0">
      <selection activeCell="H17" sqref="H17:H21"/>
    </sheetView>
  </sheetViews>
  <sheetFormatPr defaultColWidth="9" defaultRowHeight="15"/>
  <cols>
    <col min="1" max="1" width="16.5703125" customWidth="1"/>
    <col min="2" max="2" width="47.28515625" customWidth="1"/>
    <col min="3" max="3" width="16" customWidth="1"/>
    <col min="4" max="4" width="19.42578125" customWidth="1"/>
    <col min="5" max="5" width="18.28515625" customWidth="1"/>
    <col min="6" max="6" width="11.5703125" customWidth="1"/>
    <col min="7" max="7" width="14.85546875" customWidth="1"/>
    <col min="8" max="8" width="11.42578125" customWidth="1"/>
    <col min="9" max="10" width="10.140625" customWidth="1"/>
  </cols>
  <sheetData>
    <row r="5" spans="1:11">
      <c r="A5" t="s">
        <v>54</v>
      </c>
      <c r="B5" t="s">
        <v>55</v>
      </c>
    </row>
    <row r="6" spans="1:11">
      <c r="A6" s="1">
        <f>(MID('Ledger Summery'!A4,6,9)+0)</f>
        <v>45352</v>
      </c>
      <c r="B6" s="1">
        <f>(RIGHT('Ledger Summery'!A4,9)+0)</f>
        <v>45382</v>
      </c>
      <c r="I6" s="17" t="str">
        <f>A5</f>
        <v>From</v>
      </c>
      <c r="J6" s="17" t="str">
        <f>B5</f>
        <v>To</v>
      </c>
      <c r="K6" s="17"/>
    </row>
    <row r="7" spans="1:11">
      <c r="I7" s="18">
        <f>A6</f>
        <v>45352</v>
      </c>
      <c r="J7" s="18">
        <f>B6</f>
        <v>45382</v>
      </c>
      <c r="K7" s="17"/>
    </row>
    <row r="8" spans="1:11">
      <c r="A8" s="12" t="s">
        <v>34</v>
      </c>
      <c r="B8" s="12" t="s">
        <v>35</v>
      </c>
      <c r="C8" s="12" t="s">
        <v>37</v>
      </c>
      <c r="D8" s="12" t="s">
        <v>38</v>
      </c>
      <c r="E8" s="13" t="s">
        <v>39</v>
      </c>
      <c r="F8" s="12" t="s">
        <v>40</v>
      </c>
      <c r="G8" s="14" t="s">
        <v>41</v>
      </c>
      <c r="I8" s="19" t="s">
        <v>15</v>
      </c>
      <c r="J8" s="19" t="s">
        <v>32</v>
      </c>
      <c r="K8" s="19" t="s">
        <v>56</v>
      </c>
    </row>
    <row r="9" spans="1:11">
      <c r="A9" s="15" t="s">
        <v>42</v>
      </c>
      <c r="B9" s="12" t="str">
        <f>VLOOKUP($A9,'Ledger Summery'!$A$10:$O$26,MATCH(B$8,'Ledger Summery'!$A$8:$O$8,0),0)</f>
        <v>WPP BAG SEVEN RINGS BM (PCC) SSCIL</v>
      </c>
      <c r="C9" s="12">
        <f>VLOOKUP($A9,'Ledger Summery'!$A$10:$O$26,MATCH(C$8,'Ledger Summery'!$A$8:$O$8,0),0)</f>
        <v>17312</v>
      </c>
      <c r="D9" s="12">
        <f>VLOOKUP($A9,'Ledger Summery'!$A$10:$O$26,MATCH(D$8,'Ledger Summery'!$A$8:$O$8,0),0)</f>
        <v>1600</v>
      </c>
      <c r="E9" s="12">
        <f>VLOOKUP($A9,'Ledger Summery'!$A$10:$O$26,MATCH(E$8,'Ledger Summery'!$A$8:$O$8,0),0)</f>
        <v>-657865</v>
      </c>
      <c r="F9" s="12">
        <f>VLOOKUP($A9,'Ledger Summery'!$A$10:$O$26,MATCH(F$8,'Ledger Summery'!$A$8:$O$8,0),0)</f>
        <v>694000</v>
      </c>
      <c r="G9" s="12">
        <f>VLOOKUP($A9,'Ledger Summery'!$A$10:$O$26,MATCH(G$8,'Ledger Summery'!$A$8:$O$8,0),0)</f>
        <v>55047</v>
      </c>
      <c r="I9" s="17">
        <f ca="1">SUM(OFFSET('[1]Monthly Summery'!$AF$6,1,0,$B$6-$A$6+1,1))</f>
        <v>655684</v>
      </c>
      <c r="J9" s="17">
        <f ca="1">SUM(OFFSET('[1]Monthly Summery'!$AU$6,1,0,$B$6-$A$6+1,1))</f>
        <v>581</v>
      </c>
      <c r="K9" s="17">
        <f ca="1">I9+J9</f>
        <v>656265</v>
      </c>
    </row>
    <row r="10" spans="1:11">
      <c r="A10" s="15" t="s">
        <v>52</v>
      </c>
      <c r="B10" s="12" t="str">
        <f>VLOOKUP($A10,'Ledger Summery'!$A$10:$O$26,MATCH(B$8,'Ledger Summery'!$A$8:$O$8,0),0)</f>
        <v>WPP BAG SEVEN RING CEMENT AM SPECIAL SSCIL</v>
      </c>
      <c r="C10" s="12">
        <f>VLOOKUP($A10,'Ledger Summery'!$A$10:$O$26,MATCH(C$8,'Ledger Summery'!$A$8:$O$8,0),0)</f>
        <v>6606</v>
      </c>
      <c r="D10" s="12">
        <f>VLOOKUP($A10,'Ledger Summery'!$A$10:$O$26,MATCH(D$8,'Ledger Summery'!$A$8:$O$8,0),0)</f>
        <v>4182</v>
      </c>
      <c r="E10" s="12">
        <f>VLOOKUP($A10,'Ledger Summery'!$A$10:$O$26,MATCH(E$8,'Ledger Summery'!$A$8:$O$8,0),0)</f>
        <v>-123811</v>
      </c>
      <c r="F10" s="12">
        <f>VLOOKUP($A10,'Ledger Summery'!$A$10:$O$26,MATCH(F$8,'Ledger Summery'!$A$8:$O$8,0),0)</f>
        <v>123000</v>
      </c>
      <c r="G10" s="12">
        <f>VLOOKUP($A10,'Ledger Summery'!$A$10:$O$26,MATCH(G$8,'Ledger Summery'!$A$8:$O$8,0),0)</f>
        <v>9977</v>
      </c>
      <c r="I10" s="17">
        <f ca="1">SUM(OFFSET('[1]Monthly Summery'!$AG$6,1,0,$B$6-$A$6+1,1))</f>
        <v>119481</v>
      </c>
      <c r="J10" s="17">
        <f ca="1">SUM(OFFSET('[1]Monthly Summery'!$AV$6,1,0,$B$6-$A$6+1,1))</f>
        <v>148</v>
      </c>
      <c r="K10" s="17">
        <f t="shared" ref="K10:K13" ca="1" si="0">I10+J10</f>
        <v>119629</v>
      </c>
    </row>
    <row r="11" spans="1:11">
      <c r="A11" s="15" t="s">
        <v>50</v>
      </c>
      <c r="B11" s="12" t="str">
        <f>VLOOKUP($A11,'Ledger Summery'!$A$10:$O$26,MATCH(B$8,'Ledger Summery'!$A$8:$O$8,0),0)</f>
        <v>WPP SR CEMENT (AM) SSCIL 1PLY</v>
      </c>
      <c r="C11" s="12">
        <f>VLOOKUP($A11,'Ledger Summery'!$A$10:$O$26,MATCH(C$8,'Ledger Summery'!$A$8:$O$8,0),0)</f>
        <v>2427</v>
      </c>
      <c r="D11" s="12">
        <f>VLOOKUP($A11,'Ledger Summery'!$A$10:$O$26,MATCH(D$8,'Ledger Summery'!$A$8:$O$8,0),0)</f>
        <v>0</v>
      </c>
      <c r="E11" s="12">
        <f>VLOOKUP($A11,'Ledger Summery'!$A$10:$O$26,MATCH(E$8,'Ledger Summery'!$A$8:$O$8,0),0)</f>
        <v>-488</v>
      </c>
      <c r="F11" s="12">
        <f>VLOOKUP($A11,'Ledger Summery'!$A$10:$O$26,MATCH(F$8,'Ledger Summery'!$A$8:$O$8,0),0)</f>
        <v>0</v>
      </c>
      <c r="G11" s="12">
        <f>VLOOKUP($A11,'Ledger Summery'!$A$10:$O$26,MATCH(G$8,'Ledger Summery'!$A$8:$O$8,0),0)</f>
        <v>1939</v>
      </c>
      <c r="I11" s="17">
        <f ca="1">SUM(OFFSET('[1]Monthly Summery'!$AH$6,1,0,$B$6-$A$6+1,1))+SUM(OFFSET('[1]Monthly Summery'!$AI$6,1,0,$B$6-$A$6+1,1))</f>
        <v>488</v>
      </c>
      <c r="J11" s="17">
        <f ca="1">SUM(OFFSET('[1]Monthly Summery'!$AW$6,1,0,$B$6-$A$6+1,1))+SUM(OFFSET('[1]Monthly Summery'!$AX$6,1,0,$B$6-$A$6+1,1))</f>
        <v>0</v>
      </c>
      <c r="K11" s="17">
        <f t="shared" ca="1" si="0"/>
        <v>488</v>
      </c>
    </row>
    <row r="12" spans="1:11">
      <c r="A12" s="15" t="s">
        <v>46</v>
      </c>
      <c r="B12" s="12" t="str">
        <f>VLOOKUP($A12,'Ledger Summery'!$A$10:$O$26,MATCH(B$8,'Ledger Summery'!$A$8:$O$8,0),0)</f>
        <v>WPP BAG SEVEN RINGS CEMENT - GOLD (OPC) SSCIL</v>
      </c>
      <c r="C12" s="12">
        <f>VLOOKUP($A12,'Ledger Summery'!$A$10:$O$26,MATCH(C$8,'Ledger Summery'!$A$8:$O$8,0),0)</f>
        <v>5266</v>
      </c>
      <c r="D12" s="12">
        <f>VLOOKUP($A12,'Ledger Summery'!$A$10:$O$26,MATCH(D$8,'Ledger Summery'!$A$8:$O$8,0),0)</f>
        <v>611</v>
      </c>
      <c r="E12" s="12">
        <f>VLOOKUP($A12,'Ledger Summery'!$A$10:$O$26,MATCH(E$8,'Ledger Summery'!$A$8:$O$8,0),0)</f>
        <v>-26507</v>
      </c>
      <c r="F12" s="12">
        <f>VLOOKUP($A12,'Ledger Summery'!$A$10:$O$26,MATCH(F$8,'Ledger Summery'!$A$8:$O$8,0),0)</f>
        <v>24000</v>
      </c>
      <c r="G12" s="12">
        <f>VLOOKUP($A12,'Ledger Summery'!$A$10:$O$26,MATCH(G$8,'Ledger Summery'!$A$8:$O$8,0),0)</f>
        <v>3370</v>
      </c>
      <c r="I12" s="17">
        <f ca="1">SUM(OFFSET('[1]Monthly Summery'!$AJ$6,1,0,$B$6-$A$6+1,1))</f>
        <v>25856</v>
      </c>
      <c r="J12" s="17">
        <f ca="1">SUM(OFFSET('[1]Monthly Summery'!$AY$6,1,0,$B$6-$A$6+1,1))</f>
        <v>40</v>
      </c>
      <c r="K12" s="17">
        <f t="shared" ca="1" si="0"/>
        <v>25896</v>
      </c>
    </row>
    <row r="13" spans="1:11">
      <c r="A13" s="15" t="s">
        <v>48</v>
      </c>
      <c r="B13" s="12" t="str">
        <f>VLOOKUP($A13,'Ledger Summery'!$A$10:$O$26,MATCH(B$8,'Ledger Summery'!$A$8:$O$8,0),0)</f>
        <v>WPP SR CEMENT-GOLD(OPC) SSCIL 1PLY</v>
      </c>
      <c r="C13" s="12">
        <f>VLOOKUP($A13,'Ledger Summery'!$A$10:$O$26,MATCH(C$8,'Ledger Summery'!$A$8:$O$8,0),0)</f>
        <v>2099</v>
      </c>
      <c r="D13" s="12">
        <f>VLOOKUP($A13,'Ledger Summery'!$A$10:$O$26,MATCH(D$8,'Ledger Summery'!$A$8:$O$8,0),0)</f>
        <v>0</v>
      </c>
      <c r="E13" s="12">
        <f>VLOOKUP($A13,'Ledger Summery'!$A$10:$O$26,MATCH(E$8,'Ledger Summery'!$A$8:$O$8,0),0)</f>
        <v>-2207</v>
      </c>
      <c r="F13" s="12">
        <f>VLOOKUP($A13,'Ledger Summery'!$A$10:$O$26,MATCH(F$8,'Ledger Summery'!$A$8:$O$8,0),0)</f>
        <v>2000</v>
      </c>
      <c r="G13" s="12">
        <f>VLOOKUP($A13,'Ledger Summery'!$A$10:$O$26,MATCH(G$8,'Ledger Summery'!$A$8:$O$8,0),0)</f>
        <v>1892</v>
      </c>
      <c r="I13" s="17">
        <f ca="1">SUM(OFFSET('[1]Monthly Summery'!$AK$6,1,0,$B$6-$A$6+1,1))+SUM(OFFSET('[1]Monthly Summery'!$AL$6,1,0,$B$6-$A$6+1,1))</f>
        <v>2200</v>
      </c>
      <c r="J13" s="17">
        <f ca="1">SUM(OFFSET('[1]Monthly Summery'!$AZ$6,1,0,$B$6-$A$6+1,1))+SUM(OFFSET('[1]Monthly Summery'!$BA$6,1,0,$B$6-$A$6+1,1))</f>
        <v>7</v>
      </c>
      <c r="K13" s="17">
        <f t="shared" ca="1" si="0"/>
        <v>2207</v>
      </c>
    </row>
    <row r="16" spans="1:11">
      <c r="A16" s="12" t="s">
        <v>34</v>
      </c>
      <c r="B16" s="12" t="s">
        <v>35</v>
      </c>
      <c r="C16" s="12" t="s">
        <v>37</v>
      </c>
      <c r="D16" s="12" t="s">
        <v>38</v>
      </c>
      <c r="E16" s="13" t="s">
        <v>39</v>
      </c>
      <c r="F16" s="12" t="s">
        <v>40</v>
      </c>
      <c r="G16" s="14" t="s">
        <v>41</v>
      </c>
      <c r="H16" s="12" t="s">
        <v>57</v>
      </c>
      <c r="I16" s="20" t="s">
        <v>58</v>
      </c>
      <c r="J16" t="s">
        <v>59</v>
      </c>
    </row>
    <row r="17" spans="1:10">
      <c r="A17" s="15" t="s">
        <v>42</v>
      </c>
      <c r="B17" s="12" t="str">
        <f>VLOOKUP($A17,'Ledger Summery'!$A$10:$O$26,MATCH(B$8,'Ledger Summery'!$A$8:$O$8,0),0)</f>
        <v>WPP BAG SEVEN RINGS BM (PCC) SSCIL</v>
      </c>
      <c r="C17" s="16">
        <f ca="1">VLOOKUP($A$6,'[1]Monthly Summery'!A$6:CB$39,MATCH(H17,'[1]Monthly Summery'!$A$6:$P$6,0),0)+I17</f>
        <v>17312</v>
      </c>
      <c r="D17" s="12"/>
      <c r="E17" s="16">
        <f ca="1">SUM(OFFSET('[1]Monthly Summery'!$AF$6,1,0,$B$6-$A$6+1,1))+SUM(OFFSET('[1]Monthly Summery'!$AU$6,1,0,$B$6-$A$6+1,1))</f>
        <v>656265</v>
      </c>
      <c r="F17" s="16">
        <f ca="1">SUM(OFFSET('[1]Monthly Summery'!$Q$6,1,0,$B$6-$A$6+1,1))</f>
        <v>694000</v>
      </c>
      <c r="G17" s="16">
        <f ca="1">VLOOKUP($B$6,'[1]Monthly Summery'!A$6:CB$39,62,0)+I17</f>
        <v>55047</v>
      </c>
      <c r="H17" s="12" t="s">
        <v>19</v>
      </c>
      <c r="I17">
        <v>-42</v>
      </c>
      <c r="J17">
        <f ca="1">G9-G17</f>
        <v>0</v>
      </c>
    </row>
    <row r="18" spans="1:10">
      <c r="A18" s="15" t="s">
        <v>52</v>
      </c>
      <c r="B18" s="12" t="str">
        <f>VLOOKUP($A18,'Ledger Summery'!$A$10:$O$26,MATCH(B$8,'Ledger Summery'!$A$8:$O$8,0),0)</f>
        <v>WPP BAG SEVEN RING CEMENT AM SPECIAL SSCIL</v>
      </c>
      <c r="C18" s="16">
        <f ca="1">VLOOKUP($A$6,'[1]Monthly Summery'!A$6:CB$39,3,0)</f>
        <v>6606</v>
      </c>
      <c r="D18" s="12"/>
      <c r="E18" s="16">
        <f ca="1">SUM(OFFSET('[1]Monthly Summery'!$AG$6,1,0,$B$6-$A$6+1,1))+SUM(OFFSET('[1]Monthly Summery'!$AV$6,1,0,$B$6-$A$6+1,1))</f>
        <v>119629</v>
      </c>
      <c r="F18" s="16">
        <f ca="1">SUM(OFFSET('[1]Monthly Summery'!$R$6,1,0,$B$6-$A$6+1,1))</f>
        <v>123000</v>
      </c>
      <c r="G18" s="16">
        <f ca="1">VLOOKUP($B$6,'[1]Monthly Summery'!A$6:CB$39,63,0)</f>
        <v>9977</v>
      </c>
      <c r="H18" s="12" t="s">
        <v>20</v>
      </c>
      <c r="J18">
        <f t="shared" ref="J18:J21" ca="1" si="1">G10-G18</f>
        <v>0</v>
      </c>
    </row>
    <row r="19" spans="1:10">
      <c r="A19" s="15" t="s">
        <v>50</v>
      </c>
      <c r="B19" s="12" t="str">
        <f>VLOOKUP($A19,'Ledger Summery'!$A$10:$O$26,MATCH(B$8,'Ledger Summery'!$A$8:$O$8,0),0)</f>
        <v>WPP SR CEMENT (AM) SSCIL 1PLY</v>
      </c>
      <c r="C19" s="16">
        <f ca="1">VLOOKUP($A$6,'[1]Monthly Summery'!A$6:CB$39,4,0)+VLOOKUP($A$6,'[1]Monthly Summery'!A$6:CB$39,5,0)</f>
        <v>2427</v>
      </c>
      <c r="D19" s="12"/>
      <c r="E19" s="16">
        <f ca="1">SUM(OFFSET('[1]Monthly Summery'!$AH$6,1,0,$B$6-$A$6+1,1))+SUM(OFFSET('[1]Monthly Summery'!$AW$6,1,0,$B$6-$A$6+1,1))+SUM(OFFSET('[1]Monthly Summery'!$AI$6,1,0,$B$6-$A$6+1,1))+SUM(OFFSET('[1]Monthly Summery'!$AX$6,1,0,$B$6-$A$6+1,1))</f>
        <v>488</v>
      </c>
      <c r="F19" s="16">
        <f ca="1">SUM(OFFSET('[1]Monthly Summery'!$S$6,1,0,$B$6-$A$6+1,1))+SUM(OFFSET('[1]Monthly Summery'!$T$6,1,0,$B$6-$A$6+1,1))</f>
        <v>0</v>
      </c>
      <c r="G19" s="16">
        <f ca="1">VLOOKUP($B$6,'[1]Monthly Summery'!A$6:CB$39,64,0)+VLOOKUP($B$6,'[1]Monthly Summery'!A$6:CB$39,65,0)</f>
        <v>1939</v>
      </c>
      <c r="H19" s="12" t="s">
        <v>21</v>
      </c>
      <c r="J19">
        <f t="shared" ca="1" si="1"/>
        <v>0</v>
      </c>
    </row>
    <row r="20" spans="1:10">
      <c r="A20" s="15" t="s">
        <v>46</v>
      </c>
      <c r="B20" s="12" t="str">
        <f>VLOOKUP($A20,'Ledger Summery'!$A$10:$O$26,MATCH(B$8,'Ledger Summery'!$A$8:$O$8,0),0)</f>
        <v>WPP BAG SEVEN RINGS CEMENT - GOLD (OPC) SSCIL</v>
      </c>
      <c r="C20" s="16">
        <f ca="1">VLOOKUP($A$6,'[1]Monthly Summery'!A$6:CB$39,MATCH(H20,'[1]Monthly Summery'!$A$6:$P$6,0),0)</f>
        <v>5266</v>
      </c>
      <c r="D20" s="12"/>
      <c r="E20" s="16">
        <f ca="1">SUM(OFFSET('[1]Monthly Summery'!$AJ$6,1,0,$B$6-$A$6+1,1))+SUM(OFFSET('[1]Monthly Summery'!$AY$6,1,0,$B$6-$A$6+1,1))</f>
        <v>25896</v>
      </c>
      <c r="F20" s="16">
        <f ca="1">SUM(OFFSET('[1]Monthly Summery'!$U$6,1,0,$B$6-$A$6+1,1))</f>
        <v>24000</v>
      </c>
      <c r="G20" s="16">
        <f ca="1">VLOOKUP($B$6,'[1]Monthly Summery'!A$6:CB$39,66,0)</f>
        <v>3370</v>
      </c>
      <c r="H20" s="12" t="s">
        <v>23</v>
      </c>
      <c r="J20">
        <f t="shared" ca="1" si="1"/>
        <v>0</v>
      </c>
    </row>
    <row r="21" spans="1:10">
      <c r="A21" s="15" t="s">
        <v>48</v>
      </c>
      <c r="B21" s="12" t="str">
        <f>VLOOKUP($A21,'Ledger Summery'!$A$10:$O$26,MATCH(B$8,'Ledger Summery'!$A$8:$O$8,0),0)</f>
        <v>WPP SR CEMENT-GOLD(OPC) SSCIL 1PLY</v>
      </c>
      <c r="C21" s="16">
        <f ca="1">VLOOKUP($A$6,'[1]Monthly Summery'!A$6:CB$39,7,0)+VLOOKUP($A$6,'[1]Monthly Summery'!A$6:CB$39,8,0)</f>
        <v>2099</v>
      </c>
      <c r="D21" s="12"/>
      <c r="E21" s="16">
        <f ca="1">SUM(OFFSET('[1]Monthly Summery'!$AK$6,1,0,$B$6-$A$6+1,1))+SUM(OFFSET('[1]Monthly Summery'!$AZ$6,1,0,$B$6-$A$6+1,1))+SUM(OFFSET('[1]Monthly Summery'!$AL$6,1,0,$B$6-$A$6+1,1))+SUM(OFFSET('[1]Monthly Summery'!$BA$6,1,0,$B$6-$A$6+1,1))</f>
        <v>2207</v>
      </c>
      <c r="F21" s="16">
        <f ca="1">SUM(OFFSET('[1]Monthly Summery'!$V$6,1,0,$B$6-$A$6+1,1))+SUM(OFFSET('[1]Monthly Summery'!$W$6,1,0,$B$6-$A$6+1,1))</f>
        <v>2000</v>
      </c>
      <c r="G21" s="16">
        <f ca="1">VLOOKUP($B$6,'[1]Monthly Summery'!A$6:CB$39,67,0)+VLOOKUP($B$6,'[1]Monthly Summery'!A$6:CB$39,68,0)</f>
        <v>1892</v>
      </c>
      <c r="H21" s="12" t="s">
        <v>24</v>
      </c>
      <c r="J21">
        <f t="shared" ca="1" si="1"/>
        <v>0</v>
      </c>
    </row>
  </sheetData>
  <conditionalFormatting sqref="C17:C21">
    <cfRule type="expression" dxfId="5" priority="4">
      <formula>$C17-$C9=0</formula>
    </cfRule>
  </conditionalFormatting>
  <conditionalFormatting sqref="D17:D21">
    <cfRule type="expression" dxfId="4" priority="1">
      <formula>D17-D9=0</formula>
    </cfRule>
  </conditionalFormatting>
  <conditionalFormatting sqref="E17:E21">
    <cfRule type="expression" dxfId="3" priority="3">
      <formula>$E17-$E9</formula>
    </cfRule>
  </conditionalFormatting>
  <conditionalFormatting sqref="F17:G21">
    <cfRule type="expression" dxfId="2" priority="2">
      <formula>F17-F9=0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L219"/>
  <sheetViews>
    <sheetView topLeftCell="B1" workbookViewId="0">
      <selection sqref="A1:L44"/>
    </sheetView>
  </sheetViews>
  <sheetFormatPr defaultColWidth="12.140625" defaultRowHeight="15"/>
  <cols>
    <col min="1" max="1" width="19.42578125" hidden="1" customWidth="1"/>
    <col min="2" max="2" width="14.140625" customWidth="1"/>
    <col min="3" max="3" width="39.85546875" customWidth="1"/>
    <col min="4" max="4" width="4.140625" customWidth="1"/>
    <col min="5" max="5" width="23.85546875" customWidth="1"/>
    <col min="6" max="6" width="18.85546875" customWidth="1"/>
    <col min="7" max="7" width="15.140625" customWidth="1"/>
    <col min="8" max="8" width="10.7109375" customWidth="1"/>
    <col min="9" max="9" width="6.140625" customWidth="1"/>
    <col min="10" max="11" width="7.85546875" customWidth="1"/>
    <col min="12" max="12" width="10.85546875" customWidth="1"/>
  </cols>
  <sheetData>
    <row r="1" spans="1:12" ht="15.75" customHeight="1">
      <c r="B1" s="145" t="s">
        <v>0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</row>
    <row r="2" spans="1:12" ht="15" customHeight="1">
      <c r="B2" s="137" t="s">
        <v>1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</row>
    <row r="3" spans="1:12" ht="15" customHeight="1">
      <c r="B3" s="142" t="s">
        <v>60</v>
      </c>
      <c r="C3" s="146"/>
      <c r="D3" s="146"/>
      <c r="E3" s="146"/>
      <c r="F3" s="146"/>
      <c r="G3" s="146"/>
      <c r="H3" s="146"/>
      <c r="I3" s="146"/>
      <c r="J3" s="146"/>
      <c r="K3" s="146"/>
      <c r="L3" s="146"/>
    </row>
    <row r="4" spans="1:12" ht="15" customHeight="1">
      <c r="B4" s="140" t="s">
        <v>276</v>
      </c>
      <c r="C4" s="146"/>
      <c r="D4" s="146"/>
      <c r="E4" s="146"/>
      <c r="F4" s="146"/>
      <c r="G4" s="146"/>
      <c r="H4" s="146"/>
      <c r="I4" s="146"/>
      <c r="J4" s="146"/>
      <c r="K4" s="146"/>
      <c r="L4" s="146"/>
    </row>
    <row r="5" spans="1:12">
      <c r="B5" s="152" t="s">
        <v>61</v>
      </c>
      <c r="C5" s="152" t="s">
        <v>163</v>
      </c>
      <c r="D5" s="151"/>
      <c r="E5" s="151"/>
      <c r="F5" s="151"/>
      <c r="G5" s="151"/>
      <c r="H5" s="151"/>
      <c r="I5" s="151"/>
      <c r="J5" s="151"/>
      <c r="K5" s="151"/>
      <c r="L5" s="151"/>
    </row>
    <row r="6" spans="1:12">
      <c r="B6" s="152" t="s">
        <v>63</v>
      </c>
      <c r="C6" s="152" t="s">
        <v>164</v>
      </c>
      <c r="D6" s="151"/>
      <c r="E6" s="151"/>
      <c r="F6" s="151"/>
      <c r="G6" s="151"/>
      <c r="H6" s="151"/>
      <c r="I6" s="151"/>
      <c r="J6" s="151"/>
      <c r="K6" s="151"/>
      <c r="L6" s="151"/>
    </row>
    <row r="7" spans="1:12" ht="15" customHeight="1">
      <c r="B7" s="144" t="s">
        <v>277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</row>
    <row r="8" spans="1:12">
      <c r="B8" s="153" t="s">
        <v>34</v>
      </c>
      <c r="C8" s="153" t="s">
        <v>35</v>
      </c>
      <c r="D8" s="153" t="s">
        <v>36</v>
      </c>
      <c r="E8" s="153" t="s">
        <v>61</v>
      </c>
      <c r="F8" s="153" t="s">
        <v>65</v>
      </c>
      <c r="G8" s="153" t="s">
        <v>66</v>
      </c>
      <c r="H8" s="153" t="s">
        <v>63</v>
      </c>
      <c r="I8" s="153" t="s">
        <v>67</v>
      </c>
      <c r="J8" s="153" t="s">
        <v>68</v>
      </c>
      <c r="K8" s="153" t="s">
        <v>69</v>
      </c>
      <c r="L8" s="154" t="s">
        <v>70</v>
      </c>
    </row>
    <row r="9" spans="1:12" ht="15" customHeight="1">
      <c r="A9" t="str">
        <f>B9&amp;H9</f>
        <v>SCRP.IDST.0001CI - WAST</v>
      </c>
      <c r="B9" s="156" t="s">
        <v>71</v>
      </c>
      <c r="C9" s="156" t="s">
        <v>72</v>
      </c>
      <c r="D9" s="157" t="s">
        <v>73</v>
      </c>
      <c r="E9" s="156" t="s">
        <v>74</v>
      </c>
      <c r="F9" s="156" t="s">
        <v>75</v>
      </c>
      <c r="G9" s="156" t="s">
        <v>76</v>
      </c>
      <c r="H9" s="156" t="s">
        <v>77</v>
      </c>
      <c r="I9" s="155"/>
      <c r="J9" s="158">
        <v>41.45</v>
      </c>
      <c r="K9" s="158">
        <v>0</v>
      </c>
      <c r="L9" s="159">
        <v>0</v>
      </c>
    </row>
    <row r="10" spans="1:12" ht="24" customHeight="1">
      <c r="A10" t="str">
        <f t="shared" ref="A10:A51" si="0">B10&amp;H10</f>
        <v>SPMC.SHFT.4476</v>
      </c>
      <c r="B10" s="156" t="s">
        <v>78</v>
      </c>
      <c r="C10" s="156" t="s">
        <v>79</v>
      </c>
      <c r="D10" s="157" t="s">
        <v>45</v>
      </c>
      <c r="E10" s="156" t="s">
        <v>80</v>
      </c>
      <c r="F10" s="156" t="s">
        <v>81</v>
      </c>
      <c r="G10" s="156" t="s">
        <v>82</v>
      </c>
      <c r="H10" s="155"/>
      <c r="I10" s="155"/>
      <c r="J10" s="158">
        <v>0</v>
      </c>
      <c r="K10" s="158">
        <v>0</v>
      </c>
      <c r="L10" s="159">
        <v>0</v>
      </c>
    </row>
    <row r="11" spans="1:12">
      <c r="A11" t="str">
        <f t="shared" si="0"/>
        <v>RMTL.CLNK.0001CI - RM</v>
      </c>
      <c r="B11" s="156" t="s">
        <v>127</v>
      </c>
      <c r="C11" s="156" t="s">
        <v>128</v>
      </c>
      <c r="D11" s="157" t="s">
        <v>73</v>
      </c>
      <c r="E11" s="156" t="s">
        <v>85</v>
      </c>
      <c r="F11" s="156" t="s">
        <v>89</v>
      </c>
      <c r="G11" s="156" t="s">
        <v>86</v>
      </c>
      <c r="H11" s="156" t="s">
        <v>90</v>
      </c>
      <c r="I11" s="155"/>
      <c r="J11" s="158">
        <v>5960.2370000000001</v>
      </c>
      <c r="K11" s="160">
        <v>6433.84</v>
      </c>
      <c r="L11" s="161">
        <v>38347186.07</v>
      </c>
    </row>
    <row r="12" spans="1:12">
      <c r="A12" t="str">
        <f t="shared" si="0"/>
        <v>RMTL.FLSH.0001</v>
      </c>
      <c r="B12" s="156" t="s">
        <v>83</v>
      </c>
      <c r="C12" s="156" t="s">
        <v>84</v>
      </c>
      <c r="D12" s="157" t="s">
        <v>73</v>
      </c>
      <c r="E12" s="156" t="s">
        <v>85</v>
      </c>
      <c r="F12" s="156" t="s">
        <v>86</v>
      </c>
      <c r="G12" s="156" t="s">
        <v>86</v>
      </c>
      <c r="H12" s="155"/>
      <c r="I12" s="155"/>
      <c r="J12" s="158">
        <v>0</v>
      </c>
      <c r="K12" s="158">
        <v>0</v>
      </c>
      <c r="L12" s="159">
        <v>0</v>
      </c>
    </row>
    <row r="13" spans="1:12" ht="15" customHeight="1">
      <c r="A13" t="str">
        <f t="shared" si="0"/>
        <v>RMTL.GYPS.0001CI - RM</v>
      </c>
      <c r="B13" s="156" t="s">
        <v>87</v>
      </c>
      <c r="C13" s="156" t="s">
        <v>88</v>
      </c>
      <c r="D13" s="157" t="s">
        <v>73</v>
      </c>
      <c r="E13" s="156" t="s">
        <v>85</v>
      </c>
      <c r="F13" s="156" t="s">
        <v>89</v>
      </c>
      <c r="G13" s="156" t="s">
        <v>86</v>
      </c>
      <c r="H13" s="156" t="s">
        <v>90</v>
      </c>
      <c r="I13" s="155"/>
      <c r="J13" s="158">
        <v>2899.24</v>
      </c>
      <c r="K13" s="160">
        <v>3896.62</v>
      </c>
      <c r="L13" s="161">
        <v>11297247.32</v>
      </c>
    </row>
    <row r="14" spans="1:12" ht="15" customHeight="1">
      <c r="A14" t="str">
        <f t="shared" si="0"/>
        <v>RMTL.LIME.0001CI - RM</v>
      </c>
      <c r="B14" s="156" t="s">
        <v>131</v>
      </c>
      <c r="C14" s="156" t="s">
        <v>132</v>
      </c>
      <c r="D14" s="157" t="s">
        <v>73</v>
      </c>
      <c r="E14" s="156" t="s">
        <v>85</v>
      </c>
      <c r="F14" s="156" t="s">
        <v>89</v>
      </c>
      <c r="G14" s="156" t="s">
        <v>86</v>
      </c>
      <c r="H14" s="156" t="s">
        <v>90</v>
      </c>
      <c r="I14" s="155"/>
      <c r="J14" s="158">
        <v>118.16</v>
      </c>
      <c r="K14" s="160">
        <v>2845.82</v>
      </c>
      <c r="L14" s="161">
        <v>336262.44</v>
      </c>
    </row>
    <row r="15" spans="1:12">
      <c r="A15" t="str">
        <f t="shared" si="0"/>
        <v>RMTL.SLAG.0001CI - RM</v>
      </c>
      <c r="B15" s="156" t="s">
        <v>133</v>
      </c>
      <c r="C15" s="156" t="s">
        <v>134</v>
      </c>
      <c r="D15" s="157" t="s">
        <v>73</v>
      </c>
      <c r="E15" s="156" t="s">
        <v>85</v>
      </c>
      <c r="F15" s="156" t="s">
        <v>89</v>
      </c>
      <c r="G15" s="156" t="s">
        <v>86</v>
      </c>
      <c r="H15" s="156" t="s">
        <v>90</v>
      </c>
      <c r="I15" s="155"/>
      <c r="J15" s="158">
        <v>683.6</v>
      </c>
      <c r="K15" s="160">
        <v>2862.25</v>
      </c>
      <c r="L15" s="161">
        <v>1956637.25</v>
      </c>
    </row>
    <row r="16" spans="1:12" ht="24" customHeight="1">
      <c r="A16" t="str">
        <f t="shared" si="0"/>
        <v>RMTL.POZO.0001</v>
      </c>
      <c r="B16" s="156" t="s">
        <v>135</v>
      </c>
      <c r="C16" s="156" t="s">
        <v>136</v>
      </c>
      <c r="D16" s="157" t="s">
        <v>73</v>
      </c>
      <c r="E16" s="156" t="s">
        <v>85</v>
      </c>
      <c r="F16" s="156" t="s">
        <v>89</v>
      </c>
      <c r="G16" s="156" t="s">
        <v>137</v>
      </c>
      <c r="H16" s="155"/>
      <c r="I16" s="155"/>
      <c r="J16" s="158">
        <v>0</v>
      </c>
      <c r="K16" s="158">
        <v>0</v>
      </c>
      <c r="L16" s="159">
        <v>0</v>
      </c>
    </row>
    <row r="17" spans="1:12" ht="15" customHeight="1">
      <c r="A17" t="str">
        <f t="shared" si="0"/>
        <v>EBAG.CMNT.0243CI - SFLR</v>
      </c>
      <c r="B17" s="156" t="s">
        <v>42</v>
      </c>
      <c r="C17" s="156" t="s">
        <v>43</v>
      </c>
      <c r="D17" s="157" t="s">
        <v>45</v>
      </c>
      <c r="E17" s="156" t="s">
        <v>44</v>
      </c>
      <c r="F17" s="156" t="s">
        <v>44</v>
      </c>
      <c r="G17" s="156" t="s">
        <v>91</v>
      </c>
      <c r="H17" s="156" t="s">
        <v>92</v>
      </c>
      <c r="I17" s="155"/>
      <c r="J17" s="158">
        <v>55047</v>
      </c>
      <c r="K17" s="158">
        <v>22.08</v>
      </c>
      <c r="L17" s="161">
        <v>1215301.24</v>
      </c>
    </row>
    <row r="18" spans="1:12" ht="24" customHeight="1">
      <c r="A18" t="str">
        <f t="shared" si="0"/>
        <v>EBAG.CMNT.0243CI - VAT</v>
      </c>
      <c r="B18" s="156" t="s">
        <v>42</v>
      </c>
      <c r="C18" s="156" t="s">
        <v>43</v>
      </c>
      <c r="D18" s="157" t="s">
        <v>45</v>
      </c>
      <c r="E18" s="156" t="s">
        <v>44</v>
      </c>
      <c r="F18" s="156" t="s">
        <v>44</v>
      </c>
      <c r="G18" s="156" t="s">
        <v>91</v>
      </c>
      <c r="H18" s="156" t="s">
        <v>162</v>
      </c>
      <c r="I18" s="155"/>
      <c r="J18" s="158">
        <v>307</v>
      </c>
      <c r="K18" s="158">
        <v>22.08</v>
      </c>
      <c r="L18" s="161">
        <v>6777.8</v>
      </c>
    </row>
    <row r="19" spans="1:12" ht="24" customHeight="1">
      <c r="A19" t="str">
        <f t="shared" si="0"/>
        <v>EBAG.CMNT.0243CI - RM</v>
      </c>
      <c r="B19" s="156" t="s">
        <v>42</v>
      </c>
      <c r="C19" s="156" t="s">
        <v>43</v>
      </c>
      <c r="D19" s="157" t="s">
        <v>45</v>
      </c>
      <c r="E19" s="156" t="s">
        <v>44</v>
      </c>
      <c r="F19" s="156" t="s">
        <v>44</v>
      </c>
      <c r="G19" s="156" t="s">
        <v>91</v>
      </c>
      <c r="H19" s="156" t="s">
        <v>90</v>
      </c>
      <c r="I19" s="155"/>
      <c r="J19" s="158">
        <v>100093</v>
      </c>
      <c r="K19" s="158">
        <v>22.08</v>
      </c>
      <c r="L19" s="161">
        <v>2209805.21</v>
      </c>
    </row>
    <row r="20" spans="1:12" ht="24" customHeight="1">
      <c r="A20" t="str">
        <f t="shared" si="0"/>
        <v>EBAG.CMNT.0244CI - RM</v>
      </c>
      <c r="B20" s="156" t="s">
        <v>46</v>
      </c>
      <c r="C20" s="156" t="s">
        <v>47</v>
      </c>
      <c r="D20" s="157" t="s">
        <v>45</v>
      </c>
      <c r="E20" s="156" t="s">
        <v>44</v>
      </c>
      <c r="F20" s="156" t="s">
        <v>44</v>
      </c>
      <c r="G20" s="156" t="s">
        <v>91</v>
      </c>
      <c r="H20" s="156" t="s">
        <v>90</v>
      </c>
      <c r="I20" s="155"/>
      <c r="J20" s="158">
        <v>14603</v>
      </c>
      <c r="K20" s="158">
        <v>21.48</v>
      </c>
      <c r="L20" s="161">
        <v>313687.19</v>
      </c>
    </row>
    <row r="21" spans="1:12" ht="24" customHeight="1">
      <c r="A21" t="str">
        <f t="shared" si="0"/>
        <v>EBAG.CMNT.0244CI - SFLR</v>
      </c>
      <c r="B21" s="156" t="s">
        <v>46</v>
      </c>
      <c r="C21" s="156" t="s">
        <v>47</v>
      </c>
      <c r="D21" s="157" t="s">
        <v>45</v>
      </c>
      <c r="E21" s="156" t="s">
        <v>44</v>
      </c>
      <c r="F21" s="156" t="s">
        <v>44</v>
      </c>
      <c r="G21" s="156" t="s">
        <v>91</v>
      </c>
      <c r="H21" s="156" t="s">
        <v>92</v>
      </c>
      <c r="I21" s="155"/>
      <c r="J21" s="158">
        <v>3370</v>
      </c>
      <c r="K21" s="158">
        <v>21.48</v>
      </c>
      <c r="L21" s="161">
        <v>72391</v>
      </c>
    </row>
    <row r="22" spans="1:12" ht="24" customHeight="1">
      <c r="A22" t="str">
        <f t="shared" si="0"/>
        <v>FGCM.BULK.0003CI - FG</v>
      </c>
      <c r="B22" s="156" t="s">
        <v>93</v>
      </c>
      <c r="C22" s="156" t="s">
        <v>94</v>
      </c>
      <c r="D22" s="157" t="s">
        <v>73</v>
      </c>
      <c r="E22" s="156" t="s">
        <v>95</v>
      </c>
      <c r="F22" s="156" t="s">
        <v>96</v>
      </c>
      <c r="G22" s="156" t="s">
        <v>97</v>
      </c>
      <c r="H22" s="156" t="s">
        <v>98</v>
      </c>
      <c r="I22" s="155"/>
      <c r="J22" s="158">
        <v>1022.405</v>
      </c>
      <c r="K22" s="160">
        <v>6412.19</v>
      </c>
      <c r="L22" s="161">
        <v>6555859.8499999996</v>
      </c>
    </row>
    <row r="23" spans="1:12" ht="24" customHeight="1">
      <c r="A23" t="str">
        <f t="shared" si="0"/>
        <v>FGCM.BULK.0001CI - FG</v>
      </c>
      <c r="B23" s="156" t="s">
        <v>99</v>
      </c>
      <c r="C23" s="156" t="s">
        <v>100</v>
      </c>
      <c r="D23" s="157" t="s">
        <v>73</v>
      </c>
      <c r="E23" s="156" t="s">
        <v>95</v>
      </c>
      <c r="F23" s="156" t="s">
        <v>96</v>
      </c>
      <c r="G23" s="156" t="s">
        <v>97</v>
      </c>
      <c r="H23" s="156" t="s">
        <v>98</v>
      </c>
      <c r="I23" s="155"/>
      <c r="J23" s="158">
        <v>5903.5550000000003</v>
      </c>
      <c r="K23" s="160">
        <v>5558.11</v>
      </c>
      <c r="L23" s="161">
        <v>32812614.039999999</v>
      </c>
    </row>
    <row r="24" spans="1:12" ht="24" customHeight="1">
      <c r="A24" t="str">
        <f t="shared" si="0"/>
        <v>FGCM.BULK.0002CI - FG</v>
      </c>
      <c r="B24" s="156" t="s">
        <v>101</v>
      </c>
      <c r="C24" s="156" t="s">
        <v>102</v>
      </c>
      <c r="D24" s="157" t="s">
        <v>73</v>
      </c>
      <c r="E24" s="156" t="s">
        <v>95</v>
      </c>
      <c r="F24" s="156" t="s">
        <v>96</v>
      </c>
      <c r="G24" s="156" t="s">
        <v>97</v>
      </c>
      <c r="H24" s="156" t="s">
        <v>98</v>
      </c>
      <c r="I24" s="155"/>
      <c r="J24" s="158">
        <v>693.77</v>
      </c>
      <c r="K24" s="160">
        <v>5611.9</v>
      </c>
      <c r="L24" s="161">
        <v>3893365.05</v>
      </c>
    </row>
    <row r="25" spans="1:12" ht="24" customHeight="1">
      <c r="A25" t="str">
        <f t="shared" si="0"/>
        <v>FGCM.PCKT.0001CI - FG</v>
      </c>
      <c r="B25" s="156" t="s">
        <v>103</v>
      </c>
      <c r="C25" s="156" t="s">
        <v>9</v>
      </c>
      <c r="D25" s="157" t="s">
        <v>104</v>
      </c>
      <c r="E25" s="156" t="s">
        <v>95</v>
      </c>
      <c r="F25" s="156" t="s">
        <v>105</v>
      </c>
      <c r="G25" s="156" t="s">
        <v>106</v>
      </c>
      <c r="H25" s="156" t="s">
        <v>98</v>
      </c>
      <c r="I25" s="155"/>
      <c r="J25" s="158">
        <v>31699</v>
      </c>
      <c r="K25" s="158">
        <v>300.17</v>
      </c>
      <c r="L25" s="161">
        <v>9515213.0899999999</v>
      </c>
    </row>
    <row r="26" spans="1:12" ht="24" customHeight="1">
      <c r="A26" t="str">
        <f t="shared" si="0"/>
        <v>FGCM.PCKT.0002CI - FG</v>
      </c>
      <c r="B26" s="156" t="s">
        <v>107</v>
      </c>
      <c r="C26" s="156" t="s">
        <v>27</v>
      </c>
      <c r="D26" s="157" t="s">
        <v>104</v>
      </c>
      <c r="E26" s="156" t="s">
        <v>95</v>
      </c>
      <c r="F26" s="156" t="s">
        <v>105</v>
      </c>
      <c r="G26" s="156" t="s">
        <v>106</v>
      </c>
      <c r="H26" s="156" t="s">
        <v>98</v>
      </c>
      <c r="I26" s="155"/>
      <c r="J26" s="158">
        <v>8001</v>
      </c>
      <c r="K26" s="158">
        <v>303.24</v>
      </c>
      <c r="L26" s="161">
        <v>2426262.92</v>
      </c>
    </row>
    <row r="27" spans="1:12" ht="15" customHeight="1">
      <c r="A27" t="str">
        <f t="shared" si="0"/>
        <v>FGCM.PCKT.0003CI - FG</v>
      </c>
      <c r="B27" s="156" t="s">
        <v>108</v>
      </c>
      <c r="C27" s="156" t="s">
        <v>10</v>
      </c>
      <c r="D27" s="157" t="s">
        <v>104</v>
      </c>
      <c r="E27" s="156" t="s">
        <v>95</v>
      </c>
      <c r="F27" s="156" t="s">
        <v>105</v>
      </c>
      <c r="G27" s="156" t="s">
        <v>106</v>
      </c>
      <c r="H27" s="156" t="s">
        <v>98</v>
      </c>
      <c r="I27" s="155"/>
      <c r="J27" s="158">
        <v>8000</v>
      </c>
      <c r="K27" s="158">
        <v>342.02</v>
      </c>
      <c r="L27" s="161">
        <v>2736198.24</v>
      </c>
    </row>
    <row r="28" spans="1:12" ht="15" customHeight="1">
      <c r="A28" t="str">
        <f t="shared" si="0"/>
        <v>FGCM.PCKT.0006CI - FG</v>
      </c>
      <c r="B28" s="156" t="s">
        <v>109</v>
      </c>
      <c r="C28" s="156" t="s">
        <v>29</v>
      </c>
      <c r="D28" s="157" t="s">
        <v>104</v>
      </c>
      <c r="E28" s="156" t="s">
        <v>95</v>
      </c>
      <c r="F28" s="156" t="s">
        <v>105</v>
      </c>
      <c r="G28" s="156" t="s">
        <v>106</v>
      </c>
      <c r="H28" s="156" t="s">
        <v>98</v>
      </c>
      <c r="I28" s="155"/>
      <c r="J28" s="158">
        <v>5000</v>
      </c>
      <c r="K28" s="158">
        <v>334.69</v>
      </c>
      <c r="L28" s="161">
        <v>1673453.45</v>
      </c>
    </row>
    <row r="29" spans="1:12" ht="24" customHeight="1">
      <c r="A29" t="str">
        <f t="shared" si="0"/>
        <v>FGCM.PCKT.0008CI - FG</v>
      </c>
      <c r="B29" s="156" t="s">
        <v>110</v>
      </c>
      <c r="C29" s="156" t="s">
        <v>28</v>
      </c>
      <c r="D29" s="157" t="s">
        <v>104</v>
      </c>
      <c r="E29" s="156" t="s">
        <v>95</v>
      </c>
      <c r="F29" s="156" t="s">
        <v>105</v>
      </c>
      <c r="G29" s="156" t="s">
        <v>106</v>
      </c>
      <c r="H29" s="156" t="s">
        <v>98</v>
      </c>
      <c r="I29" s="155"/>
      <c r="J29" s="158">
        <v>5000</v>
      </c>
      <c r="K29" s="158">
        <v>307.79000000000002</v>
      </c>
      <c r="L29" s="161">
        <v>1538961.3</v>
      </c>
    </row>
    <row r="30" spans="1:12" ht="15" customHeight="1">
      <c r="A30" t="str">
        <f t="shared" si="0"/>
        <v>SCRP.BBAG.0001CI - WAST</v>
      </c>
      <c r="B30" s="156" t="s">
        <v>111</v>
      </c>
      <c r="C30" s="156" t="s">
        <v>14</v>
      </c>
      <c r="D30" s="157" t="s">
        <v>45</v>
      </c>
      <c r="E30" s="156" t="s">
        <v>74</v>
      </c>
      <c r="F30" s="156" t="s">
        <v>75</v>
      </c>
      <c r="G30" s="156" t="s">
        <v>112</v>
      </c>
      <c r="H30" s="156" t="s">
        <v>77</v>
      </c>
      <c r="I30" s="155"/>
      <c r="J30" s="158">
        <v>3607.2</v>
      </c>
      <c r="K30" s="158">
        <v>0</v>
      </c>
      <c r="L30" s="159">
        <v>0</v>
      </c>
    </row>
    <row r="31" spans="1:12" ht="24" customHeight="1">
      <c r="A31" t="str">
        <f t="shared" si="0"/>
        <v>SPEL.PUMP.6032</v>
      </c>
      <c r="B31" s="156" t="s">
        <v>138</v>
      </c>
      <c r="C31" s="156" t="s">
        <v>139</v>
      </c>
      <c r="D31" s="157" t="s">
        <v>45</v>
      </c>
      <c r="E31" s="156" t="s">
        <v>140</v>
      </c>
      <c r="F31" s="156" t="s">
        <v>81</v>
      </c>
      <c r="G31" s="156" t="s">
        <v>141</v>
      </c>
      <c r="H31" s="155"/>
      <c r="I31" s="155"/>
      <c r="J31" s="158">
        <v>0</v>
      </c>
      <c r="K31" s="158">
        <v>0</v>
      </c>
      <c r="L31" s="159">
        <v>0</v>
      </c>
    </row>
    <row r="32" spans="1:12" ht="15" customHeight="1">
      <c r="A32" t="str">
        <f t="shared" si="0"/>
        <v>CNMC.GMDA.0005</v>
      </c>
      <c r="B32" s="156" t="s">
        <v>142</v>
      </c>
      <c r="C32" s="156" t="s">
        <v>143</v>
      </c>
      <c r="D32" s="157" t="s">
        <v>115</v>
      </c>
      <c r="E32" s="156" t="s">
        <v>144</v>
      </c>
      <c r="F32" s="156" t="s">
        <v>145</v>
      </c>
      <c r="G32" s="156" t="s">
        <v>146</v>
      </c>
      <c r="H32" s="155"/>
      <c r="I32" s="155"/>
      <c r="J32" s="158">
        <v>0</v>
      </c>
      <c r="K32" s="158">
        <v>0</v>
      </c>
      <c r="L32" s="159">
        <v>0</v>
      </c>
    </row>
    <row r="33" spans="1:12" ht="24" customHeight="1">
      <c r="A33" t="str">
        <f t="shared" si="0"/>
        <v>CNPD.GMDA.0006CI - RM</v>
      </c>
      <c r="B33" s="156" t="s">
        <v>113</v>
      </c>
      <c r="C33" s="156" t="s">
        <v>114</v>
      </c>
      <c r="D33" s="157" t="s">
        <v>115</v>
      </c>
      <c r="E33" s="156" t="s">
        <v>116</v>
      </c>
      <c r="F33" s="156" t="s">
        <v>116</v>
      </c>
      <c r="G33" s="156" t="s">
        <v>117</v>
      </c>
      <c r="H33" s="156" t="s">
        <v>90</v>
      </c>
      <c r="I33" s="155"/>
      <c r="J33" s="158">
        <v>3703</v>
      </c>
      <c r="K33" s="158">
        <v>173.24</v>
      </c>
      <c r="L33" s="161">
        <v>641511.68000000005</v>
      </c>
    </row>
    <row r="34" spans="1:12" ht="15" customHeight="1">
      <c r="A34" t="str">
        <f t="shared" si="0"/>
        <v>CNFL.DISL.0001CI - RM</v>
      </c>
      <c r="B34" s="156" t="s">
        <v>118</v>
      </c>
      <c r="C34" s="156" t="s">
        <v>119</v>
      </c>
      <c r="D34" s="157" t="s">
        <v>120</v>
      </c>
      <c r="E34" s="156" t="s">
        <v>121</v>
      </c>
      <c r="F34" s="156" t="s">
        <v>122</v>
      </c>
      <c r="G34" s="156" t="s">
        <v>123</v>
      </c>
      <c r="H34" s="156" t="s">
        <v>90</v>
      </c>
      <c r="I34" s="155"/>
      <c r="J34" s="158">
        <v>13102</v>
      </c>
      <c r="K34" s="158">
        <v>106.92</v>
      </c>
      <c r="L34" s="161">
        <v>1400865.32</v>
      </c>
    </row>
    <row r="35" spans="1:12" ht="15" customHeight="1">
      <c r="A35" t="str">
        <f t="shared" si="0"/>
        <v>RMTL.COAL.0001CI - RM</v>
      </c>
      <c r="B35" s="156" t="s">
        <v>129</v>
      </c>
      <c r="C35" s="156" t="s">
        <v>130</v>
      </c>
      <c r="D35" s="157" t="s">
        <v>73</v>
      </c>
      <c r="E35" s="156" t="s">
        <v>121</v>
      </c>
      <c r="F35" s="156" t="s">
        <v>86</v>
      </c>
      <c r="G35" s="156" t="s">
        <v>123</v>
      </c>
      <c r="H35" s="156" t="s">
        <v>90</v>
      </c>
      <c r="I35" s="155"/>
      <c r="J35" s="158">
        <v>625.30999999999995</v>
      </c>
      <c r="K35" s="160">
        <v>18600.73</v>
      </c>
      <c r="L35" s="161">
        <v>11631220.630000001</v>
      </c>
    </row>
    <row r="36" spans="1:12" ht="24" customHeight="1">
      <c r="A36" t="str">
        <f t="shared" si="0"/>
        <v>EBAG.CMNT.0270CI - RM</v>
      </c>
      <c r="B36" s="156" t="s">
        <v>48</v>
      </c>
      <c r="C36" s="156" t="s">
        <v>49</v>
      </c>
      <c r="D36" s="157" t="s">
        <v>45</v>
      </c>
      <c r="E36" s="156" t="s">
        <v>44</v>
      </c>
      <c r="F36" s="156" t="s">
        <v>44</v>
      </c>
      <c r="G36" s="156" t="s">
        <v>124</v>
      </c>
      <c r="H36" s="156" t="s">
        <v>90</v>
      </c>
      <c r="I36" s="155"/>
      <c r="J36" s="158">
        <v>3397</v>
      </c>
      <c r="K36" s="158">
        <v>14.43</v>
      </c>
      <c r="L36" s="161">
        <v>49011.199999999997</v>
      </c>
    </row>
    <row r="37" spans="1:12" ht="24" customHeight="1">
      <c r="A37" t="str">
        <f t="shared" si="0"/>
        <v>EBAG.CMNT.0270CI - SFLR</v>
      </c>
      <c r="B37" s="156" t="s">
        <v>48</v>
      </c>
      <c r="C37" s="156" t="s">
        <v>49</v>
      </c>
      <c r="D37" s="157" t="s">
        <v>45</v>
      </c>
      <c r="E37" s="156" t="s">
        <v>44</v>
      </c>
      <c r="F37" s="156" t="s">
        <v>44</v>
      </c>
      <c r="G37" s="156" t="s">
        <v>124</v>
      </c>
      <c r="H37" s="156" t="s">
        <v>92</v>
      </c>
      <c r="I37" s="155"/>
      <c r="J37" s="158">
        <v>1892</v>
      </c>
      <c r="K37" s="158">
        <v>14.43</v>
      </c>
      <c r="L37" s="161">
        <v>27297.38</v>
      </c>
    </row>
    <row r="38" spans="1:12" ht="24" customHeight="1">
      <c r="A38" t="str">
        <f t="shared" si="0"/>
        <v>EBAG.CMNT.0271</v>
      </c>
      <c r="B38" s="156" t="s">
        <v>125</v>
      </c>
      <c r="C38" s="156" t="s">
        <v>126</v>
      </c>
      <c r="D38" s="157" t="s">
        <v>45</v>
      </c>
      <c r="E38" s="156" t="s">
        <v>44</v>
      </c>
      <c r="F38" s="156" t="s">
        <v>44</v>
      </c>
      <c r="G38" s="156" t="s">
        <v>124</v>
      </c>
      <c r="H38" s="155"/>
      <c r="I38" s="155"/>
      <c r="J38" s="158">
        <v>0</v>
      </c>
      <c r="K38" s="158">
        <v>0</v>
      </c>
      <c r="L38" s="159">
        <v>0</v>
      </c>
    </row>
    <row r="39" spans="1:12" ht="24" customHeight="1">
      <c r="A39" t="str">
        <f t="shared" si="0"/>
        <v>EBAG.CMNT.0296CI - SFLR</v>
      </c>
      <c r="B39" s="156" t="s">
        <v>50</v>
      </c>
      <c r="C39" s="156" t="s">
        <v>51</v>
      </c>
      <c r="D39" s="157" t="s">
        <v>45</v>
      </c>
      <c r="E39" s="156" t="s">
        <v>44</v>
      </c>
      <c r="F39" s="156" t="s">
        <v>44</v>
      </c>
      <c r="G39" s="156" t="s">
        <v>124</v>
      </c>
      <c r="H39" s="156" t="s">
        <v>92</v>
      </c>
      <c r="I39" s="155"/>
      <c r="J39" s="158">
        <v>1939</v>
      </c>
      <c r="K39" s="158">
        <v>15.33</v>
      </c>
      <c r="L39" s="161">
        <v>29718.06</v>
      </c>
    </row>
    <row r="40" spans="1:12" ht="24" customHeight="1">
      <c r="A40" t="str">
        <f t="shared" si="0"/>
        <v>EBAG.CMNT.0296CI - RM</v>
      </c>
      <c r="B40" s="156" t="s">
        <v>50</v>
      </c>
      <c r="C40" s="156" t="s">
        <v>51</v>
      </c>
      <c r="D40" s="157" t="s">
        <v>45</v>
      </c>
      <c r="E40" s="156" t="s">
        <v>44</v>
      </c>
      <c r="F40" s="156" t="s">
        <v>44</v>
      </c>
      <c r="G40" s="156" t="s">
        <v>124</v>
      </c>
      <c r="H40" s="156" t="s">
        <v>90</v>
      </c>
      <c r="I40" s="155"/>
      <c r="J40" s="158">
        <v>2681</v>
      </c>
      <c r="K40" s="158">
        <v>15.33</v>
      </c>
      <c r="L40" s="161">
        <v>41090.32</v>
      </c>
    </row>
    <row r="41" spans="1:12">
      <c r="A41" t="str">
        <f t="shared" si="0"/>
        <v>EBAG.CMNT.0340CI - RM</v>
      </c>
      <c r="B41" s="156" t="s">
        <v>52</v>
      </c>
      <c r="C41" s="156" t="s">
        <v>53</v>
      </c>
      <c r="D41" s="157" t="s">
        <v>45</v>
      </c>
      <c r="E41" s="156" t="s">
        <v>44</v>
      </c>
      <c r="F41" s="156" t="s">
        <v>44</v>
      </c>
      <c r="G41" s="156" t="s">
        <v>124</v>
      </c>
      <c r="H41" s="156" t="s">
        <v>90</v>
      </c>
      <c r="I41" s="155"/>
      <c r="J41" s="158">
        <v>27084</v>
      </c>
      <c r="K41" s="158">
        <v>22.22</v>
      </c>
      <c r="L41" s="161">
        <v>601873.92000000004</v>
      </c>
    </row>
    <row r="42" spans="1:12" ht="24" customHeight="1">
      <c r="A42" t="str">
        <f t="shared" si="0"/>
        <v>EBAG.CMNT.0340CI - SFLR</v>
      </c>
      <c r="B42" s="156" t="s">
        <v>52</v>
      </c>
      <c r="C42" s="156" t="s">
        <v>53</v>
      </c>
      <c r="D42" s="157" t="s">
        <v>45</v>
      </c>
      <c r="E42" s="156" t="s">
        <v>44</v>
      </c>
      <c r="F42" s="156" t="s">
        <v>44</v>
      </c>
      <c r="G42" s="156" t="s">
        <v>124</v>
      </c>
      <c r="H42" s="156" t="s">
        <v>92</v>
      </c>
      <c r="I42" s="155"/>
      <c r="J42" s="158">
        <v>9977</v>
      </c>
      <c r="K42" s="158">
        <v>22.22</v>
      </c>
      <c r="L42" s="161">
        <v>221713.78</v>
      </c>
    </row>
    <row r="43" spans="1:12">
      <c r="A43" t="str">
        <f t="shared" si="0"/>
        <v>EBAG.CMNT.0340CI - VAT</v>
      </c>
      <c r="B43" s="156" t="s">
        <v>52</v>
      </c>
      <c r="C43" s="156" t="s">
        <v>53</v>
      </c>
      <c r="D43" s="157" t="s">
        <v>45</v>
      </c>
      <c r="E43" s="156" t="s">
        <v>44</v>
      </c>
      <c r="F43" s="156" t="s">
        <v>44</v>
      </c>
      <c r="G43" s="156" t="s">
        <v>124</v>
      </c>
      <c r="H43" s="156" t="s">
        <v>162</v>
      </c>
      <c r="I43" s="155"/>
      <c r="J43" s="158">
        <v>28</v>
      </c>
      <c r="K43" s="158">
        <v>22.22</v>
      </c>
      <c r="L43" s="159">
        <v>622.23</v>
      </c>
    </row>
    <row r="44" spans="1:12" ht="23.25">
      <c r="A44" t="str">
        <f t="shared" si="0"/>
        <v/>
      </c>
      <c r="B44" s="162"/>
      <c r="C44" s="162"/>
      <c r="D44" s="162"/>
      <c r="E44" s="162"/>
      <c r="F44" s="162"/>
      <c r="G44" s="162"/>
      <c r="H44" s="162"/>
      <c r="I44" s="162"/>
      <c r="J44" s="163"/>
      <c r="K44" s="154" t="s">
        <v>147</v>
      </c>
      <c r="L44" s="164">
        <v>131552148</v>
      </c>
    </row>
    <row r="45" spans="1:12">
      <c r="A45" t="str">
        <f t="shared" si="0"/>
        <v/>
      </c>
    </row>
    <row r="46" spans="1:12">
      <c r="A46" t="str">
        <f t="shared" si="0"/>
        <v/>
      </c>
    </row>
    <row r="47" spans="1:12">
      <c r="A47" t="str">
        <f t="shared" si="0"/>
        <v/>
      </c>
    </row>
    <row r="48" spans="1:12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s="11" t="str">
        <f t="shared" ref="A52:A72" si="1">B52&amp;H52</f>
        <v/>
      </c>
    </row>
    <row r="53" spans="1:1">
      <c r="A53" s="11" t="str">
        <f t="shared" si="1"/>
        <v/>
      </c>
    </row>
    <row r="54" spans="1:1">
      <c r="A54" s="11" t="str">
        <f t="shared" si="1"/>
        <v/>
      </c>
    </row>
    <row r="55" spans="1:1">
      <c r="A55" s="11" t="str">
        <f t="shared" si="1"/>
        <v/>
      </c>
    </row>
    <row r="56" spans="1:1">
      <c r="A56" s="11" t="str">
        <f t="shared" si="1"/>
        <v/>
      </c>
    </row>
    <row r="57" spans="1:1">
      <c r="A57" s="11" t="str">
        <f t="shared" si="1"/>
        <v/>
      </c>
    </row>
    <row r="58" spans="1:1">
      <c r="A58" s="11" t="str">
        <f t="shared" si="1"/>
        <v/>
      </c>
    </row>
    <row r="59" spans="1:1">
      <c r="A59" s="11" t="str">
        <f t="shared" si="1"/>
        <v/>
      </c>
    </row>
    <row r="60" spans="1:1">
      <c r="A60" s="11" t="str">
        <f t="shared" si="1"/>
        <v/>
      </c>
    </row>
    <row r="61" spans="1:1">
      <c r="A61" s="11" t="str">
        <f t="shared" si="1"/>
        <v/>
      </c>
    </row>
    <row r="62" spans="1:1">
      <c r="A62" s="11" t="str">
        <f t="shared" si="1"/>
        <v/>
      </c>
    </row>
    <row r="63" spans="1:1">
      <c r="A63" s="11" t="str">
        <f t="shared" si="1"/>
        <v/>
      </c>
    </row>
    <row r="64" spans="1:1">
      <c r="A64" s="11" t="str">
        <f t="shared" si="1"/>
        <v/>
      </c>
    </row>
    <row r="65" spans="1:1">
      <c r="A65" s="11" t="str">
        <f t="shared" si="1"/>
        <v/>
      </c>
    </row>
    <row r="66" spans="1:1">
      <c r="A66" s="11" t="str">
        <f t="shared" si="1"/>
        <v/>
      </c>
    </row>
    <row r="67" spans="1:1">
      <c r="A67" s="11" t="str">
        <f t="shared" si="1"/>
        <v/>
      </c>
    </row>
    <row r="68" spans="1:1">
      <c r="A68" s="11" t="str">
        <f t="shared" si="1"/>
        <v/>
      </c>
    </row>
    <row r="69" spans="1:1">
      <c r="A69" s="11" t="str">
        <f t="shared" si="1"/>
        <v/>
      </c>
    </row>
    <row r="70" spans="1:1">
      <c r="A70" s="11" t="str">
        <f t="shared" si="1"/>
        <v/>
      </c>
    </row>
    <row r="71" spans="1:1">
      <c r="A71" s="11" t="str">
        <f t="shared" si="1"/>
        <v/>
      </c>
    </row>
    <row r="72" spans="1:1">
      <c r="A72" s="11" t="str">
        <f t="shared" si="1"/>
        <v/>
      </c>
    </row>
    <row r="73" spans="1:1">
      <c r="A73" s="11" t="str">
        <f t="shared" ref="A73:A136" si="2">B73&amp;H73</f>
        <v/>
      </c>
    </row>
    <row r="74" spans="1:1">
      <c r="A74" s="11" t="str">
        <f t="shared" si="2"/>
        <v/>
      </c>
    </row>
    <row r="75" spans="1:1">
      <c r="A75" s="11" t="str">
        <f t="shared" si="2"/>
        <v/>
      </c>
    </row>
    <row r="76" spans="1:1">
      <c r="A76" s="11" t="str">
        <f t="shared" si="2"/>
        <v/>
      </c>
    </row>
    <row r="77" spans="1:1">
      <c r="A77" s="11" t="str">
        <f t="shared" si="2"/>
        <v/>
      </c>
    </row>
    <row r="78" spans="1:1">
      <c r="A78" s="11" t="str">
        <f t="shared" si="2"/>
        <v/>
      </c>
    </row>
    <row r="79" spans="1:1">
      <c r="A79" s="11" t="str">
        <f t="shared" si="2"/>
        <v/>
      </c>
    </row>
    <row r="80" spans="1:1">
      <c r="A80" s="11" t="str">
        <f t="shared" si="2"/>
        <v/>
      </c>
    </row>
    <row r="81" spans="1:1">
      <c r="A81" s="11" t="str">
        <f t="shared" si="2"/>
        <v/>
      </c>
    </row>
    <row r="82" spans="1:1">
      <c r="A82" s="11" t="str">
        <f t="shared" si="2"/>
        <v/>
      </c>
    </row>
    <row r="83" spans="1:1">
      <c r="A83" s="11" t="str">
        <f t="shared" si="2"/>
        <v/>
      </c>
    </row>
    <row r="84" spans="1:1">
      <c r="A84" s="11" t="str">
        <f t="shared" si="2"/>
        <v/>
      </c>
    </row>
    <row r="85" spans="1:1">
      <c r="A85" s="11" t="str">
        <f t="shared" si="2"/>
        <v/>
      </c>
    </row>
    <row r="86" spans="1:1">
      <c r="A86" s="11" t="str">
        <f t="shared" si="2"/>
        <v/>
      </c>
    </row>
    <row r="87" spans="1:1">
      <c r="A87" s="11" t="str">
        <f t="shared" si="2"/>
        <v/>
      </c>
    </row>
    <row r="88" spans="1:1">
      <c r="A88" s="11" t="str">
        <f t="shared" si="2"/>
        <v/>
      </c>
    </row>
    <row r="89" spans="1:1">
      <c r="A89" s="11" t="str">
        <f t="shared" si="2"/>
        <v/>
      </c>
    </row>
    <row r="90" spans="1:1">
      <c r="A90" s="11" t="str">
        <f t="shared" si="2"/>
        <v/>
      </c>
    </row>
    <row r="91" spans="1:1">
      <c r="A91" s="11" t="str">
        <f t="shared" si="2"/>
        <v/>
      </c>
    </row>
    <row r="92" spans="1:1">
      <c r="A92" s="11" t="str">
        <f t="shared" si="2"/>
        <v/>
      </c>
    </row>
    <row r="93" spans="1:1">
      <c r="A93" s="11" t="str">
        <f t="shared" si="2"/>
        <v/>
      </c>
    </row>
    <row r="94" spans="1:1">
      <c r="A94" s="11" t="str">
        <f t="shared" si="2"/>
        <v/>
      </c>
    </row>
    <row r="95" spans="1:1">
      <c r="A95" s="11" t="str">
        <f t="shared" si="2"/>
        <v/>
      </c>
    </row>
    <row r="96" spans="1:1">
      <c r="A96" s="11" t="str">
        <f t="shared" si="2"/>
        <v/>
      </c>
    </row>
    <row r="97" spans="1:1">
      <c r="A97" s="11" t="str">
        <f t="shared" si="2"/>
        <v/>
      </c>
    </row>
    <row r="98" spans="1:1">
      <c r="A98" s="11" t="str">
        <f t="shared" si="2"/>
        <v/>
      </c>
    </row>
    <row r="99" spans="1:1">
      <c r="A99" s="11" t="str">
        <f t="shared" si="2"/>
        <v/>
      </c>
    </row>
    <row r="100" spans="1:1">
      <c r="A100" s="11" t="str">
        <f t="shared" si="2"/>
        <v/>
      </c>
    </row>
    <row r="101" spans="1:1">
      <c r="A101" s="11" t="str">
        <f t="shared" si="2"/>
        <v/>
      </c>
    </row>
    <row r="102" spans="1:1">
      <c r="A102" s="11" t="str">
        <f t="shared" si="2"/>
        <v/>
      </c>
    </row>
    <row r="103" spans="1:1">
      <c r="A103" s="11" t="str">
        <f t="shared" si="2"/>
        <v/>
      </c>
    </row>
    <row r="104" spans="1:1">
      <c r="A104" s="11" t="str">
        <f t="shared" si="2"/>
        <v/>
      </c>
    </row>
    <row r="105" spans="1:1">
      <c r="A105" s="11" t="str">
        <f t="shared" si="2"/>
        <v/>
      </c>
    </row>
    <row r="106" spans="1:1">
      <c r="A106" s="11" t="str">
        <f t="shared" si="2"/>
        <v/>
      </c>
    </row>
    <row r="107" spans="1:1">
      <c r="A107" s="11" t="str">
        <f t="shared" si="2"/>
        <v/>
      </c>
    </row>
    <row r="108" spans="1:1">
      <c r="A108" s="11" t="str">
        <f t="shared" si="2"/>
        <v/>
      </c>
    </row>
    <row r="109" spans="1:1">
      <c r="A109" s="11" t="str">
        <f t="shared" si="2"/>
        <v/>
      </c>
    </row>
    <row r="110" spans="1:1">
      <c r="A110" s="11" t="str">
        <f t="shared" si="2"/>
        <v/>
      </c>
    </row>
    <row r="111" spans="1:1">
      <c r="A111" s="11" t="str">
        <f t="shared" si="2"/>
        <v/>
      </c>
    </row>
    <row r="112" spans="1:1">
      <c r="A112" s="11" t="str">
        <f t="shared" si="2"/>
        <v/>
      </c>
    </row>
    <row r="113" spans="1:1">
      <c r="A113" s="11" t="str">
        <f t="shared" si="2"/>
        <v/>
      </c>
    </row>
    <row r="114" spans="1:1">
      <c r="A114" s="11" t="str">
        <f t="shared" si="2"/>
        <v/>
      </c>
    </row>
    <row r="115" spans="1:1">
      <c r="A115" s="11" t="str">
        <f t="shared" si="2"/>
        <v/>
      </c>
    </row>
    <row r="116" spans="1:1">
      <c r="A116" s="11" t="str">
        <f t="shared" si="2"/>
        <v/>
      </c>
    </row>
    <row r="117" spans="1:1">
      <c r="A117" s="11" t="str">
        <f t="shared" si="2"/>
        <v/>
      </c>
    </row>
    <row r="118" spans="1:1">
      <c r="A118" s="11" t="str">
        <f t="shared" si="2"/>
        <v/>
      </c>
    </row>
    <row r="119" spans="1:1">
      <c r="A119" t="str">
        <f t="shared" si="2"/>
        <v/>
      </c>
    </row>
    <row r="120" spans="1:1">
      <c r="A120" t="str">
        <f t="shared" si="2"/>
        <v/>
      </c>
    </row>
    <row r="121" spans="1:1">
      <c r="A121" t="str">
        <f t="shared" si="2"/>
        <v/>
      </c>
    </row>
    <row r="122" spans="1:1">
      <c r="A122" t="str">
        <f t="shared" si="2"/>
        <v/>
      </c>
    </row>
    <row r="123" spans="1:1">
      <c r="A123" t="str">
        <f t="shared" si="2"/>
        <v/>
      </c>
    </row>
    <row r="124" spans="1:1">
      <c r="A124" t="str">
        <f t="shared" si="2"/>
        <v/>
      </c>
    </row>
    <row r="125" spans="1:1">
      <c r="A125" t="str">
        <f t="shared" si="2"/>
        <v/>
      </c>
    </row>
    <row r="126" spans="1:1">
      <c r="A126" t="str">
        <f t="shared" si="2"/>
        <v/>
      </c>
    </row>
    <row r="127" spans="1:1">
      <c r="A127" t="str">
        <f t="shared" si="2"/>
        <v/>
      </c>
    </row>
    <row r="128" spans="1: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si="2"/>
        <v/>
      </c>
    </row>
    <row r="137" spans="1:1">
      <c r="A137" t="str">
        <f t="shared" ref="A137:A200" si="3">B137&amp;H137</f>
        <v/>
      </c>
    </row>
    <row r="138" spans="1:1">
      <c r="A138" t="str">
        <f t="shared" si="3"/>
        <v/>
      </c>
    </row>
    <row r="139" spans="1:1">
      <c r="A139" t="str">
        <f t="shared" si="3"/>
        <v/>
      </c>
    </row>
    <row r="140" spans="1:1">
      <c r="A140" t="str">
        <f t="shared" si="3"/>
        <v/>
      </c>
    </row>
    <row r="141" spans="1:1">
      <c r="A141" t="str">
        <f t="shared" si="3"/>
        <v/>
      </c>
    </row>
    <row r="142" spans="1:1">
      <c r="A142" t="str">
        <f t="shared" si="3"/>
        <v/>
      </c>
    </row>
    <row r="143" spans="1:1">
      <c r="A143" t="str">
        <f t="shared" si="3"/>
        <v/>
      </c>
    </row>
    <row r="144" spans="1:1">
      <c r="A144" t="str">
        <f t="shared" si="3"/>
        <v/>
      </c>
    </row>
    <row r="145" spans="1:1">
      <c r="A145" t="str">
        <f t="shared" si="3"/>
        <v/>
      </c>
    </row>
    <row r="146" spans="1:1">
      <c r="A146" t="str">
        <f t="shared" si="3"/>
        <v/>
      </c>
    </row>
    <row r="147" spans="1:1">
      <c r="A147" t="str">
        <f t="shared" si="3"/>
        <v/>
      </c>
    </row>
    <row r="148" spans="1:1">
      <c r="A148" t="str">
        <f t="shared" si="3"/>
        <v/>
      </c>
    </row>
    <row r="149" spans="1:1">
      <c r="A149" t="str">
        <f t="shared" si="3"/>
        <v/>
      </c>
    </row>
    <row r="150" spans="1:1">
      <c r="A150" t="str">
        <f t="shared" si="3"/>
        <v/>
      </c>
    </row>
    <row r="151" spans="1:1">
      <c r="A151" t="str">
        <f t="shared" si="3"/>
        <v/>
      </c>
    </row>
    <row r="152" spans="1:1">
      <c r="A152" t="str">
        <f t="shared" si="3"/>
        <v/>
      </c>
    </row>
    <row r="153" spans="1:1">
      <c r="A153" t="str">
        <f t="shared" si="3"/>
        <v/>
      </c>
    </row>
    <row r="154" spans="1:1">
      <c r="A154" t="str">
        <f t="shared" si="3"/>
        <v/>
      </c>
    </row>
    <row r="155" spans="1:1">
      <c r="A155" t="str">
        <f t="shared" si="3"/>
        <v/>
      </c>
    </row>
    <row r="156" spans="1:1">
      <c r="A156" t="str">
        <f t="shared" si="3"/>
        <v/>
      </c>
    </row>
    <row r="157" spans="1:1">
      <c r="A157" t="str">
        <f t="shared" si="3"/>
        <v/>
      </c>
    </row>
    <row r="158" spans="1:1">
      <c r="A158" t="str">
        <f t="shared" si="3"/>
        <v/>
      </c>
    </row>
    <row r="159" spans="1:1">
      <c r="A159" t="str">
        <f t="shared" si="3"/>
        <v/>
      </c>
    </row>
    <row r="160" spans="1:1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ref="A201:A219" si="4">B201&amp;H201</f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</sheetData>
  <mergeCells count="5">
    <mergeCell ref="B1:L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-0.249977111117893"/>
  </sheetPr>
  <dimension ref="A1:BK102"/>
  <sheetViews>
    <sheetView tabSelected="1" topLeftCell="A4" workbookViewId="0">
      <selection activeCell="J22" sqref="J22"/>
    </sheetView>
  </sheetViews>
  <sheetFormatPr defaultColWidth="9" defaultRowHeight="15"/>
  <cols>
    <col min="1" max="1" width="14.140625" customWidth="1"/>
    <col min="2" max="2" width="39.85546875" customWidth="1"/>
    <col min="3" max="3" width="4.140625" customWidth="1"/>
    <col min="4" max="4" width="17.85546875" customWidth="1"/>
    <col min="5" max="5" width="18.85546875" customWidth="1"/>
    <col min="6" max="6" width="15.140625" customWidth="1"/>
    <col min="7" max="7" width="10.7109375" customWidth="1"/>
    <col min="8" max="8" width="6.140625" customWidth="1"/>
    <col min="9" max="10" width="7.85546875" customWidth="1"/>
    <col min="11" max="12" width="10.85546875" customWidth="1"/>
    <col min="13" max="13" width="10.140625" customWidth="1"/>
  </cols>
  <sheetData>
    <row r="1" spans="1:63" ht="15.75">
      <c r="A1" s="132" t="s">
        <v>0</v>
      </c>
      <c r="B1" s="83"/>
      <c r="C1" s="83"/>
      <c r="D1" s="83"/>
      <c r="E1" s="83"/>
      <c r="F1" s="83"/>
      <c r="G1" s="83"/>
      <c r="H1" s="83"/>
      <c r="I1" s="83"/>
      <c r="J1" s="83"/>
      <c r="K1" s="83"/>
      <c r="BK1">
        <f>COLUMN()</f>
        <v>63</v>
      </c>
    </row>
    <row r="2" spans="1:63">
      <c r="A2" s="133" t="s">
        <v>1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t="str">
        <f>$A15&amp;$L15</f>
        <v>EBAG.CMNT.0340CI - SFLR</v>
      </c>
    </row>
    <row r="3" spans="1:63">
      <c r="A3" s="134" t="s">
        <v>60</v>
      </c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63">
      <c r="A4" s="135" t="s">
        <v>148</v>
      </c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63">
      <c r="A5" s="72" t="s">
        <v>61</v>
      </c>
      <c r="B5" t="s">
        <v>62</v>
      </c>
      <c r="D5" s="1">
        <f>(RIGHT('On Hand Details'!B4,9)+0)</f>
        <v>45377</v>
      </c>
      <c r="H5" t="b">
        <f>IF(A15='On Hand Details'!B42,TRUE,FALSE)</f>
        <v>1</v>
      </c>
    </row>
    <row r="6" spans="1:63">
      <c r="A6" s="72" t="s">
        <v>63</v>
      </c>
      <c r="B6" t="s">
        <v>64</v>
      </c>
    </row>
    <row r="7" spans="1:63">
      <c r="A7" s="136" t="s">
        <v>149</v>
      </c>
      <c r="B7" s="83"/>
      <c r="C7" s="83"/>
      <c r="D7" s="83"/>
      <c r="E7" s="83"/>
      <c r="F7" s="83"/>
      <c r="G7" s="83"/>
      <c r="H7" s="83"/>
      <c r="I7" s="83"/>
      <c r="J7" s="83"/>
      <c r="K7" s="83"/>
    </row>
    <row r="8" spans="1:63">
      <c r="A8" s="2" t="s">
        <v>34</v>
      </c>
      <c r="B8" s="2" t="s">
        <v>35</v>
      </c>
      <c r="C8" s="2" t="s">
        <v>36</v>
      </c>
      <c r="D8" s="2" t="s">
        <v>61</v>
      </c>
      <c r="E8" s="2" t="s">
        <v>65</v>
      </c>
      <c r="F8" s="2" t="s">
        <v>66</v>
      </c>
      <c r="G8" s="2" t="s">
        <v>63</v>
      </c>
      <c r="H8" s="2" t="s">
        <v>67</v>
      </c>
      <c r="I8" s="2" t="s">
        <v>68</v>
      </c>
      <c r="J8" s="2" t="s">
        <v>69</v>
      </c>
      <c r="K8" s="8" t="s">
        <v>70</v>
      </c>
      <c r="L8" s="9" t="s">
        <v>150</v>
      </c>
      <c r="N8" t="str">
        <f>'Check ILS'!I16</f>
        <v>Adjustment</v>
      </c>
    </row>
    <row r="9" spans="1:63">
      <c r="A9" s="3" t="s">
        <v>103</v>
      </c>
      <c r="B9" s="3" t="str">
        <f>IF(A9="","",IFERROR(VLOOKUP($A9&amp;$L9,'On Hand Details'!$A$8:$L$219,COLUMN()+1,0),"Not Found"))</f>
        <v>BAG CEMENT B-M (PCC)</v>
      </c>
      <c r="C9" s="3" t="str">
        <f>IF(B9="","",IFERROR(VLOOKUP($A9&amp;$L9,'On Hand Details'!$A$8:$L$219,COLUMN()+1,0),"Not Found"))</f>
        <v>BAG</v>
      </c>
      <c r="D9" s="3" t="str">
        <f>IF(C9="","",IFERROR(VLOOKUP($A9&amp;$L9,'On Hand Details'!$A$8:$L$219,COLUMN()+1,0),"Not Found"))</f>
        <v>FINISH GOODS</v>
      </c>
      <c r="E9" s="3" t="str">
        <f>IF(D9="","",IFERROR(VLOOKUP($A9&amp;$L9,'On Hand Details'!$A$8:$L$219,COLUMN()+1,0),"Not Found"))</f>
        <v>FINISHED GOODS-DUAL</v>
      </c>
      <c r="F9" s="3" t="str">
        <f>IF(E9="","",IFERROR(VLOOKUP($A9&amp;$L9,'On Hand Details'!$A$8:$L$219,COLUMN()+1,0),"Not Found"))</f>
        <v>BAG CEMENT</v>
      </c>
      <c r="G9" s="3" t="str">
        <f>IF(F9="","",IFERROR(VLOOKUP($A9&amp;$L9,'On Hand Details'!$A$8:$L$219,COLUMN()+1,0),"Not Found"))</f>
        <v>CI - FG</v>
      </c>
      <c r="H9" s="3">
        <f>IF(G9="","",IFERROR(VLOOKUP($A9&amp;$L9,'On Hand Details'!$A$8:$L$219,COLUMN()+1,0),"Not Found"))</f>
        <v>0</v>
      </c>
      <c r="I9" s="3">
        <f>IF(H9="","",IFERROR(VLOOKUP($A9&amp;$L9,'On Hand Details'!$A$8:$L$219,COLUMN()+1,0),"Not Found"))</f>
        <v>31699</v>
      </c>
      <c r="J9" s="3">
        <f>IF(I9="","",IFERROR(VLOOKUP($A9&amp;$L9,'On Hand Details'!$A$8:$L$219,COLUMN()+1,0),"Not Found"))</f>
        <v>300.17</v>
      </c>
      <c r="K9" s="3">
        <f>IF(J9="","",IFERROR(VLOOKUP($A9&amp;$L9,'On Hand Details'!$A$8:$L$219,COLUMN()+1,0),"Not Found"))</f>
        <v>9515213.0899999999</v>
      </c>
      <c r="L9" s="3" t="s">
        <v>98</v>
      </c>
      <c r="M9">
        <v>32199</v>
      </c>
      <c r="N9">
        <f>M9-I9</f>
        <v>500</v>
      </c>
    </row>
    <row r="10" spans="1:63">
      <c r="A10" s="3" t="s">
        <v>107</v>
      </c>
      <c r="B10" s="3" t="str">
        <f>IF(A10="","",IFERROR(VLOOKUP($A10&amp;$L10,'On Hand Details'!$A$8:$L$219,COLUMN()+1,0),"Not Found"))</f>
        <v>BAG CEMENT A-M SPECIAL (PCC)</v>
      </c>
      <c r="C10" s="3" t="str">
        <f>IF(B10="","",IFERROR(VLOOKUP($A10&amp;$L10,'On Hand Details'!$A$8:$L$219,COLUMN()+1,0),"Not Found"))</f>
        <v>BAG</v>
      </c>
      <c r="D10" s="3" t="str">
        <f>IF(C10="","",IFERROR(VLOOKUP($A10&amp;$L10,'On Hand Details'!$A$8:$L$219,COLUMN()+1,0),"Not Found"))</f>
        <v>FINISH GOODS</v>
      </c>
      <c r="E10" s="3" t="str">
        <f>IF(D10="","",IFERROR(VLOOKUP($A10&amp;$L10,'On Hand Details'!$A$8:$L$219,COLUMN()+1,0),"Not Found"))</f>
        <v>FINISHED GOODS-DUAL</v>
      </c>
      <c r="F10" s="3" t="str">
        <f>IF(E10="","",IFERROR(VLOOKUP($A10&amp;$L10,'On Hand Details'!$A$8:$L$219,COLUMN()+1,0),"Not Found"))</f>
        <v>BAG CEMENT</v>
      </c>
      <c r="G10" s="3" t="str">
        <f>IF(F10="","",IFERROR(VLOOKUP($A10&amp;$L10,'On Hand Details'!$A$8:$L$219,COLUMN()+1,0),"Not Found"))</f>
        <v>CI - FG</v>
      </c>
      <c r="H10" s="3">
        <f>IF(G10="","",IFERROR(VLOOKUP($A10&amp;$L10,'On Hand Details'!$A$8:$L$219,COLUMN()+1,0),"Not Found"))</f>
        <v>0</v>
      </c>
      <c r="I10" s="3">
        <f>IF(H10="","",IFERROR(VLOOKUP($A10&amp;$L10,'On Hand Details'!$A$8:$L$219,COLUMN()+1,0),"Not Found"))</f>
        <v>8001</v>
      </c>
      <c r="J10" s="3">
        <f>IF(I10="","",IFERROR(VLOOKUP($A10&amp;$L10,'On Hand Details'!$A$8:$L$219,COLUMN()+1,0),"Not Found"))</f>
        <v>303.24</v>
      </c>
      <c r="K10" s="3">
        <f>IF(J10="","",IFERROR(VLOOKUP($A10&amp;$L10,'On Hand Details'!$A$8:$L$219,COLUMN()+1,0),"Not Found"))</f>
        <v>2426262.92</v>
      </c>
      <c r="L10" s="3" t="s">
        <v>98</v>
      </c>
      <c r="M10">
        <v>8000</v>
      </c>
      <c r="N10">
        <f>M10-I10</f>
        <v>-1</v>
      </c>
    </row>
    <row r="11" spans="1:63">
      <c r="A11" s="3" t="s">
        <v>108</v>
      </c>
      <c r="B11" s="3" t="str">
        <f>IF(A11="","",IFERROR(VLOOKUP($A11&amp;$L11,'On Hand Details'!$A$8:$L$219,COLUMN()+1,0),"Not Found"))</f>
        <v>BAG CEMENT GOLD (OPC)</v>
      </c>
      <c r="C11" s="3" t="str">
        <f>IF(B11="","",IFERROR(VLOOKUP($A11&amp;$L11,'On Hand Details'!$A$8:$L$219,COLUMN()+1,0),"Not Found"))</f>
        <v>BAG</v>
      </c>
      <c r="D11" s="3" t="str">
        <f>IF(C11="","",IFERROR(VLOOKUP($A11&amp;$L11,'On Hand Details'!$A$8:$L$219,COLUMN()+1,0),"Not Found"))</f>
        <v>FINISH GOODS</v>
      </c>
      <c r="E11" s="3" t="str">
        <f>IF(D11="","",IFERROR(VLOOKUP($A11&amp;$L11,'On Hand Details'!$A$8:$L$219,COLUMN()+1,0),"Not Found"))</f>
        <v>FINISHED GOODS-DUAL</v>
      </c>
      <c r="F11" s="3" t="str">
        <f>IF(E11="","",IFERROR(VLOOKUP($A11&amp;$L11,'On Hand Details'!$A$8:$L$219,COLUMN()+1,0),"Not Found"))</f>
        <v>BAG CEMENT</v>
      </c>
      <c r="G11" s="3" t="str">
        <f>IF(F11="","",IFERROR(VLOOKUP($A11&amp;$L11,'On Hand Details'!$A$8:$L$219,COLUMN()+1,0),"Not Found"))</f>
        <v>CI - FG</v>
      </c>
      <c r="H11" s="3">
        <f>IF(G11="","",IFERROR(VLOOKUP($A11&amp;$L11,'On Hand Details'!$A$8:$L$219,COLUMN()+1,0),"Not Found"))</f>
        <v>0</v>
      </c>
      <c r="I11" s="3">
        <f>IF(H11="","",IFERROR(VLOOKUP($A11&amp;$L11,'On Hand Details'!$A$8:$L$219,COLUMN()+1,0),"Not Found"))</f>
        <v>8000</v>
      </c>
      <c r="J11" s="3">
        <f>IF(I11="","",IFERROR(VLOOKUP($A11&amp;$L11,'On Hand Details'!$A$8:$L$219,COLUMN()+1,0),"Not Found"))</f>
        <v>342.02</v>
      </c>
      <c r="K11" s="3">
        <f>IF(J11="","",IFERROR(VLOOKUP($A11&amp;$L11,'On Hand Details'!$A$8:$L$219,COLUMN()+1,0),"Not Found"))</f>
        <v>2736198.24</v>
      </c>
      <c r="L11" s="3" t="s">
        <v>98</v>
      </c>
      <c r="M11">
        <v>8000</v>
      </c>
      <c r="N11">
        <f t="shared" ref="N11:N19" si="0">M11-I11</f>
        <v>0</v>
      </c>
    </row>
    <row r="12" spans="1:63">
      <c r="A12" s="3" t="s">
        <v>109</v>
      </c>
      <c r="B12" s="3" t="str">
        <f>IF(A12="","",IFERROR(VLOOKUP($A12&amp;$L12,'On Hand Details'!$A$8:$L$219,COLUMN()+1,0),"Not Found"))</f>
        <v>BAG CEMENT GOLD (OPC) 1 PLY</v>
      </c>
      <c r="C12" s="3" t="str">
        <f>IF(B12="","",IFERROR(VLOOKUP($A12&amp;$L12,'On Hand Details'!$A$8:$L$219,COLUMN()+1,0),"Not Found"))</f>
        <v>BAG</v>
      </c>
      <c r="D12" s="3" t="str">
        <f>IF(C12="","",IFERROR(VLOOKUP($A12&amp;$L12,'On Hand Details'!$A$8:$L$219,COLUMN()+1,0),"Not Found"))</f>
        <v>FINISH GOODS</v>
      </c>
      <c r="E12" s="3" t="str">
        <f>IF(D12="","",IFERROR(VLOOKUP($A12&amp;$L12,'On Hand Details'!$A$8:$L$219,COLUMN()+1,0),"Not Found"))</f>
        <v>FINISHED GOODS-DUAL</v>
      </c>
      <c r="F12" s="3" t="str">
        <f>IF(E12="","",IFERROR(VLOOKUP($A12&amp;$L12,'On Hand Details'!$A$8:$L$219,COLUMN()+1,0),"Not Found"))</f>
        <v>BAG CEMENT</v>
      </c>
      <c r="G12" s="3" t="str">
        <f>IF(F12="","",IFERROR(VLOOKUP($A12&amp;$L12,'On Hand Details'!$A$8:$L$219,COLUMN()+1,0),"Not Found"))</f>
        <v>CI - FG</v>
      </c>
      <c r="H12" s="3">
        <f>IF(G12="","",IFERROR(VLOOKUP($A12&amp;$L12,'On Hand Details'!$A$8:$L$219,COLUMN()+1,0),"Not Found"))</f>
        <v>0</v>
      </c>
      <c r="I12" s="3">
        <f>IF(H12="","",IFERROR(VLOOKUP($A12&amp;$L12,'On Hand Details'!$A$8:$L$219,COLUMN()+1,0),"Not Found"))</f>
        <v>5000</v>
      </c>
      <c r="J12" s="3">
        <f>IF(I12="","",IFERROR(VLOOKUP($A12&amp;$L12,'On Hand Details'!$A$8:$L$219,COLUMN()+1,0),"Not Found"))</f>
        <v>334.69</v>
      </c>
      <c r="K12" s="3">
        <f>IF(J12="","",IFERROR(VLOOKUP($A12&amp;$L12,'On Hand Details'!$A$8:$L$219,COLUMN()+1,0),"Not Found"))</f>
        <v>1673453.45</v>
      </c>
      <c r="L12" s="3" t="s">
        <v>98</v>
      </c>
      <c r="M12">
        <v>5000</v>
      </c>
      <c r="N12">
        <f t="shared" si="0"/>
        <v>0</v>
      </c>
    </row>
    <row r="13" spans="1:63">
      <c r="A13" s="3" t="s">
        <v>110</v>
      </c>
      <c r="B13" s="3" t="str">
        <f>IF(A13="","",IFERROR(VLOOKUP($A13&amp;$L13,'On Hand Details'!$A$8:$L$219,COLUMN()+1,0),"Not Found"))</f>
        <v>BAG CEMENT A-M (SPECIAL) PCC 1 PLY</v>
      </c>
      <c r="C13" s="3" t="str">
        <f>IF(B13="","",IFERROR(VLOOKUP($A13&amp;$L13,'On Hand Details'!$A$8:$L$219,COLUMN()+1,0),"Not Found"))</f>
        <v>BAG</v>
      </c>
      <c r="D13" s="3" t="str">
        <f>IF(C13="","",IFERROR(VLOOKUP($A13&amp;$L13,'On Hand Details'!$A$8:$L$219,COLUMN()+1,0),"Not Found"))</f>
        <v>FINISH GOODS</v>
      </c>
      <c r="E13" s="3" t="str">
        <f>IF(D13="","",IFERROR(VLOOKUP($A13&amp;$L13,'On Hand Details'!$A$8:$L$219,COLUMN()+1,0),"Not Found"))</f>
        <v>FINISHED GOODS-DUAL</v>
      </c>
      <c r="F13" s="3" t="str">
        <f>IF(E13="","",IFERROR(VLOOKUP($A13&amp;$L13,'On Hand Details'!$A$8:$L$219,COLUMN()+1,0),"Not Found"))</f>
        <v>BAG CEMENT</v>
      </c>
      <c r="G13" s="3" t="str">
        <f>IF(F13="","",IFERROR(VLOOKUP($A13&amp;$L13,'On Hand Details'!$A$8:$L$219,COLUMN()+1,0),"Not Found"))</f>
        <v>CI - FG</v>
      </c>
      <c r="H13" s="3">
        <f>IF(G13="","",IFERROR(VLOOKUP($A13&amp;$L13,'On Hand Details'!$A$8:$L$219,COLUMN()+1,0),"Not Found"))</f>
        <v>0</v>
      </c>
      <c r="I13" s="3">
        <f>IF(H13="","",IFERROR(VLOOKUP($A13&amp;$L13,'On Hand Details'!$A$8:$L$219,COLUMN()+1,0),"Not Found"))</f>
        <v>5000</v>
      </c>
      <c r="J13" s="3">
        <f>IF(I13="","",IFERROR(VLOOKUP($A13&amp;$L13,'On Hand Details'!$A$8:$L$219,COLUMN()+1,0),"Not Found"))</f>
        <v>307.79000000000002</v>
      </c>
      <c r="K13" s="3">
        <f>IF(J13="","",IFERROR(VLOOKUP($A13&amp;$L13,'On Hand Details'!$A$8:$L$219,COLUMN()+1,0),"Not Found"))</f>
        <v>1538961.3</v>
      </c>
      <c r="L13" s="3" t="s">
        <v>98</v>
      </c>
      <c r="M13">
        <v>5000</v>
      </c>
      <c r="N13">
        <f t="shared" si="0"/>
        <v>0</v>
      </c>
    </row>
    <row r="14" spans="1:63">
      <c r="A14" s="4" t="s">
        <v>42</v>
      </c>
      <c r="B14" s="4" t="str">
        <f>IF(A14="","",IFERROR(VLOOKUP($A14&amp;$L14,'On Hand Details'!$A$8:$L$219,COLUMN()+1,0),"Not Found"))</f>
        <v>WPP BAG SEVEN RINGS BM (PCC) SSCIL</v>
      </c>
      <c r="C14" s="4" t="str">
        <f>IF(B14="","",IFERROR(VLOOKUP($A14&amp;$L14,'On Hand Details'!$A$8:$L$219,COLUMN()+1,0),"Not Found"))</f>
        <v>PCS</v>
      </c>
      <c r="D14" s="4" t="str">
        <f>IF(C14="","",IFERROR(VLOOKUP($A14&amp;$L14,'On Hand Details'!$A$8:$L$219,COLUMN()+1,0),"Not Found"))</f>
        <v>PACKING MATERIALS</v>
      </c>
      <c r="E14" s="4" t="str">
        <f>IF(D14="","",IFERROR(VLOOKUP($A14&amp;$L14,'On Hand Details'!$A$8:$L$219,COLUMN()+1,0),"Not Found"))</f>
        <v>PACKING MATERIALS</v>
      </c>
      <c r="F14" s="4" t="str">
        <f>IF(E14="","",IFERROR(VLOOKUP($A14&amp;$L14,'On Hand Details'!$A$8:$L$219,COLUMN()+1,0),"Not Found"))</f>
        <v>SR BRAND</v>
      </c>
      <c r="G14" s="4" t="str">
        <f>IF(F14="","",IFERROR(VLOOKUP($A14&amp;$L14,'On Hand Details'!$A$8:$L$219,COLUMN()+1,0),"Not Found"))</f>
        <v>CI - SFLR</v>
      </c>
      <c r="H14" s="4">
        <f>IF(G14="","",IFERROR(VLOOKUP($A14&amp;$L14,'On Hand Details'!$A$8:$L$219,COLUMN()+1,0),"Not Found"))</f>
        <v>0</v>
      </c>
      <c r="I14" s="4">
        <f>IF(H14="","",IFERROR(VLOOKUP($A14&amp;$L14,'On Hand Details'!$A$8:$L$219,COLUMN()+1,0),"Not Found"))</f>
        <v>55047</v>
      </c>
      <c r="J14" s="4">
        <f>IF(I14="","",IFERROR(VLOOKUP($A14&amp;$L14,'On Hand Details'!$A$8:$L$219,COLUMN()+1,0),"Not Found"))</f>
        <v>22.08</v>
      </c>
      <c r="K14" s="4">
        <f>IF(J14="","",IFERROR(VLOOKUP($A14&amp;$L14,'On Hand Details'!$A$8:$L$219,COLUMN()+1,0),"Not Found"))</f>
        <v>1215301.24</v>
      </c>
      <c r="L14" s="4" t="s">
        <v>92</v>
      </c>
      <c r="M14">
        <f ca="1">VLOOKUP($D$5,'[1]Monthly Summery'!$A$6:$BX$37,62,0)</f>
        <v>55089</v>
      </c>
      <c r="N14">
        <f t="shared" ca="1" si="0"/>
        <v>42</v>
      </c>
    </row>
    <row r="15" spans="1:63">
      <c r="A15" s="4" t="s">
        <v>52</v>
      </c>
      <c r="B15" s="4" t="str">
        <f>IF(A15="","",IFERROR(VLOOKUP($A15&amp;$L15,'On Hand Details'!$A$8:$L$219,COLUMN()+1,0),"Not Found"))</f>
        <v>WPP BAG SEVEN RING CEMENT AM SPECIAL SSCIL</v>
      </c>
      <c r="C15" s="4" t="str">
        <f>IF(B15="","",IFERROR(VLOOKUP($A15&amp;$L15,'On Hand Details'!$A$8:$L$219,COLUMN()+1,0),"Not Found"))</f>
        <v>PCS</v>
      </c>
      <c r="D15" s="4" t="str">
        <f>IF(C15="","",IFERROR(VLOOKUP($A15&amp;$L15,'On Hand Details'!$A$8:$L$219,COLUMN()+1,0),"Not Found"))</f>
        <v>PACKING MATERIALS</v>
      </c>
      <c r="E15" s="4" t="str">
        <f>IF(D15="","",IFERROR(VLOOKUP($A15&amp;$L15,'On Hand Details'!$A$8:$L$219,COLUMN()+1,0),"Not Found"))</f>
        <v>PACKING MATERIALS</v>
      </c>
      <c r="F15" s="4" t="str">
        <f>IF(E15="","",IFERROR(VLOOKUP($A15&amp;$L15,'On Hand Details'!$A$8:$L$219,COLUMN()+1,0),"Not Found"))</f>
        <v>EMPTY BAG</v>
      </c>
      <c r="G15" s="4" t="str">
        <f>IF(F15="","",IFERROR(VLOOKUP($A15&amp;$L15,'On Hand Details'!$A$8:$L$219,COLUMN()+1,0),"Not Found"))</f>
        <v>CI - SFLR</v>
      </c>
      <c r="H15" s="4">
        <f>IF(G15="","",IFERROR(VLOOKUP($A15&amp;$L15,'On Hand Details'!$A$8:$L$219,COLUMN()+1,0),"Not Found"))</f>
        <v>0</v>
      </c>
      <c r="I15" s="4">
        <f>IF(H15="","",IFERROR(VLOOKUP($A15&amp;$L15,'On Hand Details'!$A$8:$L$219,COLUMN()+1,0),"Not Found"))</f>
        <v>9977</v>
      </c>
      <c r="J15" s="4">
        <f>IF(I15="","",IFERROR(VLOOKUP($A15&amp;$L15,'On Hand Details'!$A$8:$L$219,COLUMN()+1,0),"Not Found"))</f>
        <v>22.22</v>
      </c>
      <c r="K15" s="4">
        <f>IF(J15="","",IFERROR(VLOOKUP($A15&amp;$L15,'On Hand Details'!$A$8:$L$219,COLUMN()+1,0),"Not Found"))</f>
        <v>221713.78</v>
      </c>
      <c r="L15" s="4" t="s">
        <v>92</v>
      </c>
      <c r="M15">
        <f ca="1">VLOOKUP($D$5,'[1]Monthly Summery'!A$6:CB$39,63,0)</f>
        <v>9977</v>
      </c>
      <c r="N15">
        <f t="shared" ca="1" si="0"/>
        <v>0</v>
      </c>
    </row>
    <row r="16" spans="1:63">
      <c r="A16" s="4" t="s">
        <v>50</v>
      </c>
      <c r="B16" s="4" t="str">
        <f>IF(A16="","",IFERROR(VLOOKUP($A16&amp;$L16,'On Hand Details'!$A$8:$L$219,COLUMN()+1,0),"Not Found"))</f>
        <v>WPP SR CEMENT (AM) SSCIL 1PLY</v>
      </c>
      <c r="C16" s="4" t="str">
        <f>IF(B16="","",IFERROR(VLOOKUP($A16&amp;$L16,'On Hand Details'!$A$8:$L$219,COLUMN()+1,0),"Not Found"))</f>
        <v>PCS</v>
      </c>
      <c r="D16" s="4" t="str">
        <f>IF(C16="","",IFERROR(VLOOKUP($A16&amp;$L16,'On Hand Details'!$A$8:$L$219,COLUMN()+1,0),"Not Found"))</f>
        <v>PACKING MATERIALS</v>
      </c>
      <c r="E16" s="4" t="str">
        <f>IF(D16="","",IFERROR(VLOOKUP($A16&amp;$L16,'On Hand Details'!$A$8:$L$219,COLUMN()+1,0),"Not Found"))</f>
        <v>PACKING MATERIALS</v>
      </c>
      <c r="F16" s="4" t="str">
        <f>IF(E16="","",IFERROR(VLOOKUP($A16&amp;$L16,'On Hand Details'!$A$8:$L$219,COLUMN()+1,0),"Not Found"))</f>
        <v>EMPTY BAG</v>
      </c>
      <c r="G16" s="4" t="str">
        <f>IF(F16="","",IFERROR(VLOOKUP($A16&amp;$L16,'On Hand Details'!$A$8:$L$219,COLUMN()+1,0),"Not Found"))</f>
        <v>CI - SFLR</v>
      </c>
      <c r="H16" s="4">
        <f>IF(G16="","",IFERROR(VLOOKUP($A16&amp;$L16,'On Hand Details'!$A$8:$L$219,COLUMN()+1,0),"Not Found"))</f>
        <v>0</v>
      </c>
      <c r="I16" s="4">
        <f>IF(H16="","",IFERROR(VLOOKUP($A16&amp;$L16,'On Hand Details'!$A$8:$L$219,COLUMN()+1,0),"Not Found"))</f>
        <v>1939</v>
      </c>
      <c r="J16" s="4">
        <f>IF(I16="","",IFERROR(VLOOKUP($A16&amp;$L16,'On Hand Details'!$A$8:$L$219,COLUMN()+1,0),"Not Found"))</f>
        <v>15.33</v>
      </c>
      <c r="K16" s="4">
        <f>IF(J16="","",IFERROR(VLOOKUP($A16&amp;$L16,'On Hand Details'!$A$8:$L$219,COLUMN()+1,0),"Not Found"))</f>
        <v>29718.06</v>
      </c>
      <c r="L16" s="4" t="s">
        <v>92</v>
      </c>
      <c r="M16">
        <f ca="1">VLOOKUP($D$5,'[1]Monthly Summery'!A$6:CB$39,64,0)+VLOOKUP($D$5,'[1]Monthly Summery'!A$6:CB$39,65,0)</f>
        <v>1939</v>
      </c>
      <c r="N16">
        <f t="shared" ca="1" si="0"/>
        <v>0</v>
      </c>
    </row>
    <row r="17" spans="1:14">
      <c r="A17" s="4" t="s">
        <v>46</v>
      </c>
      <c r="B17" s="4" t="str">
        <f>IF(A17="","",IFERROR(VLOOKUP($A17&amp;$L17,'On Hand Details'!$A$8:$L$219,COLUMN()+1,0),"Not Found"))</f>
        <v>WPP BAG SEVEN RINGS CEMENT - GOLD (OPC) SSCIL</v>
      </c>
      <c r="C17" s="4" t="str">
        <f>IF(B17="","",IFERROR(VLOOKUP($A17&amp;$L17,'On Hand Details'!$A$8:$L$219,COLUMN()+1,0),"Not Found"))</f>
        <v>PCS</v>
      </c>
      <c r="D17" s="4" t="str">
        <f>IF(C17="","",IFERROR(VLOOKUP($A17&amp;$L17,'On Hand Details'!$A$8:$L$219,COLUMN()+1,0),"Not Found"))</f>
        <v>PACKING MATERIALS</v>
      </c>
      <c r="E17" s="4" t="str">
        <f>IF(D17="","",IFERROR(VLOOKUP($A17&amp;$L17,'On Hand Details'!$A$8:$L$219,COLUMN()+1,0),"Not Found"))</f>
        <v>PACKING MATERIALS</v>
      </c>
      <c r="F17" s="4" t="str">
        <f>IF(E17="","",IFERROR(VLOOKUP($A17&amp;$L17,'On Hand Details'!$A$8:$L$219,COLUMN()+1,0),"Not Found"))</f>
        <v>SR BRAND</v>
      </c>
      <c r="G17" s="4" t="str">
        <f>IF(F17="","",IFERROR(VLOOKUP($A17&amp;$L17,'On Hand Details'!$A$8:$L$219,COLUMN()+1,0),"Not Found"))</f>
        <v>CI - SFLR</v>
      </c>
      <c r="H17" s="4">
        <f>IF(G17="","",IFERROR(VLOOKUP($A17&amp;$L17,'On Hand Details'!$A$8:$L$219,COLUMN()+1,0),"Not Found"))</f>
        <v>0</v>
      </c>
      <c r="I17" s="4">
        <f>IF(H17="","",IFERROR(VLOOKUP($A17&amp;$L17,'On Hand Details'!$A$8:$L$219,COLUMN()+1,0),"Not Found"))</f>
        <v>3370</v>
      </c>
      <c r="J17" s="4">
        <f>IF(I17="","",IFERROR(VLOOKUP($A17&amp;$L17,'On Hand Details'!$A$8:$L$219,COLUMN()+1,0),"Not Found"))</f>
        <v>21.48</v>
      </c>
      <c r="K17" s="4">
        <f>IF(J17="","",IFERROR(VLOOKUP($A17&amp;$L17,'On Hand Details'!$A$8:$L$219,COLUMN()+1,0),"Not Found"))</f>
        <v>72391</v>
      </c>
      <c r="L17" s="4" t="s">
        <v>92</v>
      </c>
      <c r="M17">
        <f ca="1">VLOOKUP($D$5,'[1]Monthly Summery'!$A$6:$BX$37,66,0)</f>
        <v>3370</v>
      </c>
      <c r="N17">
        <f t="shared" ca="1" si="0"/>
        <v>0</v>
      </c>
    </row>
    <row r="18" spans="1:14">
      <c r="A18" s="4" t="s">
        <v>48</v>
      </c>
      <c r="B18" s="4" t="str">
        <f>IF(A18="","",IFERROR(VLOOKUP($A18&amp;$L18,'On Hand Details'!$A$8:$L$219,COLUMN()+1,0),"Not Found"))</f>
        <v>WPP SR CEMENT-GOLD(OPC) SSCIL 1PLY</v>
      </c>
      <c r="C18" s="4" t="str">
        <f>IF(B18="","",IFERROR(VLOOKUP($A18&amp;$L18,'On Hand Details'!$A$8:$L$219,COLUMN()+1,0),"Not Found"))</f>
        <v>PCS</v>
      </c>
      <c r="D18" s="4" t="str">
        <f>IF(C18="","",IFERROR(VLOOKUP($A18&amp;$L18,'On Hand Details'!$A$8:$L$219,COLUMN()+1,0),"Not Found"))</f>
        <v>PACKING MATERIALS</v>
      </c>
      <c r="E18" s="4" t="str">
        <f>IF(D18="","",IFERROR(VLOOKUP($A18&amp;$L18,'On Hand Details'!$A$8:$L$219,COLUMN()+1,0),"Not Found"))</f>
        <v>PACKING MATERIALS</v>
      </c>
      <c r="F18" s="4" t="str">
        <f>IF(E18="","",IFERROR(VLOOKUP($A18&amp;$L18,'On Hand Details'!$A$8:$L$219,COLUMN()+1,0),"Not Found"))</f>
        <v>EMPTY BAG</v>
      </c>
      <c r="G18" s="4" t="str">
        <f>IF(F18="","",IFERROR(VLOOKUP($A18&amp;$L18,'On Hand Details'!$A$8:$L$219,COLUMN()+1,0),"Not Found"))</f>
        <v>CI - SFLR</v>
      </c>
      <c r="H18" s="4">
        <f>IF(G18="","",IFERROR(VLOOKUP($A18&amp;$L18,'On Hand Details'!$A$8:$L$219,COLUMN()+1,0),"Not Found"))</f>
        <v>0</v>
      </c>
      <c r="I18" s="4">
        <f>IF(H18="","",IFERROR(VLOOKUP($A18&amp;$L18,'On Hand Details'!$A$8:$L$219,COLUMN()+1,0),"Not Found"))</f>
        <v>1892</v>
      </c>
      <c r="J18" s="4">
        <f>IF(I18="","",IFERROR(VLOOKUP($A18&amp;$L18,'On Hand Details'!$A$8:$L$219,COLUMN()+1,0),"Not Found"))</f>
        <v>14.43</v>
      </c>
      <c r="K18" s="4">
        <f>IF(J18="","",IFERROR(VLOOKUP($A18&amp;$L18,'On Hand Details'!$A$8:$L$219,COLUMN()+1,0),"Not Found"))</f>
        <v>27297.38</v>
      </c>
      <c r="L18" s="4" t="s">
        <v>92</v>
      </c>
      <c r="M18">
        <f ca="1">VLOOKUP($D$5,'[1]Monthly Summery'!A$6:CB$39,67,0)+VLOOKUP($D$5,'[1]Monthly Summery'!A$6:CB$39,68,0)</f>
        <v>1892</v>
      </c>
      <c r="N18">
        <f t="shared" ca="1" si="0"/>
        <v>0</v>
      </c>
    </row>
    <row r="19" spans="1:14">
      <c r="A19" s="4" t="s">
        <v>125</v>
      </c>
      <c r="B19" s="4" t="str">
        <f>IF(A19="","",IFERROR(VLOOKUP($A19&amp;$L19,'On Hand Details'!$A$8:$L$219,COLUMN()+1,0),"Not Found"))</f>
        <v>Not Found</v>
      </c>
      <c r="C19" s="4" t="str">
        <f>IF(B19="","",IFERROR(VLOOKUP($A19&amp;$L19,'On Hand Details'!$A$8:$L$219,COLUMN()+1,0),"Not Found"))</f>
        <v>Not Found</v>
      </c>
      <c r="D19" s="4" t="str">
        <f>IF(C19="","",IFERROR(VLOOKUP($A19&amp;$L19,'On Hand Details'!$A$8:$L$219,COLUMN()+1,0),"Not Found"))</f>
        <v>Not Found</v>
      </c>
      <c r="E19" s="4" t="str">
        <f>IF(D19="","",IFERROR(VLOOKUP($A19&amp;$L19,'On Hand Details'!$A$8:$L$219,COLUMN()+1,0),"Not Found"))</f>
        <v>Not Found</v>
      </c>
      <c r="F19" s="4" t="str">
        <f>IF(E19="","",IFERROR(VLOOKUP($A19&amp;$L19,'On Hand Details'!$A$8:$L$219,COLUMN()+1,0),"Not Found"))</f>
        <v>Not Found</v>
      </c>
      <c r="G19" s="4" t="str">
        <f>IF(F19="","",IFERROR(VLOOKUP($A19&amp;$L19,'On Hand Details'!$A$8:$L$219,COLUMN()+1,0),"Not Found"))</f>
        <v>Not Found</v>
      </c>
      <c r="H19" s="4" t="str">
        <f>IF(G19="","",IFERROR(VLOOKUP($A19&amp;$L19,'On Hand Details'!$A$8:$L$219,COLUMN()+1,0),"Not Found"))</f>
        <v>Not Found</v>
      </c>
      <c r="I19" s="4" t="str">
        <f>IF(H19="","",IFERROR(VLOOKUP($A19&amp;$L19,'On Hand Details'!$A$8:$L$219,COLUMN()+1,0),"Not Found"))</f>
        <v>Not Found</v>
      </c>
      <c r="J19" s="4" t="str">
        <f>IF(I19="","",IFERROR(VLOOKUP($A19&amp;$L19,'On Hand Details'!$A$8:$L$219,COLUMN()+1,0),"Not Found"))</f>
        <v>Not Found</v>
      </c>
      <c r="K19" s="4" t="str">
        <f>IF(J19="","",IFERROR(VLOOKUP($A19&amp;$L19,'On Hand Details'!$A$8:$L$219,COLUMN()+1,0),"Not Found"))</f>
        <v>Not Found</v>
      </c>
      <c r="L19" s="4" t="s">
        <v>92</v>
      </c>
      <c r="N19" t="e">
        <f t="shared" si="0"/>
        <v>#VALUE!</v>
      </c>
    </row>
    <row r="20" spans="1:14">
      <c r="A20" s="5" t="s">
        <v>99</v>
      </c>
      <c r="B20" s="5" t="str">
        <f>IF(A20="","",IFERROR(VLOOKUP($A20&amp;$L20,'On Hand Details'!$A$8:$L$219,COLUMN()+1,0),"Not Found"))</f>
        <v>BULK CEMENT B-M (PCC)</v>
      </c>
      <c r="C20" s="5" t="str">
        <f>IF(B20="","",IFERROR(VLOOKUP($A20&amp;$L20,'On Hand Details'!$A$8:$L$219,COLUMN()+1,0),"Not Found"))</f>
        <v>MT</v>
      </c>
      <c r="D20" s="5" t="str">
        <f>IF(C20="","",IFERROR(VLOOKUP($A20&amp;$L20,'On Hand Details'!$A$8:$L$219,COLUMN()+1,0),"Not Found"))</f>
        <v>FINISH GOODS</v>
      </c>
      <c r="E20" s="5" t="str">
        <f>IF(D20="","",IFERROR(VLOOKUP($A20&amp;$L20,'On Hand Details'!$A$8:$L$219,COLUMN()+1,0),"Not Found"))</f>
        <v>FINISHED GOODS</v>
      </c>
      <c r="F20" s="5" t="str">
        <f>IF(E20="","",IFERROR(VLOOKUP($A20&amp;$L20,'On Hand Details'!$A$8:$L$219,COLUMN()+1,0),"Not Found"))</f>
        <v>BULK CEMENT</v>
      </c>
      <c r="G20" s="5" t="str">
        <f>IF(F20="","",IFERROR(VLOOKUP($A20&amp;$L20,'On Hand Details'!$A$8:$L$219,COLUMN()+1,0),"Not Found"))</f>
        <v>CI - FG</v>
      </c>
      <c r="H20" s="5">
        <f>IF(G20="","",IFERROR(VLOOKUP($A20&amp;$L20,'On Hand Details'!$A$8:$L$219,COLUMN()+1,0),"Not Found"))</f>
        <v>0</v>
      </c>
      <c r="I20" s="5">
        <f>IF(H20="","",IFERROR(VLOOKUP($A20&amp;$L20,'On Hand Details'!$A$8:$L$219,COLUMN()+1,0),"Not Found"))</f>
        <v>5903.5550000000003</v>
      </c>
      <c r="J20" s="5">
        <f>IF(I20="","",IFERROR(VLOOKUP($A20&amp;$L20,'On Hand Details'!$A$8:$L$219,COLUMN()+1,0),"Not Found"))</f>
        <v>5558.11</v>
      </c>
      <c r="K20" s="5">
        <f>IF(J20="","",IFERROR(VLOOKUP($A20&amp;$L20,'On Hand Details'!$A$8:$L$219,COLUMN()+1,0),"Not Found"))</f>
        <v>32812614.039999999</v>
      </c>
      <c r="L20" s="5" t="s">
        <v>98</v>
      </c>
    </row>
    <row r="21" spans="1:14">
      <c r="A21" s="5" t="s">
        <v>101</v>
      </c>
      <c r="B21" s="5" t="str">
        <f>IF(A21="","",IFERROR(VLOOKUP($A21&amp;$L21,'On Hand Details'!$A$8:$L$219,COLUMN()+1,0),"Not Found"))</f>
        <v>BULK CEMENT A-M SPECIAL (PCC)</v>
      </c>
      <c r="C21" s="5" t="str">
        <f>IF(B21="","",IFERROR(VLOOKUP($A21&amp;$L21,'On Hand Details'!$A$8:$L$219,COLUMN()+1,0),"Not Found"))</f>
        <v>MT</v>
      </c>
      <c r="D21" s="5" t="str">
        <f>IF(C21="","",IFERROR(VLOOKUP($A21&amp;$L21,'On Hand Details'!$A$8:$L$219,COLUMN()+1,0),"Not Found"))</f>
        <v>FINISH GOODS</v>
      </c>
      <c r="E21" s="5" t="str">
        <f>IF(D21="","",IFERROR(VLOOKUP($A21&amp;$L21,'On Hand Details'!$A$8:$L$219,COLUMN()+1,0),"Not Found"))</f>
        <v>FINISHED GOODS</v>
      </c>
      <c r="F21" s="5" t="str">
        <f>IF(E21="","",IFERROR(VLOOKUP($A21&amp;$L21,'On Hand Details'!$A$8:$L$219,COLUMN()+1,0),"Not Found"))</f>
        <v>BULK CEMENT</v>
      </c>
      <c r="G21" s="5" t="str">
        <f>IF(F21="","",IFERROR(VLOOKUP($A21&amp;$L21,'On Hand Details'!$A$8:$L$219,COLUMN()+1,0),"Not Found"))</f>
        <v>CI - FG</v>
      </c>
      <c r="H21" s="5">
        <f>IF(G21="","",IFERROR(VLOOKUP($A21&amp;$L21,'On Hand Details'!$A$8:$L$219,COLUMN()+1,0),"Not Found"))</f>
        <v>0</v>
      </c>
      <c r="I21" s="5">
        <f>IF(H21="","",IFERROR(VLOOKUP($A21&amp;$L21,'On Hand Details'!$A$8:$L$219,COLUMN()+1,0),"Not Found"))</f>
        <v>693.77</v>
      </c>
      <c r="J21" s="5">
        <f>IF(I21="","",IFERROR(VLOOKUP($A21&amp;$L21,'On Hand Details'!$A$8:$L$219,COLUMN()+1,0),"Not Found"))</f>
        <v>5611.9</v>
      </c>
      <c r="K21" s="5">
        <f>IF(J21="","",IFERROR(VLOOKUP($A21&amp;$L21,'On Hand Details'!$A$8:$L$219,COLUMN()+1,0),"Not Found"))</f>
        <v>3893365.05</v>
      </c>
      <c r="L21" s="5" t="s">
        <v>98</v>
      </c>
    </row>
    <row r="22" spans="1:14">
      <c r="A22" s="5" t="s">
        <v>93</v>
      </c>
      <c r="B22" s="5" t="str">
        <f>IF(A22="","",IFERROR(VLOOKUP($A22&amp;$L22,'On Hand Details'!$A$8:$L$219,COLUMN()+1,0),"Not Found"))</f>
        <v>BULK CEMENT GOLD (OPC)</v>
      </c>
      <c r="C22" s="5" t="str">
        <f>IF(B22="","",IFERROR(VLOOKUP($A22&amp;$L22,'On Hand Details'!$A$8:$L$219,COLUMN()+1,0),"Not Found"))</f>
        <v>MT</v>
      </c>
      <c r="D22" s="5" t="str">
        <f>IF(C22="","",IFERROR(VLOOKUP($A22&amp;$L22,'On Hand Details'!$A$8:$L$219,COLUMN()+1,0),"Not Found"))</f>
        <v>FINISH GOODS</v>
      </c>
      <c r="E22" s="5" t="str">
        <f>IF(D22="","",IFERROR(VLOOKUP($A22&amp;$L22,'On Hand Details'!$A$8:$L$219,COLUMN()+1,0),"Not Found"))</f>
        <v>FINISHED GOODS</v>
      </c>
      <c r="F22" s="5" t="str">
        <f>IF(E22="","",IFERROR(VLOOKUP($A22&amp;$L22,'On Hand Details'!$A$8:$L$219,COLUMN()+1,0),"Not Found"))</f>
        <v>BULK CEMENT</v>
      </c>
      <c r="G22" s="5" t="str">
        <f>IF(F22="","",IFERROR(VLOOKUP($A22&amp;$L22,'On Hand Details'!$A$8:$L$219,COLUMN()+1,0),"Not Found"))</f>
        <v>CI - FG</v>
      </c>
      <c r="H22" s="5">
        <f>IF(G22="","",IFERROR(VLOOKUP($A22&amp;$L22,'On Hand Details'!$A$8:$L$219,COLUMN()+1,0),"Not Found"))</f>
        <v>0</v>
      </c>
      <c r="I22" s="5">
        <f>IF(H22="","",IFERROR(VLOOKUP($A22&amp;$L22,'On Hand Details'!$A$8:$L$219,COLUMN()+1,0),"Not Found"))</f>
        <v>1022.405</v>
      </c>
      <c r="J22" s="5">
        <f>IF(I22="","",IFERROR(VLOOKUP($A22&amp;$L22,'On Hand Details'!$A$8:$L$219,COLUMN()+1,0),"Not Found"))</f>
        <v>6412.19</v>
      </c>
      <c r="K22" s="5">
        <f>IF(J22="","",IFERROR(VLOOKUP($A22&amp;$L22,'On Hand Details'!$A$8:$L$219,COLUMN()+1,0),"Not Found"))</f>
        <v>6555859.8499999996</v>
      </c>
      <c r="L22" s="5" t="s">
        <v>98</v>
      </c>
    </row>
    <row r="23" spans="1:14">
      <c r="A23" s="6" t="s">
        <v>42</v>
      </c>
      <c r="B23" s="6" t="str">
        <f>IF(A23="","",IFERROR(VLOOKUP($A23&amp;$L23,'On Hand Details'!$A$8:$L$219,COLUMN()+1,0),"Not Found"))</f>
        <v>WPP BAG SEVEN RINGS BM (PCC) SSCIL</v>
      </c>
      <c r="C23" s="6" t="str">
        <f>IF(B23="","",IFERROR(VLOOKUP($A23&amp;$L23,'On Hand Details'!$A$8:$L$219,COLUMN()+1,0),"Not Found"))</f>
        <v>PCS</v>
      </c>
      <c r="D23" s="6" t="str">
        <f>IF(C23="","",IFERROR(VLOOKUP($A23&amp;$L23,'On Hand Details'!$A$8:$L$219,COLUMN()+1,0),"Not Found"))</f>
        <v>PACKING MATERIALS</v>
      </c>
      <c r="E23" s="6" t="str">
        <f>IF(D23="","",IFERROR(VLOOKUP($A23&amp;$L23,'On Hand Details'!$A$8:$L$219,COLUMN()+1,0),"Not Found"))</f>
        <v>PACKING MATERIALS</v>
      </c>
      <c r="F23" s="6" t="str">
        <f>IF(E23="","",IFERROR(VLOOKUP($A23&amp;$L23,'On Hand Details'!$A$8:$L$219,COLUMN()+1,0),"Not Found"))</f>
        <v>SR BRAND</v>
      </c>
      <c r="G23" s="6" t="str">
        <f>IF(F23="","",IFERROR(VLOOKUP($A23&amp;$L23,'On Hand Details'!$A$8:$L$219,COLUMN()+1,0),"Not Found"))</f>
        <v>CI - RM</v>
      </c>
      <c r="H23" s="6">
        <f>IF(G23="","",IFERROR(VLOOKUP($A23&amp;$L23,'On Hand Details'!$A$8:$L$219,COLUMN()+1,0),"Not Found"))</f>
        <v>0</v>
      </c>
      <c r="I23" s="6">
        <f>IF(H23="","",IFERROR(VLOOKUP($A23&amp;$L23,'On Hand Details'!$A$8:$L$219,COLUMN()+1,0),"Not Found"))</f>
        <v>100093</v>
      </c>
      <c r="J23" s="6">
        <f>IF(I23="","",IFERROR(VLOOKUP($A23&amp;$L23,'On Hand Details'!$A$8:$L$219,COLUMN()+1,0),"Not Found"))</f>
        <v>22.08</v>
      </c>
      <c r="K23" s="6">
        <f>IF(J23="","",IFERROR(VLOOKUP($A23&amp;$L23,'On Hand Details'!$A$8:$L$219,COLUMN()+1,0),"Not Found"))</f>
        <v>2209805.21</v>
      </c>
      <c r="L23" s="6" t="s">
        <v>90</v>
      </c>
    </row>
    <row r="24" spans="1:14">
      <c r="A24" s="6" t="s">
        <v>52</v>
      </c>
      <c r="B24" s="6" t="str">
        <f>IF(A24="","",IFERROR(VLOOKUP($A24&amp;$L24,'On Hand Details'!$A$8:$L$219,COLUMN()+1,0),"Not Found"))</f>
        <v>WPP BAG SEVEN RING CEMENT AM SPECIAL SSCIL</v>
      </c>
      <c r="C24" s="6" t="str">
        <f>IF(B24="","",IFERROR(VLOOKUP($A24&amp;$L24,'On Hand Details'!$A$8:$L$219,COLUMN()+1,0),"Not Found"))</f>
        <v>PCS</v>
      </c>
      <c r="D24" s="6" t="str">
        <f>IF(C24="","",IFERROR(VLOOKUP($A24&amp;$L24,'On Hand Details'!$A$8:$L$219,COLUMN()+1,0),"Not Found"))</f>
        <v>PACKING MATERIALS</v>
      </c>
      <c r="E24" s="6" t="str">
        <f>IF(D24="","",IFERROR(VLOOKUP($A24&amp;$L24,'On Hand Details'!$A$8:$L$219,COLUMN()+1,0),"Not Found"))</f>
        <v>PACKING MATERIALS</v>
      </c>
      <c r="F24" s="6" t="str">
        <f>IF(E24="","",IFERROR(VLOOKUP($A24&amp;$L24,'On Hand Details'!$A$8:$L$219,COLUMN()+1,0),"Not Found"))</f>
        <v>EMPTY BAG</v>
      </c>
      <c r="G24" s="6" t="str">
        <f>IF(F24="","",IFERROR(VLOOKUP($A24&amp;$L24,'On Hand Details'!$A$8:$L$219,COLUMN()+1,0),"Not Found"))</f>
        <v>CI - RM</v>
      </c>
      <c r="H24" s="6">
        <f>IF(G24="","",IFERROR(VLOOKUP($A24&amp;$L24,'On Hand Details'!$A$8:$L$219,COLUMN()+1,0),"Not Found"))</f>
        <v>0</v>
      </c>
      <c r="I24" s="6">
        <f>IF(H24="","",IFERROR(VLOOKUP($A24&amp;$L24,'On Hand Details'!$A$8:$L$219,COLUMN()+1,0),"Not Found"))</f>
        <v>27084</v>
      </c>
      <c r="J24" s="6">
        <f>IF(I24="","",IFERROR(VLOOKUP($A24&amp;$L24,'On Hand Details'!$A$8:$L$219,COLUMN()+1,0),"Not Found"))</f>
        <v>22.22</v>
      </c>
      <c r="K24" s="6">
        <f>IF(J24="","",IFERROR(VLOOKUP($A24&amp;$L24,'On Hand Details'!$A$8:$L$219,COLUMN()+1,0),"Not Found"))</f>
        <v>601873.92000000004</v>
      </c>
      <c r="L24" s="6" t="s">
        <v>90</v>
      </c>
    </row>
    <row r="25" spans="1:14">
      <c r="A25" s="6" t="s">
        <v>50</v>
      </c>
      <c r="B25" s="6" t="str">
        <f>IF(A25="","",IFERROR(VLOOKUP($A25&amp;$L25,'On Hand Details'!$A$8:$L$219,COLUMN()+1,0),"Not Found"))</f>
        <v>WPP SR CEMENT (AM) SSCIL 1PLY</v>
      </c>
      <c r="C25" s="6" t="str">
        <f>IF(B25="","",IFERROR(VLOOKUP($A25&amp;$L25,'On Hand Details'!$A$8:$L$219,COLUMN()+1,0),"Not Found"))</f>
        <v>PCS</v>
      </c>
      <c r="D25" s="6" t="str">
        <f>IF(C25="","",IFERROR(VLOOKUP($A25&amp;$L25,'On Hand Details'!$A$8:$L$219,COLUMN()+1,0),"Not Found"))</f>
        <v>PACKING MATERIALS</v>
      </c>
      <c r="E25" s="6" t="str">
        <f>IF(D25="","",IFERROR(VLOOKUP($A25&amp;$L25,'On Hand Details'!$A$8:$L$219,COLUMN()+1,0),"Not Found"))</f>
        <v>PACKING MATERIALS</v>
      </c>
      <c r="F25" s="6" t="str">
        <f>IF(E25="","",IFERROR(VLOOKUP($A25&amp;$L25,'On Hand Details'!$A$8:$L$219,COLUMN()+1,0),"Not Found"))</f>
        <v>EMPTY BAG</v>
      </c>
      <c r="G25" s="6" t="str">
        <f>IF(F25="","",IFERROR(VLOOKUP($A25&amp;$L25,'On Hand Details'!$A$8:$L$219,COLUMN()+1,0),"Not Found"))</f>
        <v>CI - RM</v>
      </c>
      <c r="H25" s="6">
        <f>IF(G25="","",IFERROR(VLOOKUP($A25&amp;$L25,'On Hand Details'!$A$8:$L$219,COLUMN()+1,0),"Not Found"))</f>
        <v>0</v>
      </c>
      <c r="I25" s="6">
        <f>IF(H25="","",IFERROR(VLOOKUP($A25&amp;$L25,'On Hand Details'!$A$8:$L$219,COLUMN()+1,0),"Not Found"))</f>
        <v>2681</v>
      </c>
      <c r="J25" s="6">
        <f>IF(I25="","",IFERROR(VLOOKUP($A25&amp;$L25,'On Hand Details'!$A$8:$L$219,COLUMN()+1,0),"Not Found"))</f>
        <v>15.33</v>
      </c>
      <c r="K25" s="6">
        <f>IF(J25="","",IFERROR(VLOOKUP($A25&amp;$L25,'On Hand Details'!$A$8:$L$219,COLUMN()+1,0),"Not Found"))</f>
        <v>41090.32</v>
      </c>
      <c r="L25" s="6" t="s">
        <v>90</v>
      </c>
    </row>
    <row r="26" spans="1:14">
      <c r="A26" s="6" t="s">
        <v>46</v>
      </c>
      <c r="B26" s="6" t="str">
        <f>IF(A26="","",IFERROR(VLOOKUP($A26&amp;$L26,'On Hand Details'!$A$8:$L$219,COLUMN()+1,0),"Not Found"))</f>
        <v>WPP BAG SEVEN RINGS CEMENT - GOLD (OPC) SSCIL</v>
      </c>
      <c r="C26" s="6" t="str">
        <f>IF(B26="","",IFERROR(VLOOKUP($A26&amp;$L26,'On Hand Details'!$A$8:$L$219,COLUMN()+1,0),"Not Found"))</f>
        <v>PCS</v>
      </c>
      <c r="D26" s="6" t="str">
        <f>IF(C26="","",IFERROR(VLOOKUP($A26&amp;$L26,'On Hand Details'!$A$8:$L$219,COLUMN()+1,0),"Not Found"))</f>
        <v>PACKING MATERIALS</v>
      </c>
      <c r="E26" s="6" t="str">
        <f>IF(D26="","",IFERROR(VLOOKUP($A26&amp;$L26,'On Hand Details'!$A$8:$L$219,COLUMN()+1,0),"Not Found"))</f>
        <v>PACKING MATERIALS</v>
      </c>
      <c r="F26" s="6" t="str">
        <f>IF(E26="","",IFERROR(VLOOKUP($A26&amp;$L26,'On Hand Details'!$A$8:$L$219,COLUMN()+1,0),"Not Found"))</f>
        <v>SR BRAND</v>
      </c>
      <c r="G26" s="6" t="str">
        <f>IF(F26="","",IFERROR(VLOOKUP($A26&amp;$L26,'On Hand Details'!$A$8:$L$219,COLUMN()+1,0),"Not Found"))</f>
        <v>CI - RM</v>
      </c>
      <c r="H26" s="6">
        <f>IF(G26="","",IFERROR(VLOOKUP($A26&amp;$L26,'On Hand Details'!$A$8:$L$219,COLUMN()+1,0),"Not Found"))</f>
        <v>0</v>
      </c>
      <c r="I26" s="6">
        <f>IF(H26="","",IFERROR(VLOOKUP($A26&amp;$L26,'On Hand Details'!$A$8:$L$219,COLUMN()+1,0),"Not Found"))</f>
        <v>14603</v>
      </c>
      <c r="J26" s="6">
        <f>IF(I26="","",IFERROR(VLOOKUP($A26&amp;$L26,'On Hand Details'!$A$8:$L$219,COLUMN()+1,0),"Not Found"))</f>
        <v>21.48</v>
      </c>
      <c r="K26" s="6">
        <f>IF(J26="","",IFERROR(VLOOKUP($A26&amp;$L26,'On Hand Details'!$A$8:$L$219,COLUMN()+1,0),"Not Found"))</f>
        <v>313687.19</v>
      </c>
      <c r="L26" s="6" t="s">
        <v>90</v>
      </c>
    </row>
    <row r="27" spans="1:14">
      <c r="A27" s="6" t="s">
        <v>48</v>
      </c>
      <c r="B27" s="6" t="str">
        <f>IF(A27="","",IFERROR(VLOOKUP($A27&amp;$L27,'On Hand Details'!$A$8:$L$219,COLUMN()+1,0),"Not Found"))</f>
        <v>WPP SR CEMENT-GOLD(OPC) SSCIL 1PLY</v>
      </c>
      <c r="C27" s="6" t="str">
        <f>IF(B27="","",IFERROR(VLOOKUP($A27&amp;$L27,'On Hand Details'!$A$8:$L$219,COLUMN()+1,0),"Not Found"))</f>
        <v>PCS</v>
      </c>
      <c r="D27" s="6" t="str">
        <f>IF(C27="","",IFERROR(VLOOKUP($A27&amp;$L27,'On Hand Details'!$A$8:$L$219,COLUMN()+1,0),"Not Found"))</f>
        <v>PACKING MATERIALS</v>
      </c>
      <c r="E27" s="6" t="str">
        <f>IF(D27="","",IFERROR(VLOOKUP($A27&amp;$L27,'On Hand Details'!$A$8:$L$219,COLUMN()+1,0),"Not Found"))</f>
        <v>PACKING MATERIALS</v>
      </c>
      <c r="F27" s="6" t="str">
        <f>IF(E27="","",IFERROR(VLOOKUP($A27&amp;$L27,'On Hand Details'!$A$8:$L$219,COLUMN()+1,0),"Not Found"))</f>
        <v>EMPTY BAG</v>
      </c>
      <c r="G27" s="6" t="str">
        <f>IF(F27="","",IFERROR(VLOOKUP($A27&amp;$L27,'On Hand Details'!$A$8:$L$219,COLUMN()+1,0),"Not Found"))</f>
        <v>CI - RM</v>
      </c>
      <c r="H27" s="6">
        <f>IF(G27="","",IFERROR(VLOOKUP($A27&amp;$L27,'On Hand Details'!$A$8:$L$219,COLUMN()+1,0),"Not Found"))</f>
        <v>0</v>
      </c>
      <c r="I27" s="6">
        <f>IF(H27="","",IFERROR(VLOOKUP($A27&amp;$L27,'On Hand Details'!$A$8:$L$219,COLUMN()+1,0),"Not Found"))</f>
        <v>3397</v>
      </c>
      <c r="J27" s="6">
        <f>IF(I27="","",IFERROR(VLOOKUP($A27&amp;$L27,'On Hand Details'!$A$8:$L$219,COLUMN()+1,0),"Not Found"))</f>
        <v>14.43</v>
      </c>
      <c r="K27" s="6">
        <f>IF(J27="","",IFERROR(VLOOKUP($A27&amp;$L27,'On Hand Details'!$A$8:$L$219,COLUMN()+1,0),"Not Found"))</f>
        <v>49011.199999999997</v>
      </c>
      <c r="L27" s="6" t="s">
        <v>90</v>
      </c>
    </row>
    <row r="28" spans="1:14">
      <c r="A28" s="6" t="s">
        <v>125</v>
      </c>
      <c r="B28" s="6" t="str">
        <f>IF(A28="","",IFERROR(VLOOKUP($A28&amp;$L28,'On Hand Details'!$A$8:$L$219,COLUMN()+1,0),"Not Found"))</f>
        <v>Not Found</v>
      </c>
      <c r="C28" s="6" t="str">
        <f>IF(B28="","",IFERROR(VLOOKUP($A28&amp;$L28,'On Hand Details'!$A$8:$L$219,COLUMN()+1,0),"Not Found"))</f>
        <v>Not Found</v>
      </c>
      <c r="D28" s="6" t="str">
        <f>IF(C28="","",IFERROR(VLOOKUP($A28&amp;$L28,'On Hand Details'!$A$8:$L$219,COLUMN()+1,0),"Not Found"))</f>
        <v>Not Found</v>
      </c>
      <c r="E28" s="6" t="str">
        <f>IF(D28="","",IFERROR(VLOOKUP($A28&amp;$L28,'On Hand Details'!$A$8:$L$219,COLUMN()+1,0),"Not Found"))</f>
        <v>Not Found</v>
      </c>
      <c r="F28" s="6" t="str">
        <f>IF(E28="","",IFERROR(VLOOKUP($A28&amp;$L28,'On Hand Details'!$A$8:$L$219,COLUMN()+1,0),"Not Found"))</f>
        <v>Not Found</v>
      </c>
      <c r="G28" s="6" t="str">
        <f>IF(F28="","",IFERROR(VLOOKUP($A28&amp;$L28,'On Hand Details'!$A$8:$L$219,COLUMN()+1,0),"Not Found"))</f>
        <v>Not Found</v>
      </c>
      <c r="H28" s="6" t="str">
        <f>IF(G28="","",IFERROR(VLOOKUP($A28&amp;$L28,'On Hand Details'!$A$8:$L$219,COLUMN()+1,0),"Not Found"))</f>
        <v>Not Found</v>
      </c>
      <c r="I28" s="6" t="str">
        <f>IF(H28="","",IFERROR(VLOOKUP($A28&amp;$L28,'On Hand Details'!$A$8:$L$219,COLUMN()+1,0),"Not Found"))</f>
        <v>Not Found</v>
      </c>
      <c r="J28" s="6" t="str">
        <f>IF(I28="","",IFERROR(VLOOKUP($A28&amp;$L28,'On Hand Details'!$A$8:$L$219,COLUMN()+1,0),"Not Found"))</f>
        <v>Not Found</v>
      </c>
      <c r="K28" s="6" t="str">
        <f>IF(J28="","",IFERROR(VLOOKUP($A28&amp;$L28,'On Hand Details'!$A$8:$L$219,COLUMN()+1,0),"Not Found"))</f>
        <v>Not Found</v>
      </c>
      <c r="L28" s="6" t="s">
        <v>90</v>
      </c>
    </row>
    <row r="29" spans="1:14">
      <c r="A29" s="7"/>
      <c r="B29" s="7" t="str">
        <f>IF(A29="","",IFERROR(VLOOKUP($A29&amp;$L29,'On Hand Details'!$A$8:$L$219,COLUMN()+1,0),"Not Found"))</f>
        <v/>
      </c>
      <c r="C29" s="7" t="str">
        <f>IF(B29="","",IFERROR(VLOOKUP($A29&amp;$L29,'On Hand Details'!$A$8:$L$219,COLUMN()+1,0),"Not Found"))</f>
        <v/>
      </c>
      <c r="D29" s="7" t="str">
        <f>IF(C29="","",IFERROR(VLOOKUP($A29&amp;$L29,'On Hand Details'!$A$8:$L$219,COLUMN()+1,0),"Not Found"))</f>
        <v/>
      </c>
      <c r="E29" s="7" t="str">
        <f>IF(D29="","",IFERROR(VLOOKUP($A29&amp;$L29,'On Hand Details'!$A$8:$L$219,COLUMN()+1,0),"Not Found"))</f>
        <v/>
      </c>
      <c r="F29" s="7" t="str">
        <f>IF(E29="","",IFERROR(VLOOKUP($A29&amp;$L29,'On Hand Details'!$A$8:$L$219,COLUMN()+1,0),"Not Found"))</f>
        <v/>
      </c>
      <c r="G29" s="7" t="str">
        <f>IF(F29="","",IFERROR(VLOOKUP($A29&amp;$L29,'On Hand Details'!$A$8:$L$219,COLUMN()+1,0),"Not Found"))</f>
        <v/>
      </c>
      <c r="H29" s="7" t="str">
        <f>IF(G29="","",IFERROR(VLOOKUP($A29&amp;$L29,'On Hand Details'!$A$8:$L$219,COLUMN()+1,0),"Not Found"))</f>
        <v/>
      </c>
      <c r="I29" s="7" t="str">
        <f>IF(H29="","",IFERROR(VLOOKUP($A29&amp;$L29,'On Hand Details'!$A$8:$L$219,COLUMN()+1,0),"Not Found"))</f>
        <v/>
      </c>
      <c r="J29" s="7" t="str">
        <f>IF(I29="","",IFERROR(VLOOKUP($A29&amp;$L29,'On Hand Details'!$A$8:$L$219,COLUMN()+1,0),"Not Found"))</f>
        <v/>
      </c>
      <c r="K29" s="7" t="str">
        <f>IF(J29="","",IFERROR(VLOOKUP($A29&amp;$L29,'On Hand Details'!$A$8:$L$219,COLUMN()+1,0),"Not Found"))</f>
        <v/>
      </c>
      <c r="L29" s="7"/>
    </row>
    <row r="30" spans="1:14">
      <c r="A30" s="7"/>
      <c r="B30" s="7" t="str">
        <f>IF(A30="","",IFERROR(VLOOKUP($A30&amp;$L30,'On Hand Details'!$A$8:$L$219,COLUMN()+1,0),"Not Found"))</f>
        <v/>
      </c>
      <c r="C30" s="7" t="str">
        <f>IF(B30="","",IFERROR(VLOOKUP($A30&amp;$L30,'On Hand Details'!$A$8:$L$219,COLUMN()+1,0),"Not Found"))</f>
        <v/>
      </c>
      <c r="D30" s="7" t="str">
        <f>IF(C30="","",IFERROR(VLOOKUP($A30&amp;$L30,'On Hand Details'!$A$8:$L$219,COLUMN()+1,0),"Not Found"))</f>
        <v/>
      </c>
      <c r="E30" s="7" t="str">
        <f>IF(D30="","",IFERROR(VLOOKUP($A30&amp;$L30,'On Hand Details'!$A$8:$L$219,COLUMN()+1,0),"Not Found"))</f>
        <v/>
      </c>
      <c r="F30" s="7" t="str">
        <f>IF(E30="","",IFERROR(VLOOKUP($A30&amp;$L30,'On Hand Details'!$A$8:$L$219,COLUMN()+1,0),"Not Found"))</f>
        <v/>
      </c>
      <c r="G30" s="7" t="str">
        <f>IF(F30="","",IFERROR(VLOOKUP($A30&amp;$L30,'On Hand Details'!$A$8:$L$219,COLUMN()+1,0),"Not Found"))</f>
        <v/>
      </c>
      <c r="H30" s="7" t="str">
        <f>IF(G30="","",IFERROR(VLOOKUP($A30&amp;$L30,'On Hand Details'!$A$8:$L$219,COLUMN()+1,0),"Not Found"))</f>
        <v/>
      </c>
      <c r="I30" s="7" t="str">
        <f>IF(H30="","",IFERROR(VLOOKUP($A30&amp;$L30,'On Hand Details'!$A$8:$L$219,COLUMN()+1,0),"Not Found"))</f>
        <v/>
      </c>
      <c r="J30" s="7" t="str">
        <f>IF(I30="","",IFERROR(VLOOKUP($A30&amp;$L30,'On Hand Details'!$A$8:$L$219,COLUMN()+1,0),"Not Found"))</f>
        <v/>
      </c>
      <c r="K30" s="7" t="str">
        <f>IF(J30="","",IFERROR(VLOOKUP($A30&amp;$L30,'On Hand Details'!$A$8:$L$219,COLUMN()+1,0),"Not Found"))</f>
        <v/>
      </c>
      <c r="L30" s="7"/>
    </row>
    <row r="31" spans="1:14">
      <c r="A31" s="7"/>
      <c r="B31" s="7" t="str">
        <f>IF(A31="","",IFERROR(VLOOKUP($A31&amp;$L31,'On Hand Details'!$A$8:$L$219,COLUMN()+1,0),"Not Found"))</f>
        <v/>
      </c>
      <c r="C31" s="7" t="str">
        <f>IF(B31="","",IFERROR(VLOOKUP($A31&amp;$L31,'On Hand Details'!$A$8:$L$219,COLUMN()+1,0),"Not Found"))</f>
        <v/>
      </c>
      <c r="D31" s="7" t="str">
        <f>IF(C31="","",IFERROR(VLOOKUP($A31&amp;$L31,'On Hand Details'!$A$8:$L$219,COLUMN()+1,0),"Not Found"))</f>
        <v/>
      </c>
      <c r="E31" s="7" t="str">
        <f>IF(D31="","",IFERROR(VLOOKUP($A31&amp;$L31,'On Hand Details'!$A$8:$L$219,COLUMN()+1,0),"Not Found"))</f>
        <v/>
      </c>
      <c r="F31" s="7" t="str">
        <f>IF(E31="","",IFERROR(VLOOKUP($A31&amp;$L31,'On Hand Details'!$A$8:$L$219,COLUMN()+1,0),"Not Found"))</f>
        <v/>
      </c>
      <c r="G31" s="7" t="str">
        <f>IF(F31="","",IFERROR(VLOOKUP($A31&amp;$L31,'On Hand Details'!$A$8:$L$219,COLUMN()+1,0),"Not Found"))</f>
        <v/>
      </c>
      <c r="H31" s="7" t="str">
        <f>IF(G31="","",IFERROR(VLOOKUP($A31&amp;$L31,'On Hand Details'!$A$8:$L$219,COLUMN()+1,0),"Not Found"))</f>
        <v/>
      </c>
      <c r="I31" s="7" t="str">
        <f>IF(H31="","",IFERROR(VLOOKUP($A31&amp;$L31,'On Hand Details'!$A$8:$L$219,COLUMN()+1,0),"Not Found"))</f>
        <v/>
      </c>
      <c r="J31" s="7" t="str">
        <f>IF(I31="","",IFERROR(VLOOKUP($A31&amp;$L31,'On Hand Details'!$A$8:$L$219,COLUMN()+1,0),"Not Found"))</f>
        <v/>
      </c>
      <c r="K31" s="7" t="str">
        <f>IF(J31="","",IFERROR(VLOOKUP($A31&amp;$L31,'On Hand Details'!$A$8:$L$219,COLUMN()+1,0),"Not Found"))</f>
        <v/>
      </c>
      <c r="L31" s="7"/>
    </row>
    <row r="32" spans="1:14">
      <c r="A32" s="7"/>
      <c r="B32" s="7" t="str">
        <f>IF(A32="","",IFERROR(VLOOKUP($A32&amp;$L32,'On Hand Details'!$A$8:$L$219,COLUMN()+1,0),"Not Found"))</f>
        <v/>
      </c>
      <c r="C32" s="7" t="str">
        <f>IF(B32="","",IFERROR(VLOOKUP($A32&amp;$L32,'On Hand Details'!$A$8:$L$219,COLUMN()+1,0),"Not Found"))</f>
        <v/>
      </c>
      <c r="D32" s="7" t="str">
        <f>IF(C32="","",IFERROR(VLOOKUP($A32&amp;$L32,'On Hand Details'!$A$8:$L$219,COLUMN()+1,0),"Not Found"))</f>
        <v/>
      </c>
      <c r="E32" s="7" t="str">
        <f>IF(D32="","",IFERROR(VLOOKUP($A32&amp;$L32,'On Hand Details'!$A$8:$L$219,COLUMN()+1,0),"Not Found"))</f>
        <v/>
      </c>
      <c r="F32" s="7" t="str">
        <f>IF(E32="","",IFERROR(VLOOKUP($A32&amp;$L32,'On Hand Details'!$A$8:$L$219,COLUMN()+1,0),"Not Found"))</f>
        <v/>
      </c>
      <c r="G32" s="7" t="str">
        <f>IF(F32="","",IFERROR(VLOOKUP($A32&amp;$L32,'On Hand Details'!$A$8:$L$219,COLUMN()+1,0),"Not Found"))</f>
        <v/>
      </c>
      <c r="H32" s="7" t="str">
        <f>IF(G32="","",IFERROR(VLOOKUP($A32&amp;$L32,'On Hand Details'!$A$8:$L$219,COLUMN()+1,0),"Not Found"))</f>
        <v/>
      </c>
      <c r="I32" s="7" t="str">
        <f>IF(H32="","",IFERROR(VLOOKUP($A32&amp;$L32,'On Hand Details'!$A$8:$L$219,COLUMN()+1,0),"Not Found"))</f>
        <v/>
      </c>
      <c r="J32" s="7" t="str">
        <f>IF(I32="","",IFERROR(VLOOKUP($A32&amp;$L32,'On Hand Details'!$A$8:$L$219,COLUMN()+1,0),"Not Found"))</f>
        <v/>
      </c>
      <c r="K32" s="7" t="str">
        <f>IF(J32="","",IFERROR(VLOOKUP($A32&amp;$L32,'On Hand Details'!$A$8:$L$219,COLUMN()+1,0),"Not Found"))</f>
        <v/>
      </c>
      <c r="L32" s="7"/>
    </row>
    <row r="33" spans="1:12">
      <c r="A33" s="7"/>
      <c r="B33" s="7" t="str">
        <f>IF(A33="","",IFERROR(VLOOKUP($A33&amp;$L33,'On Hand Details'!$A$8:$L$219,COLUMN()+1,0),"Not Found"))</f>
        <v/>
      </c>
      <c r="C33" s="7" t="str">
        <f>IF(B33="","",IFERROR(VLOOKUP($A33&amp;$L33,'On Hand Details'!$A$8:$L$219,COLUMN()+1,0),"Not Found"))</f>
        <v/>
      </c>
      <c r="D33" s="7" t="str">
        <f>IF(C33="","",IFERROR(VLOOKUP($A33&amp;$L33,'On Hand Details'!$A$8:$L$219,COLUMN()+1,0),"Not Found"))</f>
        <v/>
      </c>
      <c r="E33" s="7" t="str">
        <f>IF(D33="","",IFERROR(VLOOKUP($A33&amp;$L33,'On Hand Details'!$A$8:$L$219,COLUMN()+1,0),"Not Found"))</f>
        <v/>
      </c>
      <c r="F33" s="7" t="str">
        <f>IF(E33="","",IFERROR(VLOOKUP($A33&amp;$L33,'On Hand Details'!$A$8:$L$219,COLUMN()+1,0),"Not Found"))</f>
        <v/>
      </c>
      <c r="G33" s="7" t="str">
        <f>IF(F33="","",IFERROR(VLOOKUP($A33&amp;$L33,'On Hand Details'!$A$8:$L$219,COLUMN()+1,0),"Not Found"))</f>
        <v/>
      </c>
      <c r="H33" s="7" t="str">
        <f>IF(G33="","",IFERROR(VLOOKUP($A33&amp;$L33,'On Hand Details'!$A$8:$L$219,COLUMN()+1,0),"Not Found"))</f>
        <v/>
      </c>
      <c r="I33" s="7" t="str">
        <f>IF(H33="","",IFERROR(VLOOKUP($A33&amp;$L33,'On Hand Details'!$A$8:$L$219,COLUMN()+1,0),"Not Found"))</f>
        <v/>
      </c>
      <c r="J33" s="7" t="str">
        <f>IF(I33="","",IFERROR(VLOOKUP($A33&amp;$L33,'On Hand Details'!$A$8:$L$219,COLUMN()+1,0),"Not Found"))</f>
        <v/>
      </c>
      <c r="K33" s="7" t="str">
        <f>IF(J33="","",IFERROR(VLOOKUP($A33&amp;$L33,'On Hand Details'!$A$8:$L$219,COLUMN()+1,0),"Not Found"))</f>
        <v/>
      </c>
      <c r="L33" s="7"/>
    </row>
    <row r="34" spans="1:12">
      <c r="A34" s="7"/>
      <c r="B34" s="7" t="str">
        <f>IF(A34="","",IFERROR(VLOOKUP($A34&amp;$L34,'On Hand Details'!$A$8:$L$219,COLUMN()+1,0),"Not Found"))</f>
        <v/>
      </c>
      <c r="C34" s="7" t="str">
        <f>IF(B34="","",IFERROR(VLOOKUP($A34&amp;$L34,'On Hand Details'!$A$8:$L$219,COLUMN()+1,0),"Not Found"))</f>
        <v/>
      </c>
      <c r="D34" s="7" t="str">
        <f>IF(C34="","",IFERROR(VLOOKUP($A34&amp;$L34,'On Hand Details'!$A$8:$L$219,COLUMN()+1,0),"Not Found"))</f>
        <v/>
      </c>
      <c r="E34" s="7" t="str">
        <f>IF(D34="","",IFERROR(VLOOKUP($A34&amp;$L34,'On Hand Details'!$A$8:$L$219,COLUMN()+1,0),"Not Found"))</f>
        <v/>
      </c>
      <c r="F34" s="7" t="str">
        <f>IF(E34="","",IFERROR(VLOOKUP($A34&amp;$L34,'On Hand Details'!$A$8:$L$219,COLUMN()+1,0),"Not Found"))</f>
        <v/>
      </c>
      <c r="G34" s="7" t="str">
        <f>IF(F34="","",IFERROR(VLOOKUP($A34&amp;$L34,'On Hand Details'!$A$8:$L$219,COLUMN()+1,0),"Not Found"))</f>
        <v/>
      </c>
      <c r="H34" s="7" t="str">
        <f>IF(G34="","",IFERROR(VLOOKUP($A34&amp;$L34,'On Hand Details'!$A$8:$L$219,COLUMN()+1,0),"Not Found"))</f>
        <v/>
      </c>
      <c r="I34" s="7" t="str">
        <f>IF(H34="","",IFERROR(VLOOKUP($A34&amp;$L34,'On Hand Details'!$A$8:$L$219,COLUMN()+1,0),"Not Found"))</f>
        <v/>
      </c>
      <c r="J34" s="7" t="str">
        <f>IF(I34="","",IFERROR(VLOOKUP($A34&amp;$L34,'On Hand Details'!$A$8:$L$219,COLUMN()+1,0),"Not Found"))</f>
        <v/>
      </c>
      <c r="K34" s="7" t="str">
        <f>IF(J34="","",IFERROR(VLOOKUP($A34&amp;$L34,'On Hand Details'!$A$8:$L$219,COLUMN()+1,0),"Not Found"))</f>
        <v/>
      </c>
      <c r="L34" s="7"/>
    </row>
    <row r="35" spans="1:12">
      <c r="A35" s="7"/>
      <c r="B35" s="7" t="str">
        <f>IF(A35="","",IFERROR(VLOOKUP($A35&amp;$L35,'On Hand Details'!$A$8:$L$219,COLUMN()+1,0),"Not Found"))</f>
        <v/>
      </c>
      <c r="C35" s="7" t="str">
        <f>IF(B35="","",IFERROR(VLOOKUP($A35&amp;$L35,'On Hand Details'!$A$8:$L$219,COLUMN()+1,0),"Not Found"))</f>
        <v/>
      </c>
      <c r="D35" s="7" t="str">
        <f>IF(C35="","",IFERROR(VLOOKUP($A35&amp;$L35,'On Hand Details'!$A$8:$L$219,COLUMN()+1,0),"Not Found"))</f>
        <v/>
      </c>
      <c r="E35" s="7" t="str">
        <f>IF(D35="","",IFERROR(VLOOKUP($A35&amp;$L35,'On Hand Details'!$A$8:$L$219,COLUMN()+1,0),"Not Found"))</f>
        <v/>
      </c>
      <c r="F35" s="7" t="str">
        <f>IF(E35="","",IFERROR(VLOOKUP($A35&amp;$L35,'On Hand Details'!$A$8:$L$219,COLUMN()+1,0),"Not Found"))</f>
        <v/>
      </c>
      <c r="G35" s="7" t="str">
        <f>IF(F35="","",IFERROR(VLOOKUP($A35&amp;$L35,'On Hand Details'!$A$8:$L$219,COLUMN()+1,0),"Not Found"))</f>
        <v/>
      </c>
      <c r="H35" s="7" t="str">
        <f>IF(G35="","",IFERROR(VLOOKUP($A35&amp;$L35,'On Hand Details'!$A$8:$L$219,COLUMN()+1,0),"Not Found"))</f>
        <v/>
      </c>
      <c r="I35" s="7" t="str">
        <f>IF(H35="","",IFERROR(VLOOKUP($A35&amp;$L35,'On Hand Details'!$A$8:$L$219,COLUMN()+1,0),"Not Found"))</f>
        <v/>
      </c>
      <c r="J35" s="7" t="str">
        <f>IF(I35="","",IFERROR(VLOOKUP($A35&amp;$L35,'On Hand Details'!$A$8:$L$219,COLUMN()+1,0),"Not Found"))</f>
        <v/>
      </c>
      <c r="K35" s="7" t="str">
        <f>IF(J35="","",IFERROR(VLOOKUP($A35&amp;$L35,'On Hand Details'!$A$8:$L$219,COLUMN()+1,0),"Not Found"))</f>
        <v/>
      </c>
      <c r="L35" s="7"/>
    </row>
    <row r="36" spans="1:12">
      <c r="A36" s="7"/>
      <c r="B36" s="7" t="str">
        <f>IF(A36="","",IFERROR(VLOOKUP($A36&amp;$L36,'On Hand Details'!$A$8:$L$219,COLUMN()+1,0),"Not Found"))</f>
        <v/>
      </c>
      <c r="C36" s="7" t="str">
        <f>IF(B36="","",IFERROR(VLOOKUP($A36&amp;$L36,'On Hand Details'!$A$8:$L$219,COLUMN()+1,0),"Not Found"))</f>
        <v/>
      </c>
      <c r="D36" s="7" t="str">
        <f>IF(C36="","",IFERROR(VLOOKUP($A36&amp;$L36,'On Hand Details'!$A$8:$L$219,COLUMN()+1,0),"Not Found"))</f>
        <v/>
      </c>
      <c r="E36" s="7" t="str">
        <f>IF(D36="","",IFERROR(VLOOKUP($A36&amp;$L36,'On Hand Details'!$A$8:$L$219,COLUMN()+1,0),"Not Found"))</f>
        <v/>
      </c>
      <c r="F36" s="7" t="str">
        <f>IF(E36="","",IFERROR(VLOOKUP($A36&amp;$L36,'On Hand Details'!$A$8:$L$219,COLUMN()+1,0),"Not Found"))</f>
        <v/>
      </c>
      <c r="G36" s="7" t="str">
        <f>IF(F36="","",IFERROR(VLOOKUP($A36&amp;$L36,'On Hand Details'!$A$8:$L$219,COLUMN()+1,0),"Not Found"))</f>
        <v/>
      </c>
      <c r="H36" s="7" t="str">
        <f>IF(G36="","",IFERROR(VLOOKUP($A36&amp;$L36,'On Hand Details'!$A$8:$L$219,COLUMN()+1,0),"Not Found"))</f>
        <v/>
      </c>
      <c r="I36" s="7" t="str">
        <f>IF(H36="","",IFERROR(VLOOKUP($A36&amp;$L36,'On Hand Details'!$A$8:$L$219,COLUMN()+1,0),"Not Found"))</f>
        <v/>
      </c>
      <c r="J36" s="7" t="str">
        <f>IF(I36="","",IFERROR(VLOOKUP($A36&amp;$L36,'On Hand Details'!$A$8:$L$219,COLUMN()+1,0),"Not Found"))</f>
        <v/>
      </c>
      <c r="K36" s="7" t="str">
        <f>IF(J36="","",IFERROR(VLOOKUP($A36&amp;$L36,'On Hand Details'!$A$8:$L$219,COLUMN()+1,0),"Not Found"))</f>
        <v/>
      </c>
      <c r="L36" s="7"/>
    </row>
    <row r="37" spans="1:12">
      <c r="A37" s="7"/>
      <c r="B37" s="7" t="str">
        <f>IF(A37="","",IFERROR(VLOOKUP($A37&amp;$L37,'On Hand Details'!$A$8:$L$219,COLUMN()+1,0),"Not Found"))</f>
        <v/>
      </c>
      <c r="C37" s="7" t="str">
        <f>IF(B37="","",IFERROR(VLOOKUP($A37&amp;$L37,'On Hand Details'!$A$8:$L$219,COLUMN()+1,0),"Not Found"))</f>
        <v/>
      </c>
      <c r="D37" s="7" t="str">
        <f>IF(C37="","",IFERROR(VLOOKUP($A37&amp;$L37,'On Hand Details'!$A$8:$L$219,COLUMN()+1,0),"Not Found"))</f>
        <v/>
      </c>
      <c r="E37" s="7" t="str">
        <f>IF(D37="","",IFERROR(VLOOKUP($A37&amp;$L37,'On Hand Details'!$A$8:$L$219,COLUMN()+1,0),"Not Found"))</f>
        <v/>
      </c>
      <c r="F37" s="7" t="str">
        <f>IF(E37="","",IFERROR(VLOOKUP($A37&amp;$L37,'On Hand Details'!$A$8:$L$219,COLUMN()+1,0),"Not Found"))</f>
        <v/>
      </c>
      <c r="G37" s="7" t="str">
        <f>IF(F37="","",IFERROR(VLOOKUP($A37&amp;$L37,'On Hand Details'!$A$8:$L$219,COLUMN()+1,0),"Not Found"))</f>
        <v/>
      </c>
      <c r="H37" s="7" t="str">
        <f>IF(G37="","",IFERROR(VLOOKUP($A37&amp;$L37,'On Hand Details'!$A$8:$L$219,COLUMN()+1,0),"Not Found"))</f>
        <v/>
      </c>
      <c r="I37" s="7" t="str">
        <f>IF(H37="","",IFERROR(VLOOKUP($A37&amp;$L37,'On Hand Details'!$A$8:$L$219,COLUMN()+1,0),"Not Found"))</f>
        <v/>
      </c>
      <c r="J37" s="7" t="str">
        <f>IF(I37="","",IFERROR(VLOOKUP($A37&amp;$L37,'On Hand Details'!$A$8:$L$219,COLUMN()+1,0),"Not Found"))</f>
        <v/>
      </c>
      <c r="K37" s="7" t="str">
        <f>IF(J37="","",IFERROR(VLOOKUP($A37&amp;$L37,'On Hand Details'!$A$8:$L$219,COLUMN()+1,0),"Not Found"))</f>
        <v/>
      </c>
      <c r="L37" s="7"/>
    </row>
    <row r="38" spans="1:12">
      <c r="A38" s="7"/>
      <c r="B38" s="7" t="str">
        <f>IF(A38="","",IFERROR(VLOOKUP($A38&amp;$L38,'On Hand Details'!$A$8:$L$219,COLUMN()+1,0),"Not Found"))</f>
        <v/>
      </c>
      <c r="C38" s="7" t="str">
        <f>IF(B38="","",IFERROR(VLOOKUP($A38&amp;$L38,'On Hand Details'!$A$8:$L$219,COLUMN()+1,0),"Not Found"))</f>
        <v/>
      </c>
      <c r="D38" s="7" t="str">
        <f>IF(C38="","",IFERROR(VLOOKUP($A38&amp;$L38,'On Hand Details'!$A$8:$L$219,COLUMN()+1,0),"Not Found"))</f>
        <v/>
      </c>
      <c r="E38" s="7" t="str">
        <f>IF(D38="","",IFERROR(VLOOKUP($A38&amp;$L38,'On Hand Details'!$A$8:$L$219,COLUMN()+1,0),"Not Found"))</f>
        <v/>
      </c>
      <c r="F38" s="7" t="str">
        <f>IF(E38="","",IFERROR(VLOOKUP($A38&amp;$L38,'On Hand Details'!$A$8:$L$219,COLUMN()+1,0),"Not Found"))</f>
        <v/>
      </c>
      <c r="G38" s="7" t="str">
        <f>IF(F38="","",IFERROR(VLOOKUP($A38&amp;$L38,'On Hand Details'!$A$8:$L$219,COLUMN()+1,0),"Not Found"))</f>
        <v/>
      </c>
      <c r="H38" s="7" t="str">
        <f>IF(G38="","",IFERROR(VLOOKUP($A38&amp;$L38,'On Hand Details'!$A$8:$L$219,COLUMN()+1,0),"Not Found"))</f>
        <v/>
      </c>
      <c r="I38" s="7" t="str">
        <f>IF(H38="","",IFERROR(VLOOKUP($A38&amp;$L38,'On Hand Details'!$A$8:$L$219,COLUMN()+1,0),"Not Found"))</f>
        <v/>
      </c>
      <c r="J38" s="7" t="str">
        <f>IF(I38="","",IFERROR(VLOOKUP($A38&amp;$L38,'On Hand Details'!$A$8:$L$219,COLUMN()+1,0),"Not Found"))</f>
        <v/>
      </c>
      <c r="K38" s="7" t="str">
        <f>IF(J38="","",IFERROR(VLOOKUP($A38&amp;$L38,'On Hand Details'!$A$8:$L$219,COLUMN()+1,0),"Not Found"))</f>
        <v/>
      </c>
      <c r="L38" s="7"/>
    </row>
    <row r="39" spans="1:12">
      <c r="A39" s="7"/>
      <c r="B39" s="7" t="str">
        <f>IF(A39="","",IFERROR(VLOOKUP($A39&amp;$L39,'On Hand Details'!$A$8:$L$219,COLUMN()+1,0),"Not Found"))</f>
        <v/>
      </c>
      <c r="C39" s="7" t="str">
        <f>IF(B39="","",IFERROR(VLOOKUP($A39&amp;$L39,'On Hand Details'!$A$8:$L$219,COLUMN()+1,0),"Not Found"))</f>
        <v/>
      </c>
      <c r="D39" s="7" t="str">
        <f>IF(C39="","",IFERROR(VLOOKUP($A39&amp;$L39,'On Hand Details'!$A$8:$L$219,COLUMN()+1,0),"Not Found"))</f>
        <v/>
      </c>
      <c r="E39" s="7" t="str">
        <f>IF(D39="","",IFERROR(VLOOKUP($A39&amp;$L39,'On Hand Details'!$A$8:$L$219,COLUMN()+1,0),"Not Found"))</f>
        <v/>
      </c>
      <c r="F39" s="7" t="str">
        <f>IF(E39="","",IFERROR(VLOOKUP($A39&amp;$L39,'On Hand Details'!$A$8:$L$219,COLUMN()+1,0),"Not Found"))</f>
        <v/>
      </c>
      <c r="G39" s="7" t="str">
        <f>IF(F39="","",IFERROR(VLOOKUP($A39&amp;$L39,'On Hand Details'!$A$8:$L$219,COLUMN()+1,0),"Not Found"))</f>
        <v/>
      </c>
      <c r="H39" s="7" t="str">
        <f>IF(G39="","",IFERROR(VLOOKUP($A39&amp;$L39,'On Hand Details'!$A$8:$L$219,COLUMN()+1,0),"Not Found"))</f>
        <v/>
      </c>
      <c r="I39" s="7" t="str">
        <f>IF(H39="","",IFERROR(VLOOKUP($A39&amp;$L39,'On Hand Details'!$A$8:$L$219,COLUMN()+1,0),"Not Found"))</f>
        <v/>
      </c>
      <c r="J39" s="7" t="str">
        <f>IF(I39="","",IFERROR(VLOOKUP($A39&amp;$L39,'On Hand Details'!$A$8:$L$219,COLUMN()+1,0),"Not Found"))</f>
        <v/>
      </c>
      <c r="K39" s="7" t="str">
        <f>IF(J39="","",IFERROR(VLOOKUP($A39&amp;$L39,'On Hand Details'!$A$8:$L$219,COLUMN()+1,0),"Not Found"))</f>
        <v/>
      </c>
      <c r="L39" s="7"/>
    </row>
    <row r="40" spans="1:12">
      <c r="A40" s="7"/>
      <c r="B40" s="7" t="str">
        <f>IF(A40="","",IFERROR(VLOOKUP($A40&amp;$L40,'On Hand Details'!$A$8:$L$219,COLUMN()+1,0),"Not Found"))</f>
        <v/>
      </c>
      <c r="C40" s="7" t="str">
        <f>IF(B40="","",IFERROR(VLOOKUP($A40&amp;$L40,'On Hand Details'!$A$8:$L$219,COLUMN()+1,0),"Not Found"))</f>
        <v/>
      </c>
      <c r="D40" s="7" t="str">
        <f>IF(C40="","",IFERROR(VLOOKUP($A40&amp;$L40,'On Hand Details'!$A$8:$L$219,COLUMN()+1,0),"Not Found"))</f>
        <v/>
      </c>
      <c r="E40" s="7" t="str">
        <f>IF(D40="","",IFERROR(VLOOKUP($A40&amp;$L40,'On Hand Details'!$A$8:$L$219,COLUMN()+1,0),"Not Found"))</f>
        <v/>
      </c>
      <c r="F40" s="7" t="str">
        <f>IF(E40="","",IFERROR(VLOOKUP($A40&amp;$L40,'On Hand Details'!$A$8:$L$219,COLUMN()+1,0),"Not Found"))</f>
        <v/>
      </c>
      <c r="G40" s="7" t="str">
        <f>IF(F40="","",IFERROR(VLOOKUP($A40&amp;$L40,'On Hand Details'!$A$8:$L$219,COLUMN()+1,0),"Not Found"))</f>
        <v/>
      </c>
      <c r="H40" s="7" t="str">
        <f>IF(G40="","",IFERROR(VLOOKUP($A40&amp;$L40,'On Hand Details'!$A$8:$L$219,COLUMN()+1,0),"Not Found"))</f>
        <v/>
      </c>
      <c r="I40" s="7" t="str">
        <f>IF(H40="","",IFERROR(VLOOKUP($A40&amp;$L40,'On Hand Details'!$A$8:$L$219,COLUMN()+1,0),"Not Found"))</f>
        <v/>
      </c>
      <c r="J40" s="7" t="str">
        <f>IF(I40="","",IFERROR(VLOOKUP($A40&amp;$L40,'On Hand Details'!$A$8:$L$219,COLUMN()+1,0),"Not Found"))</f>
        <v/>
      </c>
      <c r="K40" s="7" t="str">
        <f>IF(J40="","",IFERROR(VLOOKUP($A40&amp;$L40,'On Hand Details'!$A$8:$L$219,COLUMN()+1,0),"Not Found"))</f>
        <v/>
      </c>
      <c r="L40" s="7"/>
    </row>
    <row r="41" spans="1:12">
      <c r="A41" s="7"/>
      <c r="B41" s="7" t="str">
        <f>IF(A41="","",IFERROR(VLOOKUP($A41&amp;$L41,'On Hand Details'!$A$8:$L$219,COLUMN()+1,0),"Not Found"))</f>
        <v/>
      </c>
      <c r="C41" s="7" t="str">
        <f>IF(B41="","",IFERROR(VLOOKUP($A41&amp;$L41,'On Hand Details'!$A$8:$L$219,COLUMN()+1,0),"Not Found"))</f>
        <v/>
      </c>
      <c r="D41" s="7" t="str">
        <f>IF(C41="","",IFERROR(VLOOKUP($A41&amp;$L41,'On Hand Details'!$A$8:$L$219,COLUMN()+1,0),"Not Found"))</f>
        <v/>
      </c>
      <c r="E41" s="7" t="str">
        <f>IF(D41="","",IFERROR(VLOOKUP($A41&amp;$L41,'On Hand Details'!$A$8:$L$219,COLUMN()+1,0),"Not Found"))</f>
        <v/>
      </c>
      <c r="F41" s="7" t="str">
        <f>IF(E41="","",IFERROR(VLOOKUP($A41&amp;$L41,'On Hand Details'!$A$8:$L$219,COLUMN()+1,0),"Not Found"))</f>
        <v/>
      </c>
      <c r="G41" s="7" t="str">
        <f>IF(F41="","",IFERROR(VLOOKUP($A41&amp;$L41,'On Hand Details'!$A$8:$L$219,COLUMN()+1,0),"Not Found"))</f>
        <v/>
      </c>
      <c r="H41" s="7" t="str">
        <f>IF(G41="","",IFERROR(VLOOKUP($A41&amp;$L41,'On Hand Details'!$A$8:$L$219,COLUMN()+1,0),"Not Found"))</f>
        <v/>
      </c>
      <c r="I41" s="7" t="str">
        <f>IF(H41="","",IFERROR(VLOOKUP($A41&amp;$L41,'On Hand Details'!$A$8:$L$219,COLUMN()+1,0),"Not Found"))</f>
        <v/>
      </c>
      <c r="J41" s="7" t="str">
        <f>IF(I41="","",IFERROR(VLOOKUP($A41&amp;$L41,'On Hand Details'!$A$8:$L$219,COLUMN()+1,0),"Not Found"))</f>
        <v/>
      </c>
      <c r="K41" s="7" t="str">
        <f>IF(J41="","",IFERROR(VLOOKUP($A41&amp;$L41,'On Hand Details'!$A$8:$L$219,COLUMN()+1,0),"Not Found"))</f>
        <v/>
      </c>
      <c r="L41" s="7"/>
    </row>
    <row r="42" spans="1:12">
      <c r="A42" s="7"/>
      <c r="B42" s="7" t="str">
        <f>IF(A42="","",IFERROR(VLOOKUP($A42&amp;$L42,'On Hand Details'!$A$8:$L$219,COLUMN()+1,0),"Not Found"))</f>
        <v/>
      </c>
      <c r="C42" s="7" t="str">
        <f>IF(B42="","",IFERROR(VLOOKUP($A42&amp;$L42,'On Hand Details'!$A$8:$L$219,COLUMN()+1,0),"Not Found"))</f>
        <v/>
      </c>
      <c r="D42" s="7" t="str">
        <f>IF(C42="","",IFERROR(VLOOKUP($A42&amp;$L42,'On Hand Details'!$A$8:$L$219,COLUMN()+1,0),"Not Found"))</f>
        <v/>
      </c>
      <c r="E42" s="7" t="str">
        <f>IF(D42="","",IFERROR(VLOOKUP($A42&amp;$L42,'On Hand Details'!$A$8:$L$219,COLUMN()+1,0),"Not Found"))</f>
        <v/>
      </c>
      <c r="F42" s="7" t="str">
        <f>IF(E42="","",IFERROR(VLOOKUP($A42&amp;$L42,'On Hand Details'!$A$8:$L$219,COLUMN()+1,0),"Not Found"))</f>
        <v/>
      </c>
      <c r="G42" s="7" t="str">
        <f>IF(F42="","",IFERROR(VLOOKUP($A42&amp;$L42,'On Hand Details'!$A$8:$L$219,COLUMN()+1,0),"Not Found"))</f>
        <v/>
      </c>
      <c r="H42" s="7" t="str">
        <f>IF(G42="","",IFERROR(VLOOKUP($A42&amp;$L42,'On Hand Details'!$A$8:$L$219,COLUMN()+1,0),"Not Found"))</f>
        <v/>
      </c>
      <c r="I42" s="7" t="str">
        <f>IF(H42="","",IFERROR(VLOOKUP($A42&amp;$L42,'On Hand Details'!$A$8:$L$219,COLUMN()+1,0),"Not Found"))</f>
        <v/>
      </c>
      <c r="J42" s="7" t="str">
        <f>IF(I42="","",IFERROR(VLOOKUP($A42&amp;$L42,'On Hand Details'!$A$8:$L$219,COLUMN()+1,0),"Not Found"))</f>
        <v/>
      </c>
      <c r="K42" s="7" t="str">
        <f>IF(J42="","",IFERROR(VLOOKUP($A42&amp;$L42,'On Hand Details'!$A$8:$L$219,COLUMN()+1,0),"Not Found"))</f>
        <v/>
      </c>
      <c r="L42" s="7"/>
    </row>
    <row r="43" spans="1:12">
      <c r="A43" s="7"/>
      <c r="B43" s="7" t="str">
        <f>IF(A43="","",IFERROR(VLOOKUP($A43&amp;$L43,'On Hand Details'!$A$8:$L$219,COLUMN()+1,0),"Not Found"))</f>
        <v/>
      </c>
      <c r="C43" s="7" t="str">
        <f>IF(B43="","",IFERROR(VLOOKUP($A43&amp;$L43,'On Hand Details'!$A$8:$L$219,COLUMN()+1,0),"Not Found"))</f>
        <v/>
      </c>
      <c r="D43" s="7" t="str">
        <f>IF(C43="","",IFERROR(VLOOKUP($A43&amp;$L43,'On Hand Details'!$A$8:$L$219,COLUMN()+1,0),"Not Found"))</f>
        <v/>
      </c>
      <c r="E43" s="7" t="str">
        <f>IF(D43="","",IFERROR(VLOOKUP($A43&amp;$L43,'On Hand Details'!$A$8:$L$219,COLUMN()+1,0),"Not Found"))</f>
        <v/>
      </c>
      <c r="F43" s="7" t="str">
        <f>IF(E43="","",IFERROR(VLOOKUP($A43&amp;$L43,'On Hand Details'!$A$8:$L$219,COLUMN()+1,0),"Not Found"))</f>
        <v/>
      </c>
      <c r="G43" s="7" t="str">
        <f>IF(F43="","",IFERROR(VLOOKUP($A43&amp;$L43,'On Hand Details'!$A$8:$L$219,COLUMN()+1,0),"Not Found"))</f>
        <v/>
      </c>
      <c r="H43" s="7" t="str">
        <f>IF(G43="","",IFERROR(VLOOKUP($A43&amp;$L43,'On Hand Details'!$A$8:$L$219,COLUMN()+1,0),"Not Found"))</f>
        <v/>
      </c>
      <c r="I43" s="7" t="str">
        <f>IF(H43="","",IFERROR(VLOOKUP($A43&amp;$L43,'On Hand Details'!$A$8:$L$219,COLUMN()+1,0),"Not Found"))</f>
        <v/>
      </c>
      <c r="J43" s="7" t="str">
        <f>IF(I43="","",IFERROR(VLOOKUP($A43&amp;$L43,'On Hand Details'!$A$8:$L$219,COLUMN()+1,0),"Not Found"))</f>
        <v/>
      </c>
      <c r="K43" s="7" t="str">
        <f>IF(J43="","",IFERROR(VLOOKUP($A43&amp;$L43,'On Hand Details'!$A$8:$L$219,COLUMN()+1,0),"Not Found"))</f>
        <v/>
      </c>
      <c r="L43" s="7"/>
    </row>
    <row r="44" spans="1:12">
      <c r="A44" s="7"/>
      <c r="B44" s="7" t="str">
        <f>IF(A44="","",IFERROR(VLOOKUP($A44&amp;$L44,'On Hand Details'!$A$8:$L$219,COLUMN()+1,0),"Not Found"))</f>
        <v/>
      </c>
      <c r="C44" s="7" t="str">
        <f>IF(B44="","",IFERROR(VLOOKUP($A44&amp;$L44,'On Hand Details'!$A$8:$L$219,COLUMN()+1,0),"Not Found"))</f>
        <v/>
      </c>
      <c r="D44" s="7" t="str">
        <f>IF(C44="","",IFERROR(VLOOKUP($A44&amp;$L44,'On Hand Details'!$A$8:$L$219,COLUMN()+1,0),"Not Found"))</f>
        <v/>
      </c>
      <c r="E44" s="7" t="str">
        <f>IF(D44="","",IFERROR(VLOOKUP($A44&amp;$L44,'On Hand Details'!$A$8:$L$219,COLUMN()+1,0),"Not Found"))</f>
        <v/>
      </c>
      <c r="F44" s="7" t="str">
        <f>IF(E44="","",IFERROR(VLOOKUP($A44&amp;$L44,'On Hand Details'!$A$8:$L$219,COLUMN()+1,0),"Not Found"))</f>
        <v/>
      </c>
      <c r="G44" s="7" t="str">
        <f>IF(F44="","",IFERROR(VLOOKUP($A44&amp;$L44,'On Hand Details'!$A$8:$L$219,COLUMN()+1,0),"Not Found"))</f>
        <v/>
      </c>
      <c r="H44" s="7" t="str">
        <f>IF(G44="","",IFERROR(VLOOKUP($A44&amp;$L44,'On Hand Details'!$A$8:$L$219,COLUMN()+1,0),"Not Found"))</f>
        <v/>
      </c>
      <c r="I44" s="7" t="str">
        <f>IF(H44="","",IFERROR(VLOOKUP($A44&amp;$L44,'On Hand Details'!$A$8:$L$219,COLUMN()+1,0),"Not Found"))</f>
        <v/>
      </c>
      <c r="J44" s="7" t="str">
        <f>IF(I44="","",IFERROR(VLOOKUP($A44&amp;$L44,'On Hand Details'!$A$8:$L$219,COLUMN()+1,0),"Not Found"))</f>
        <v/>
      </c>
      <c r="K44" s="7" t="str">
        <f>IF(J44="","",IFERROR(VLOOKUP($A44&amp;$L44,'On Hand Details'!$A$8:$L$219,COLUMN()+1,0),"Not Found"))</f>
        <v/>
      </c>
      <c r="L44" s="7"/>
    </row>
    <row r="45" spans="1:12">
      <c r="A45" s="7"/>
      <c r="B45" s="7" t="str">
        <f>IF(A45="","",IFERROR(VLOOKUP($A45&amp;$L45,'On Hand Details'!$A$8:$L$219,COLUMN()+1,0),"Not Found"))</f>
        <v/>
      </c>
      <c r="C45" s="7" t="str">
        <f>IF(B45="","",IFERROR(VLOOKUP($A45&amp;$L45,'On Hand Details'!$A$8:$L$219,COLUMN()+1,0),"Not Found"))</f>
        <v/>
      </c>
      <c r="D45" s="7" t="str">
        <f>IF(C45="","",IFERROR(VLOOKUP($A45&amp;$L45,'On Hand Details'!$A$8:$L$219,COLUMN()+1,0),"Not Found"))</f>
        <v/>
      </c>
      <c r="E45" s="7" t="str">
        <f>IF(D45="","",IFERROR(VLOOKUP($A45&amp;$L45,'On Hand Details'!$A$8:$L$219,COLUMN()+1,0),"Not Found"))</f>
        <v/>
      </c>
      <c r="F45" s="7" t="str">
        <f>IF(E45="","",IFERROR(VLOOKUP($A45&amp;$L45,'On Hand Details'!$A$8:$L$219,COLUMN()+1,0),"Not Found"))</f>
        <v/>
      </c>
      <c r="G45" s="7" t="str">
        <f>IF(F45="","",IFERROR(VLOOKUP($A45&amp;$L45,'On Hand Details'!$A$8:$L$219,COLUMN()+1,0),"Not Found"))</f>
        <v/>
      </c>
      <c r="H45" s="7" t="str">
        <f>IF(G45="","",IFERROR(VLOOKUP($A45&amp;$L45,'On Hand Details'!$A$8:$L$219,COLUMN()+1,0),"Not Found"))</f>
        <v/>
      </c>
      <c r="I45" s="7" t="str">
        <f>IF(H45="","",IFERROR(VLOOKUP($A45&amp;$L45,'On Hand Details'!$A$8:$L$219,COLUMN()+1,0),"Not Found"))</f>
        <v/>
      </c>
      <c r="J45" s="7" t="str">
        <f>IF(I45="","",IFERROR(VLOOKUP($A45&amp;$L45,'On Hand Details'!$A$8:$L$219,COLUMN()+1,0),"Not Found"))</f>
        <v/>
      </c>
      <c r="K45" s="7" t="str">
        <f>IF(J45="","",IFERROR(VLOOKUP($A45&amp;$L45,'On Hand Details'!$A$8:$L$219,COLUMN()+1,0),"Not Found"))</f>
        <v/>
      </c>
      <c r="L45" s="7"/>
    </row>
    <row r="46" spans="1:12">
      <c r="A46" s="7"/>
      <c r="B46" s="7" t="str">
        <f>IF(A46="","",IFERROR(VLOOKUP($A46&amp;$L46,'On Hand Details'!$A$8:$L$219,COLUMN()+1,0),"Not Found"))</f>
        <v/>
      </c>
      <c r="C46" s="7" t="str">
        <f>IF(B46="","",IFERROR(VLOOKUP($A46&amp;$L46,'On Hand Details'!$A$8:$L$219,COLUMN()+1,0),"Not Found"))</f>
        <v/>
      </c>
      <c r="D46" s="7" t="str">
        <f>IF(C46="","",IFERROR(VLOOKUP($A46&amp;$L46,'On Hand Details'!$A$8:$L$219,COLUMN()+1,0),"Not Found"))</f>
        <v/>
      </c>
      <c r="E46" s="7" t="str">
        <f>IF(D46="","",IFERROR(VLOOKUP($A46&amp;$L46,'On Hand Details'!$A$8:$L$219,COLUMN()+1,0),"Not Found"))</f>
        <v/>
      </c>
      <c r="F46" s="7" t="str">
        <f>IF(E46="","",IFERROR(VLOOKUP($A46&amp;$L46,'On Hand Details'!$A$8:$L$219,COLUMN()+1,0),"Not Found"))</f>
        <v/>
      </c>
      <c r="G46" s="7" t="str">
        <f>IF(F46="","",IFERROR(VLOOKUP($A46&amp;$L46,'On Hand Details'!$A$8:$L$219,COLUMN()+1,0),"Not Found"))</f>
        <v/>
      </c>
      <c r="H46" s="7" t="str">
        <f>IF(G46="","",IFERROR(VLOOKUP($A46&amp;$L46,'On Hand Details'!$A$8:$L$219,COLUMN()+1,0),"Not Found"))</f>
        <v/>
      </c>
      <c r="I46" s="7" t="str">
        <f>IF(H46="","",IFERROR(VLOOKUP($A46&amp;$L46,'On Hand Details'!$A$8:$L$219,COLUMN()+1,0),"Not Found"))</f>
        <v/>
      </c>
      <c r="J46" s="7" t="str">
        <f>IF(I46="","",IFERROR(VLOOKUP($A46&amp;$L46,'On Hand Details'!$A$8:$L$219,COLUMN()+1,0),"Not Found"))</f>
        <v/>
      </c>
      <c r="K46" s="7" t="str">
        <f>IF(J46="","",IFERROR(VLOOKUP($A46&amp;$L46,'On Hand Details'!$A$8:$L$219,COLUMN()+1,0),"Not Found"))</f>
        <v/>
      </c>
      <c r="L46" s="7"/>
    </row>
    <row r="47" spans="1:12">
      <c r="A47" s="7"/>
      <c r="B47" s="7" t="str">
        <f>IF(A47="","",IFERROR(VLOOKUP($A47&amp;$L47,'On Hand Details'!$A$8:$L$219,COLUMN()+1,0),"Not Found"))</f>
        <v/>
      </c>
      <c r="C47" s="7" t="str">
        <f>IF(B47="","",IFERROR(VLOOKUP($A47&amp;$L47,'On Hand Details'!$A$8:$L$219,COLUMN()+1,0),"Not Found"))</f>
        <v/>
      </c>
      <c r="D47" s="7" t="str">
        <f>IF(C47="","",IFERROR(VLOOKUP($A47&amp;$L47,'On Hand Details'!$A$8:$L$219,COLUMN()+1,0),"Not Found"))</f>
        <v/>
      </c>
      <c r="E47" s="7" t="str">
        <f>IF(D47="","",IFERROR(VLOOKUP($A47&amp;$L47,'On Hand Details'!$A$8:$L$219,COLUMN()+1,0),"Not Found"))</f>
        <v/>
      </c>
      <c r="F47" s="7" t="str">
        <f>IF(E47="","",IFERROR(VLOOKUP($A47&amp;$L47,'On Hand Details'!$A$8:$L$219,COLUMN()+1,0),"Not Found"))</f>
        <v/>
      </c>
      <c r="G47" s="7" t="str">
        <f>IF(F47="","",IFERROR(VLOOKUP($A47&amp;$L47,'On Hand Details'!$A$8:$L$219,COLUMN()+1,0),"Not Found"))</f>
        <v/>
      </c>
      <c r="H47" s="7" t="str">
        <f>IF(G47="","",IFERROR(VLOOKUP($A47&amp;$L47,'On Hand Details'!$A$8:$L$219,COLUMN()+1,0),"Not Found"))</f>
        <v/>
      </c>
      <c r="I47" s="7" t="str">
        <f>IF(H47="","",IFERROR(VLOOKUP($A47&amp;$L47,'On Hand Details'!$A$8:$L$219,COLUMN()+1,0),"Not Found"))</f>
        <v/>
      </c>
      <c r="J47" s="7" t="str">
        <f>IF(I47="","",IFERROR(VLOOKUP($A47&amp;$L47,'On Hand Details'!$A$8:$L$219,COLUMN()+1,0),"Not Found"))</f>
        <v/>
      </c>
      <c r="K47" s="7" t="str">
        <f>IF(J47="","",IFERROR(VLOOKUP($A47&amp;$L47,'On Hand Details'!$A$8:$L$219,COLUMN()+1,0),"Not Found"))</f>
        <v/>
      </c>
      <c r="L47" s="7"/>
    </row>
    <row r="48" spans="1:12">
      <c r="A48" s="7"/>
      <c r="B48" s="7" t="str">
        <f>IF(A48="","",IFERROR(VLOOKUP($A48&amp;$L48,'On Hand Details'!$A$8:$L$219,COLUMN()+1,0),"Not Found"))</f>
        <v/>
      </c>
      <c r="C48" s="7" t="str">
        <f>IF(B48="","",IFERROR(VLOOKUP($A48&amp;$L48,'On Hand Details'!$A$8:$L$219,COLUMN()+1,0),"Not Found"))</f>
        <v/>
      </c>
      <c r="D48" s="7" t="str">
        <f>IF(C48="","",IFERROR(VLOOKUP($A48&amp;$L48,'On Hand Details'!$A$8:$L$219,COLUMN()+1,0),"Not Found"))</f>
        <v/>
      </c>
      <c r="E48" s="7" t="str">
        <f>IF(D48="","",IFERROR(VLOOKUP($A48&amp;$L48,'On Hand Details'!$A$8:$L$219,COLUMN()+1,0),"Not Found"))</f>
        <v/>
      </c>
      <c r="F48" s="7" t="str">
        <f>IF(E48="","",IFERROR(VLOOKUP($A48&amp;$L48,'On Hand Details'!$A$8:$L$219,COLUMN()+1,0),"Not Found"))</f>
        <v/>
      </c>
      <c r="G48" s="7" t="str">
        <f>IF(F48="","",IFERROR(VLOOKUP($A48&amp;$L48,'On Hand Details'!$A$8:$L$219,COLUMN()+1,0),"Not Found"))</f>
        <v/>
      </c>
      <c r="H48" s="7" t="str">
        <f>IF(G48="","",IFERROR(VLOOKUP($A48&amp;$L48,'On Hand Details'!$A$8:$L$219,COLUMN()+1,0),"Not Found"))</f>
        <v/>
      </c>
      <c r="I48" s="7" t="str">
        <f>IF(H48="","",IFERROR(VLOOKUP($A48&amp;$L48,'On Hand Details'!$A$8:$L$219,COLUMN()+1,0),"Not Found"))</f>
        <v/>
      </c>
      <c r="J48" s="7" t="str">
        <f>IF(I48="","",IFERROR(VLOOKUP($A48&amp;$L48,'On Hand Details'!$A$8:$L$219,COLUMN()+1,0),"Not Found"))</f>
        <v/>
      </c>
      <c r="K48" s="7" t="str">
        <f>IF(J48="","",IFERROR(VLOOKUP($A48&amp;$L48,'On Hand Details'!$A$8:$L$219,COLUMN()+1,0),"Not Found"))</f>
        <v/>
      </c>
      <c r="L48" s="7"/>
    </row>
    <row r="49" spans="1:12">
      <c r="A49" s="7"/>
      <c r="B49" s="7" t="str">
        <f>IF(A49="","",IFERROR(VLOOKUP($A49&amp;$L49,'On Hand Details'!$A$8:$L$219,COLUMN()+1,0),"Not Found"))</f>
        <v/>
      </c>
      <c r="C49" s="7" t="str">
        <f>IF(B49="","",IFERROR(VLOOKUP($A49&amp;$L49,'On Hand Details'!$A$8:$L$219,COLUMN()+1,0),"Not Found"))</f>
        <v/>
      </c>
      <c r="D49" s="7" t="str">
        <f>IF(C49="","",IFERROR(VLOOKUP($A49&amp;$L49,'On Hand Details'!$A$8:$L$219,COLUMN()+1,0),"Not Found"))</f>
        <v/>
      </c>
      <c r="E49" s="7" t="str">
        <f>IF(D49="","",IFERROR(VLOOKUP($A49&amp;$L49,'On Hand Details'!$A$8:$L$219,COLUMN()+1,0),"Not Found"))</f>
        <v/>
      </c>
      <c r="F49" s="7" t="str">
        <f>IF(E49="","",IFERROR(VLOOKUP($A49&amp;$L49,'On Hand Details'!$A$8:$L$219,COLUMN()+1,0),"Not Found"))</f>
        <v/>
      </c>
      <c r="G49" s="7" t="str">
        <f>IF(F49="","",IFERROR(VLOOKUP($A49&amp;$L49,'On Hand Details'!$A$8:$L$219,COLUMN()+1,0),"Not Found"))</f>
        <v/>
      </c>
      <c r="H49" s="7" t="str">
        <f>IF(G49="","",IFERROR(VLOOKUP($A49&amp;$L49,'On Hand Details'!$A$8:$L$219,COLUMN()+1,0),"Not Found"))</f>
        <v/>
      </c>
      <c r="I49" s="7" t="str">
        <f>IF(H49="","",IFERROR(VLOOKUP($A49&amp;$L49,'On Hand Details'!$A$8:$L$219,COLUMN()+1,0),"Not Found"))</f>
        <v/>
      </c>
      <c r="J49" s="7" t="str">
        <f>IF(I49="","",IFERROR(VLOOKUP($A49&amp;$L49,'On Hand Details'!$A$8:$L$219,COLUMN()+1,0),"Not Found"))</f>
        <v/>
      </c>
      <c r="K49" s="7" t="str">
        <f>IF(J49="","",IFERROR(VLOOKUP($A49&amp;$L49,'On Hand Details'!$A$8:$L$219,COLUMN()+1,0),"Not Found"))</f>
        <v/>
      </c>
      <c r="L49" s="7"/>
    </row>
    <row r="50" spans="1:12">
      <c r="A50" s="7"/>
      <c r="B50" s="7" t="str">
        <f>IF(A50="","",IFERROR(VLOOKUP($A50&amp;$L50,'On Hand Details'!$A$8:$L$219,COLUMN()+1,0),"Not Found"))</f>
        <v/>
      </c>
      <c r="C50" s="7" t="str">
        <f>IF(B50="","",IFERROR(VLOOKUP($A50&amp;$L50,'On Hand Details'!$A$8:$L$219,COLUMN()+1,0),"Not Found"))</f>
        <v/>
      </c>
      <c r="D50" s="7" t="str">
        <f>IF(C50="","",IFERROR(VLOOKUP($A50&amp;$L50,'On Hand Details'!$A$8:$L$219,COLUMN()+1,0),"Not Found"))</f>
        <v/>
      </c>
      <c r="E50" s="7" t="str">
        <f>IF(D50="","",IFERROR(VLOOKUP($A50&amp;$L50,'On Hand Details'!$A$8:$L$219,COLUMN()+1,0),"Not Found"))</f>
        <v/>
      </c>
      <c r="F50" s="7" t="str">
        <f>IF(E50="","",IFERROR(VLOOKUP($A50&amp;$L50,'On Hand Details'!$A$8:$L$219,COLUMN()+1,0),"Not Found"))</f>
        <v/>
      </c>
      <c r="G50" s="7" t="str">
        <f>IF(F50="","",IFERROR(VLOOKUP($A50&amp;$L50,'On Hand Details'!$A$8:$L$219,COLUMN()+1,0),"Not Found"))</f>
        <v/>
      </c>
      <c r="H50" s="7" t="str">
        <f>IF(G50="","",IFERROR(VLOOKUP($A50&amp;$L50,'On Hand Details'!$A$8:$L$219,COLUMN()+1,0),"Not Found"))</f>
        <v/>
      </c>
      <c r="I50" s="7" t="str">
        <f>IF(H50="","",IFERROR(VLOOKUP($A50&amp;$L50,'On Hand Details'!$A$8:$L$219,COLUMN()+1,0),"Not Found"))</f>
        <v/>
      </c>
      <c r="J50" s="7" t="str">
        <f>IF(I50="","",IFERROR(VLOOKUP($A50&amp;$L50,'On Hand Details'!$A$8:$L$219,COLUMN()+1,0),"Not Found"))</f>
        <v/>
      </c>
      <c r="K50" s="7" t="str">
        <f>IF(J50="","",IFERROR(VLOOKUP($A50&amp;$L50,'On Hand Details'!$A$8:$L$219,COLUMN()+1,0),"Not Found"))</f>
        <v/>
      </c>
      <c r="L50" s="7"/>
    </row>
    <row r="51" spans="1:12">
      <c r="A51" s="7"/>
      <c r="B51" s="7" t="str">
        <f>IF(A51="","",IFERROR(VLOOKUP($A51&amp;$L51,'On Hand Details'!$A$8:$L$219,COLUMN()+1,0),"Not Found"))</f>
        <v/>
      </c>
      <c r="C51" s="7" t="str">
        <f>IF(B51="","",IFERROR(VLOOKUP($A51&amp;$L51,'On Hand Details'!$A$8:$L$219,COLUMN()+1,0),"Not Found"))</f>
        <v/>
      </c>
      <c r="D51" s="7" t="str">
        <f>IF(C51="","",IFERROR(VLOOKUP($A51&amp;$L51,'On Hand Details'!$A$8:$L$219,COLUMN()+1,0),"Not Found"))</f>
        <v/>
      </c>
      <c r="E51" s="7" t="str">
        <f>IF(D51="","",IFERROR(VLOOKUP($A51&amp;$L51,'On Hand Details'!$A$8:$L$219,COLUMN()+1,0),"Not Found"))</f>
        <v/>
      </c>
      <c r="F51" s="7" t="str">
        <f>IF(E51="","",IFERROR(VLOOKUP($A51&amp;$L51,'On Hand Details'!$A$8:$L$219,COLUMN()+1,0),"Not Found"))</f>
        <v/>
      </c>
      <c r="G51" s="7" t="str">
        <f>IF(F51="","",IFERROR(VLOOKUP($A51&amp;$L51,'On Hand Details'!$A$8:$L$219,COLUMN()+1,0),"Not Found"))</f>
        <v/>
      </c>
      <c r="H51" s="7" t="str">
        <f>IF(G51="","",IFERROR(VLOOKUP($A51&amp;$L51,'On Hand Details'!$A$8:$L$219,COLUMN()+1,0),"Not Found"))</f>
        <v/>
      </c>
      <c r="I51" s="7" t="str">
        <f>IF(H51="","",IFERROR(VLOOKUP($A51&amp;$L51,'On Hand Details'!$A$8:$L$219,COLUMN()+1,0),"Not Found"))</f>
        <v/>
      </c>
      <c r="J51" s="7" t="str">
        <f>IF(I51="","",IFERROR(VLOOKUP($A51&amp;$L51,'On Hand Details'!$A$8:$L$219,COLUMN()+1,0),"Not Found"))</f>
        <v/>
      </c>
      <c r="K51" s="7" t="str">
        <f>IF(J51="","",IFERROR(VLOOKUP($A51&amp;$L51,'On Hand Details'!$A$8:$L$219,COLUMN()+1,0),"Not Found"))</f>
        <v/>
      </c>
      <c r="L51" s="7"/>
    </row>
    <row r="52" spans="1:12">
      <c r="A52" s="7"/>
      <c r="B52" s="7" t="str">
        <f>IF(A52="","",IFERROR(VLOOKUP($A52&amp;$L52,'On Hand Details'!$A$8:$L$219,COLUMN()+1,0),"Not Found"))</f>
        <v/>
      </c>
      <c r="C52" s="7" t="str">
        <f>IF(B52="","",IFERROR(VLOOKUP($A52&amp;$L52,'On Hand Details'!$A$8:$L$219,COLUMN()+1,0),"Not Found"))</f>
        <v/>
      </c>
      <c r="D52" s="7" t="str">
        <f>IF(C52="","",IFERROR(VLOOKUP($A52&amp;$L52,'On Hand Details'!$A$8:$L$219,COLUMN()+1,0),"Not Found"))</f>
        <v/>
      </c>
      <c r="E52" s="7" t="str">
        <f>IF(D52="","",IFERROR(VLOOKUP($A52&amp;$L52,'On Hand Details'!$A$8:$L$219,COLUMN()+1,0),"Not Found"))</f>
        <v/>
      </c>
      <c r="F52" s="7" t="str">
        <f>IF(E52="","",IFERROR(VLOOKUP($A52&amp;$L52,'On Hand Details'!$A$8:$L$219,COLUMN()+1,0),"Not Found"))</f>
        <v/>
      </c>
      <c r="G52" s="7" t="str">
        <f>IF(F52="","",IFERROR(VLOOKUP($A52&amp;$L52,'On Hand Details'!$A$8:$L$219,COLUMN()+1,0),"Not Found"))</f>
        <v/>
      </c>
      <c r="H52" s="7" t="str">
        <f>IF(G52="","",IFERROR(VLOOKUP($A52&amp;$L52,'On Hand Details'!$A$8:$L$219,COLUMN()+1,0),"Not Found"))</f>
        <v/>
      </c>
      <c r="I52" s="7" t="str">
        <f>IF(H52="","",IFERROR(VLOOKUP($A52&amp;$L52,'On Hand Details'!$A$8:$L$219,COLUMN()+1,0),"Not Found"))</f>
        <v/>
      </c>
      <c r="J52" s="7" t="str">
        <f>IF(I52="","",IFERROR(VLOOKUP($A52&amp;$L52,'On Hand Details'!$A$8:$L$219,COLUMN()+1,0),"Not Found"))</f>
        <v/>
      </c>
      <c r="K52" s="7" t="str">
        <f>IF(J52="","",IFERROR(VLOOKUP($A52&amp;$L52,'On Hand Details'!$A$8:$L$219,COLUMN()+1,0),"Not Found"))</f>
        <v/>
      </c>
      <c r="L52" s="7"/>
    </row>
    <row r="53" spans="1:12">
      <c r="A53" s="7"/>
      <c r="B53" s="7" t="str">
        <f>IF(A53="","",IFERROR(VLOOKUP($A53&amp;$L53,'On Hand Details'!$A$8:$L$219,COLUMN()+1,0),"Not Found"))</f>
        <v/>
      </c>
      <c r="C53" s="7" t="str">
        <f>IF(B53="","",IFERROR(VLOOKUP($A53&amp;$L53,'On Hand Details'!$A$8:$L$219,COLUMN()+1,0),"Not Found"))</f>
        <v/>
      </c>
      <c r="D53" s="7" t="str">
        <f>IF(C53="","",IFERROR(VLOOKUP($A53&amp;$L53,'On Hand Details'!$A$8:$L$219,COLUMN()+1,0),"Not Found"))</f>
        <v/>
      </c>
      <c r="E53" s="7" t="str">
        <f>IF(D53="","",IFERROR(VLOOKUP($A53&amp;$L53,'On Hand Details'!$A$8:$L$219,COLUMN()+1,0),"Not Found"))</f>
        <v/>
      </c>
      <c r="F53" s="7" t="str">
        <f>IF(E53="","",IFERROR(VLOOKUP($A53&amp;$L53,'On Hand Details'!$A$8:$L$219,COLUMN()+1,0),"Not Found"))</f>
        <v/>
      </c>
      <c r="G53" s="7" t="str">
        <f>IF(F53="","",IFERROR(VLOOKUP($A53&amp;$L53,'On Hand Details'!$A$8:$L$219,COLUMN()+1,0),"Not Found"))</f>
        <v/>
      </c>
      <c r="H53" s="7" t="str">
        <f>IF(G53="","",IFERROR(VLOOKUP($A53&amp;$L53,'On Hand Details'!$A$8:$L$219,COLUMN()+1,0),"Not Found"))</f>
        <v/>
      </c>
      <c r="I53" s="7" t="str">
        <f>IF(H53="","",IFERROR(VLOOKUP($A53&amp;$L53,'On Hand Details'!$A$8:$L$219,COLUMN()+1,0),"Not Found"))</f>
        <v/>
      </c>
      <c r="J53" s="7" t="str">
        <f>IF(I53="","",IFERROR(VLOOKUP($A53&amp;$L53,'On Hand Details'!$A$8:$L$219,COLUMN()+1,0),"Not Found"))</f>
        <v/>
      </c>
      <c r="K53" s="7" t="str">
        <f>IF(J53="","",IFERROR(VLOOKUP($A53&amp;$L53,'On Hand Details'!$A$8:$L$219,COLUMN()+1,0),"Not Found"))</f>
        <v/>
      </c>
      <c r="L53" s="7"/>
    </row>
    <row r="54" spans="1:12">
      <c r="A54" s="7"/>
      <c r="B54" s="7" t="str">
        <f>IF(A54="","",IFERROR(VLOOKUP($A54&amp;$L54,'On Hand Details'!$A$8:$L$219,COLUMN()+1,0),"Not Found"))</f>
        <v/>
      </c>
      <c r="C54" s="7" t="str">
        <f>IF(B54="","",IFERROR(VLOOKUP($A54&amp;$L54,'On Hand Details'!$A$8:$L$219,COLUMN()+1,0),"Not Found"))</f>
        <v/>
      </c>
      <c r="D54" s="7" t="str">
        <f>IF(C54="","",IFERROR(VLOOKUP($A54&amp;$L54,'On Hand Details'!$A$8:$L$219,COLUMN()+1,0),"Not Found"))</f>
        <v/>
      </c>
      <c r="E54" s="7" t="str">
        <f>IF(D54="","",IFERROR(VLOOKUP($A54&amp;$L54,'On Hand Details'!$A$8:$L$219,COLUMN()+1,0),"Not Found"))</f>
        <v/>
      </c>
      <c r="F54" s="7" t="str">
        <f>IF(E54="","",IFERROR(VLOOKUP($A54&amp;$L54,'On Hand Details'!$A$8:$L$219,COLUMN()+1,0),"Not Found"))</f>
        <v/>
      </c>
      <c r="G54" s="7" t="str">
        <f>IF(F54="","",IFERROR(VLOOKUP($A54&amp;$L54,'On Hand Details'!$A$8:$L$219,COLUMN()+1,0),"Not Found"))</f>
        <v/>
      </c>
      <c r="H54" s="7" t="str">
        <f>IF(G54="","",IFERROR(VLOOKUP($A54&amp;$L54,'On Hand Details'!$A$8:$L$219,COLUMN()+1,0),"Not Found"))</f>
        <v/>
      </c>
      <c r="I54" s="7" t="str">
        <f>IF(H54="","",IFERROR(VLOOKUP($A54&amp;$L54,'On Hand Details'!$A$8:$L$219,COLUMN()+1,0),"Not Found"))</f>
        <v/>
      </c>
      <c r="J54" s="7" t="str">
        <f>IF(I54="","",IFERROR(VLOOKUP($A54&amp;$L54,'On Hand Details'!$A$8:$L$219,COLUMN()+1,0),"Not Found"))</f>
        <v/>
      </c>
      <c r="K54" s="7" t="str">
        <f>IF(J54="","",IFERROR(VLOOKUP($A54&amp;$L54,'On Hand Details'!$A$8:$L$219,COLUMN()+1,0),"Not Found"))</f>
        <v/>
      </c>
      <c r="L54" s="7"/>
    </row>
    <row r="55" spans="1:12">
      <c r="A55" s="7"/>
      <c r="B55" s="7" t="str">
        <f>IF(A55="","",IFERROR(VLOOKUP($A55&amp;$L55,'On Hand Details'!$A$8:$L$219,COLUMN()+1,0),"Not Found"))</f>
        <v/>
      </c>
      <c r="C55" s="7" t="str">
        <f>IF(B55="","",IFERROR(VLOOKUP($A55&amp;$L55,'On Hand Details'!$A$8:$L$219,COLUMN()+1,0),"Not Found"))</f>
        <v/>
      </c>
      <c r="D55" s="7" t="str">
        <f>IF(C55="","",IFERROR(VLOOKUP($A55&amp;$L55,'On Hand Details'!$A$8:$L$219,COLUMN()+1,0),"Not Found"))</f>
        <v/>
      </c>
      <c r="E55" s="7" t="str">
        <f>IF(D55="","",IFERROR(VLOOKUP($A55&amp;$L55,'On Hand Details'!$A$8:$L$219,COLUMN()+1,0),"Not Found"))</f>
        <v/>
      </c>
      <c r="F55" s="7" t="str">
        <f>IF(E55="","",IFERROR(VLOOKUP($A55&amp;$L55,'On Hand Details'!$A$8:$L$219,COLUMN()+1,0),"Not Found"))</f>
        <v/>
      </c>
      <c r="G55" s="7" t="str">
        <f>IF(F55="","",IFERROR(VLOOKUP($A55&amp;$L55,'On Hand Details'!$A$8:$L$219,COLUMN()+1,0),"Not Found"))</f>
        <v/>
      </c>
      <c r="H55" s="7" t="str">
        <f>IF(G55="","",IFERROR(VLOOKUP($A55&amp;$L55,'On Hand Details'!$A$8:$L$219,COLUMN()+1,0),"Not Found"))</f>
        <v/>
      </c>
      <c r="I55" s="7" t="str">
        <f>IF(H55="","",IFERROR(VLOOKUP($A55&amp;$L55,'On Hand Details'!$A$8:$L$219,COLUMN()+1,0),"Not Found"))</f>
        <v/>
      </c>
      <c r="J55" s="7" t="str">
        <f>IF(I55="","",IFERROR(VLOOKUP($A55&amp;$L55,'On Hand Details'!$A$8:$L$219,COLUMN()+1,0),"Not Found"))</f>
        <v/>
      </c>
      <c r="K55" s="7" t="str">
        <f>IF(J55="","",IFERROR(VLOOKUP($A55&amp;$L55,'On Hand Details'!$A$8:$L$219,COLUMN()+1,0),"Not Found"))</f>
        <v/>
      </c>
      <c r="L55" s="7"/>
    </row>
    <row r="56" spans="1:12">
      <c r="A56" s="7"/>
      <c r="B56" s="7" t="str">
        <f>IF(A56="","",IFERROR(VLOOKUP($A56&amp;$L56,'On Hand Details'!$A$8:$L$219,COLUMN()+1,0),"Not Found"))</f>
        <v/>
      </c>
      <c r="C56" s="7" t="str">
        <f>IF(B56="","",IFERROR(VLOOKUP($A56&amp;$L56,'On Hand Details'!$A$8:$L$219,COLUMN()+1,0),"Not Found"))</f>
        <v/>
      </c>
      <c r="D56" s="7" t="str">
        <f>IF(C56="","",IFERROR(VLOOKUP($A56&amp;$L56,'On Hand Details'!$A$8:$L$219,COLUMN()+1,0),"Not Found"))</f>
        <v/>
      </c>
      <c r="E56" s="7" t="str">
        <f>IF(D56="","",IFERROR(VLOOKUP($A56&amp;$L56,'On Hand Details'!$A$8:$L$219,COLUMN()+1,0),"Not Found"))</f>
        <v/>
      </c>
      <c r="F56" s="7" t="str">
        <f>IF(E56="","",IFERROR(VLOOKUP($A56&amp;$L56,'On Hand Details'!$A$8:$L$219,COLUMN()+1,0),"Not Found"))</f>
        <v/>
      </c>
      <c r="G56" s="7" t="str">
        <f>IF(F56="","",IFERROR(VLOOKUP($A56&amp;$L56,'On Hand Details'!$A$8:$L$219,COLUMN()+1,0),"Not Found"))</f>
        <v/>
      </c>
      <c r="H56" s="7" t="str">
        <f>IF(G56="","",IFERROR(VLOOKUP($A56&amp;$L56,'On Hand Details'!$A$8:$L$219,COLUMN()+1,0),"Not Found"))</f>
        <v/>
      </c>
      <c r="I56" s="7" t="str">
        <f>IF(H56="","",IFERROR(VLOOKUP($A56&amp;$L56,'On Hand Details'!$A$8:$L$219,COLUMN()+1,0),"Not Found"))</f>
        <v/>
      </c>
      <c r="J56" s="7" t="str">
        <f>IF(I56="","",IFERROR(VLOOKUP($A56&amp;$L56,'On Hand Details'!$A$8:$L$219,COLUMN()+1,0),"Not Found"))</f>
        <v/>
      </c>
      <c r="K56" s="7" t="str">
        <f>IF(J56="","",IFERROR(VLOOKUP($A56&amp;$L56,'On Hand Details'!$A$8:$L$219,COLUMN()+1,0),"Not Found"))</f>
        <v/>
      </c>
      <c r="L56" s="7"/>
    </row>
    <row r="57" spans="1:12">
      <c r="A57" s="7"/>
      <c r="B57" s="7" t="str">
        <f>IF(A57="","",IFERROR(VLOOKUP($A57&amp;$L57,'On Hand Details'!$A$8:$L$219,COLUMN()+1,0),"Not Found"))</f>
        <v/>
      </c>
      <c r="C57" s="7" t="str">
        <f>IF(B57="","",IFERROR(VLOOKUP($A57&amp;$L57,'On Hand Details'!$A$8:$L$219,COLUMN()+1,0),"Not Found"))</f>
        <v/>
      </c>
      <c r="D57" s="7" t="str">
        <f>IF(C57="","",IFERROR(VLOOKUP($A57&amp;$L57,'On Hand Details'!$A$8:$L$219,COLUMN()+1,0),"Not Found"))</f>
        <v/>
      </c>
      <c r="E57" s="7" t="str">
        <f>IF(D57="","",IFERROR(VLOOKUP($A57&amp;$L57,'On Hand Details'!$A$8:$L$219,COLUMN()+1,0),"Not Found"))</f>
        <v/>
      </c>
      <c r="F57" s="7" t="str">
        <f>IF(E57="","",IFERROR(VLOOKUP($A57&amp;$L57,'On Hand Details'!$A$8:$L$219,COLUMN()+1,0),"Not Found"))</f>
        <v/>
      </c>
      <c r="G57" s="7" t="str">
        <f>IF(F57="","",IFERROR(VLOOKUP($A57&amp;$L57,'On Hand Details'!$A$8:$L$219,COLUMN()+1,0),"Not Found"))</f>
        <v/>
      </c>
      <c r="H57" s="7" t="str">
        <f>IF(G57="","",IFERROR(VLOOKUP($A57&amp;$L57,'On Hand Details'!$A$8:$L$219,COLUMN()+1,0),"Not Found"))</f>
        <v/>
      </c>
      <c r="I57" s="7" t="str">
        <f>IF(H57="","",IFERROR(VLOOKUP($A57&amp;$L57,'On Hand Details'!$A$8:$L$219,COLUMN()+1,0),"Not Found"))</f>
        <v/>
      </c>
      <c r="J57" s="7" t="str">
        <f>IF(I57="","",IFERROR(VLOOKUP($A57&amp;$L57,'On Hand Details'!$A$8:$L$219,COLUMN()+1,0),"Not Found"))</f>
        <v/>
      </c>
      <c r="K57" s="7" t="str">
        <f>IF(J57="","",IFERROR(VLOOKUP($A57&amp;$L57,'On Hand Details'!$A$8:$L$219,COLUMN()+1,0),"Not Found"))</f>
        <v/>
      </c>
      <c r="L57" s="7"/>
    </row>
    <row r="58" spans="1:12">
      <c r="A58" s="7"/>
      <c r="B58" s="7" t="str">
        <f>IF(A58="","",IFERROR(VLOOKUP($A58&amp;$L58,'On Hand Details'!$A$8:$L$219,COLUMN()+1,0),"Not Found"))</f>
        <v/>
      </c>
      <c r="C58" s="7" t="str">
        <f>IF(B58="","",IFERROR(VLOOKUP($A58&amp;$L58,'On Hand Details'!$A$8:$L$219,COLUMN()+1,0),"Not Found"))</f>
        <v/>
      </c>
      <c r="D58" s="7" t="str">
        <f>IF(C58="","",IFERROR(VLOOKUP($A58&amp;$L58,'On Hand Details'!$A$8:$L$219,COLUMN()+1,0),"Not Found"))</f>
        <v/>
      </c>
      <c r="E58" s="7" t="str">
        <f>IF(D58="","",IFERROR(VLOOKUP($A58&amp;$L58,'On Hand Details'!$A$8:$L$219,COLUMN()+1,0),"Not Found"))</f>
        <v/>
      </c>
      <c r="F58" s="7" t="str">
        <f>IF(E58="","",IFERROR(VLOOKUP($A58&amp;$L58,'On Hand Details'!$A$8:$L$219,COLUMN()+1,0),"Not Found"))</f>
        <v/>
      </c>
      <c r="G58" s="7" t="str">
        <f>IF(F58="","",IFERROR(VLOOKUP($A58&amp;$L58,'On Hand Details'!$A$8:$L$219,COLUMN()+1,0),"Not Found"))</f>
        <v/>
      </c>
      <c r="H58" s="7" t="str">
        <f>IF(G58="","",IFERROR(VLOOKUP($A58&amp;$L58,'On Hand Details'!$A$8:$L$219,COLUMN()+1,0),"Not Found"))</f>
        <v/>
      </c>
      <c r="I58" s="7" t="str">
        <f>IF(H58="","",IFERROR(VLOOKUP($A58&amp;$L58,'On Hand Details'!$A$8:$L$219,COLUMN()+1,0),"Not Found"))</f>
        <v/>
      </c>
      <c r="J58" s="7" t="str">
        <f>IF(I58="","",IFERROR(VLOOKUP($A58&amp;$L58,'On Hand Details'!$A$8:$L$219,COLUMN()+1,0),"Not Found"))</f>
        <v/>
      </c>
      <c r="K58" s="7" t="str">
        <f>IF(J58="","",IFERROR(VLOOKUP($A58&amp;$L58,'On Hand Details'!$A$8:$L$219,COLUMN()+1,0),"Not Found"))</f>
        <v/>
      </c>
      <c r="L58" s="7"/>
    </row>
    <row r="59" spans="1:12">
      <c r="A59" s="7"/>
      <c r="B59" s="7" t="str">
        <f>IF(A59="","",IFERROR(VLOOKUP($A59&amp;$L59,'On Hand Details'!$A$8:$L$219,COLUMN()+1,0),"Not Found"))</f>
        <v/>
      </c>
      <c r="C59" s="7" t="str">
        <f>IF(B59="","",IFERROR(VLOOKUP($A59&amp;$L59,'On Hand Details'!$A$8:$L$219,COLUMN()+1,0),"Not Found"))</f>
        <v/>
      </c>
      <c r="D59" s="7" t="str">
        <f>IF(C59="","",IFERROR(VLOOKUP($A59&amp;$L59,'On Hand Details'!$A$8:$L$219,COLUMN()+1,0),"Not Found"))</f>
        <v/>
      </c>
      <c r="E59" s="7" t="str">
        <f>IF(D59="","",IFERROR(VLOOKUP($A59&amp;$L59,'On Hand Details'!$A$8:$L$219,COLUMN()+1,0),"Not Found"))</f>
        <v/>
      </c>
      <c r="F59" s="7" t="str">
        <f>IF(E59="","",IFERROR(VLOOKUP($A59&amp;$L59,'On Hand Details'!$A$8:$L$219,COLUMN()+1,0),"Not Found"))</f>
        <v/>
      </c>
      <c r="G59" s="7" t="str">
        <f>IF(F59="","",IFERROR(VLOOKUP($A59&amp;$L59,'On Hand Details'!$A$8:$L$219,COLUMN()+1,0),"Not Found"))</f>
        <v/>
      </c>
      <c r="H59" s="7" t="str">
        <f>IF(G59="","",IFERROR(VLOOKUP($A59&amp;$L59,'On Hand Details'!$A$8:$L$219,COLUMN()+1,0),"Not Found"))</f>
        <v/>
      </c>
      <c r="I59" s="7" t="str">
        <f>IF(H59="","",IFERROR(VLOOKUP($A59&amp;$L59,'On Hand Details'!$A$8:$L$219,COLUMN()+1,0),"Not Found"))</f>
        <v/>
      </c>
      <c r="J59" s="7" t="str">
        <f>IF(I59="","",IFERROR(VLOOKUP($A59&amp;$L59,'On Hand Details'!$A$8:$L$219,COLUMN()+1,0),"Not Found"))</f>
        <v/>
      </c>
      <c r="K59" s="7" t="str">
        <f>IF(J59="","",IFERROR(VLOOKUP($A59&amp;$L59,'On Hand Details'!$A$8:$L$219,COLUMN()+1,0),"Not Found"))</f>
        <v/>
      </c>
      <c r="L59" s="7"/>
    </row>
    <row r="60" spans="1:12">
      <c r="A60" s="7"/>
      <c r="B60" s="7" t="str">
        <f>IF(A60="","",IFERROR(VLOOKUP($A60&amp;$L60,'On Hand Details'!$A$8:$L$219,COLUMN()+1,0),"Not Found"))</f>
        <v/>
      </c>
      <c r="C60" s="7" t="str">
        <f>IF(B60="","",IFERROR(VLOOKUP($A60&amp;$L60,'On Hand Details'!$A$8:$L$219,COLUMN()+1,0),"Not Found"))</f>
        <v/>
      </c>
      <c r="D60" s="7" t="str">
        <f>IF(C60="","",IFERROR(VLOOKUP($A60&amp;$L60,'On Hand Details'!$A$8:$L$219,COLUMN()+1,0),"Not Found"))</f>
        <v/>
      </c>
      <c r="E60" s="7" t="str">
        <f>IF(D60="","",IFERROR(VLOOKUP($A60&amp;$L60,'On Hand Details'!$A$8:$L$219,COLUMN()+1,0),"Not Found"))</f>
        <v/>
      </c>
      <c r="F60" s="7" t="str">
        <f>IF(E60="","",IFERROR(VLOOKUP($A60&amp;$L60,'On Hand Details'!$A$8:$L$219,COLUMN()+1,0),"Not Found"))</f>
        <v/>
      </c>
      <c r="G60" s="7" t="str">
        <f>IF(F60="","",IFERROR(VLOOKUP($A60&amp;$L60,'On Hand Details'!$A$8:$L$219,COLUMN()+1,0),"Not Found"))</f>
        <v/>
      </c>
      <c r="H60" s="7" t="str">
        <f>IF(G60="","",IFERROR(VLOOKUP($A60&amp;$L60,'On Hand Details'!$A$8:$L$219,COLUMN()+1,0),"Not Found"))</f>
        <v/>
      </c>
      <c r="I60" s="7" t="str">
        <f>IF(H60="","",IFERROR(VLOOKUP($A60&amp;$L60,'On Hand Details'!$A$8:$L$219,COLUMN()+1,0),"Not Found"))</f>
        <v/>
      </c>
      <c r="J60" s="7" t="str">
        <f>IF(I60="","",IFERROR(VLOOKUP($A60&amp;$L60,'On Hand Details'!$A$8:$L$219,COLUMN()+1,0),"Not Found"))</f>
        <v/>
      </c>
      <c r="K60" s="7" t="str">
        <f>IF(J60="","",IFERROR(VLOOKUP($A60&amp;$L60,'On Hand Details'!$A$8:$L$219,COLUMN()+1,0),"Not Found"))</f>
        <v/>
      </c>
      <c r="L60" s="7"/>
    </row>
    <row r="61" spans="1:12">
      <c r="A61" s="7"/>
      <c r="B61" s="7" t="str">
        <f>IF(A61="","",IFERROR(VLOOKUP($A61&amp;$L61,'On Hand Details'!$A$8:$L$219,COLUMN()+1,0),"Not Found"))</f>
        <v/>
      </c>
      <c r="C61" s="7" t="str">
        <f>IF(B61="","",IFERROR(VLOOKUP($A61&amp;$L61,'On Hand Details'!$A$8:$L$219,COLUMN()+1,0),"Not Found"))</f>
        <v/>
      </c>
      <c r="D61" s="7" t="str">
        <f>IF(C61="","",IFERROR(VLOOKUP($A61&amp;$L61,'On Hand Details'!$A$8:$L$219,COLUMN()+1,0),"Not Found"))</f>
        <v/>
      </c>
      <c r="E61" s="7" t="str">
        <f>IF(D61="","",IFERROR(VLOOKUP($A61&amp;$L61,'On Hand Details'!$A$8:$L$219,COLUMN()+1,0),"Not Found"))</f>
        <v/>
      </c>
      <c r="F61" s="7" t="str">
        <f>IF(E61="","",IFERROR(VLOOKUP($A61&amp;$L61,'On Hand Details'!$A$8:$L$219,COLUMN()+1,0),"Not Found"))</f>
        <v/>
      </c>
      <c r="G61" s="7" t="str">
        <f>IF(F61="","",IFERROR(VLOOKUP($A61&amp;$L61,'On Hand Details'!$A$8:$L$219,COLUMN()+1,0),"Not Found"))</f>
        <v/>
      </c>
      <c r="H61" s="7" t="str">
        <f>IF(G61="","",IFERROR(VLOOKUP($A61&amp;$L61,'On Hand Details'!$A$8:$L$219,COLUMN()+1,0),"Not Found"))</f>
        <v/>
      </c>
      <c r="I61" s="7" t="str">
        <f>IF(H61="","",IFERROR(VLOOKUP($A61&amp;$L61,'On Hand Details'!$A$8:$L$219,COLUMN()+1,0),"Not Found"))</f>
        <v/>
      </c>
      <c r="J61" s="7" t="str">
        <f>IF(I61="","",IFERROR(VLOOKUP($A61&amp;$L61,'On Hand Details'!$A$8:$L$219,COLUMN()+1,0),"Not Found"))</f>
        <v/>
      </c>
      <c r="K61" s="7" t="str">
        <f>IF(J61="","",IFERROR(VLOOKUP($A61&amp;$L61,'On Hand Details'!$A$8:$L$219,COLUMN()+1,0),"Not Found"))</f>
        <v/>
      </c>
      <c r="L61" s="7"/>
    </row>
    <row r="62" spans="1:12">
      <c r="A62" s="7"/>
      <c r="B62" s="7" t="str">
        <f>IF(A62="","",IFERROR(VLOOKUP($A62&amp;$L62,'On Hand Details'!$A$8:$L$219,COLUMN()+1,0),"Not Found"))</f>
        <v/>
      </c>
      <c r="C62" s="7" t="str">
        <f>IF(B62="","",IFERROR(VLOOKUP($A62&amp;$L62,'On Hand Details'!$A$8:$L$219,COLUMN()+1,0),"Not Found"))</f>
        <v/>
      </c>
      <c r="D62" s="7" t="str">
        <f>IF(C62="","",IFERROR(VLOOKUP($A62&amp;$L62,'On Hand Details'!$A$8:$L$219,COLUMN()+1,0),"Not Found"))</f>
        <v/>
      </c>
      <c r="E62" s="7" t="str">
        <f>IF(D62="","",IFERROR(VLOOKUP($A62&amp;$L62,'On Hand Details'!$A$8:$L$219,COLUMN()+1,0),"Not Found"))</f>
        <v/>
      </c>
      <c r="F62" s="7" t="str">
        <f>IF(E62="","",IFERROR(VLOOKUP($A62&amp;$L62,'On Hand Details'!$A$8:$L$219,COLUMN()+1,0),"Not Found"))</f>
        <v/>
      </c>
      <c r="G62" s="7" t="str">
        <f>IF(F62="","",IFERROR(VLOOKUP($A62&amp;$L62,'On Hand Details'!$A$8:$L$219,COLUMN()+1,0),"Not Found"))</f>
        <v/>
      </c>
      <c r="H62" s="7" t="str">
        <f>IF(G62="","",IFERROR(VLOOKUP($A62&amp;$L62,'On Hand Details'!$A$8:$L$219,COLUMN()+1,0),"Not Found"))</f>
        <v/>
      </c>
      <c r="I62" s="7" t="str">
        <f>IF(H62="","",IFERROR(VLOOKUP($A62&amp;$L62,'On Hand Details'!$A$8:$L$219,COLUMN()+1,0),"Not Found"))</f>
        <v/>
      </c>
      <c r="J62" s="7" t="str">
        <f>IF(I62="","",IFERROR(VLOOKUP($A62&amp;$L62,'On Hand Details'!$A$8:$L$219,COLUMN()+1,0),"Not Found"))</f>
        <v/>
      </c>
      <c r="K62" s="7" t="str">
        <f>IF(J62="","",IFERROR(VLOOKUP($A62&amp;$L62,'On Hand Details'!$A$8:$L$219,COLUMN()+1,0),"Not Found"))</f>
        <v/>
      </c>
      <c r="L62" s="7"/>
    </row>
    <row r="63" spans="1:12">
      <c r="A63" s="7"/>
      <c r="B63" s="7" t="str">
        <f>IF(A63="","",IFERROR(VLOOKUP($A63&amp;$L63,'On Hand Details'!$A$8:$L$219,COLUMN()+1,0),"Not Found"))</f>
        <v/>
      </c>
      <c r="C63" s="7" t="str">
        <f>IF(B63="","",IFERROR(VLOOKUP($A63&amp;$L63,'On Hand Details'!$A$8:$L$219,COLUMN()+1,0),"Not Found"))</f>
        <v/>
      </c>
      <c r="D63" s="7" t="str">
        <f>IF(C63="","",IFERROR(VLOOKUP($A63&amp;$L63,'On Hand Details'!$A$8:$L$219,COLUMN()+1,0),"Not Found"))</f>
        <v/>
      </c>
      <c r="E63" s="7" t="str">
        <f>IF(D63="","",IFERROR(VLOOKUP($A63&amp;$L63,'On Hand Details'!$A$8:$L$219,COLUMN()+1,0),"Not Found"))</f>
        <v/>
      </c>
      <c r="F63" s="7" t="str">
        <f>IF(E63="","",IFERROR(VLOOKUP($A63&amp;$L63,'On Hand Details'!$A$8:$L$219,COLUMN()+1,0),"Not Found"))</f>
        <v/>
      </c>
      <c r="G63" s="7" t="str">
        <f>IF(F63="","",IFERROR(VLOOKUP($A63&amp;$L63,'On Hand Details'!$A$8:$L$219,COLUMN()+1,0),"Not Found"))</f>
        <v/>
      </c>
      <c r="H63" s="7" t="str">
        <f>IF(G63="","",IFERROR(VLOOKUP($A63&amp;$L63,'On Hand Details'!$A$8:$L$219,COLUMN()+1,0),"Not Found"))</f>
        <v/>
      </c>
      <c r="I63" s="7" t="str">
        <f>IF(H63="","",IFERROR(VLOOKUP($A63&amp;$L63,'On Hand Details'!$A$8:$L$219,COLUMN()+1,0),"Not Found"))</f>
        <v/>
      </c>
      <c r="J63" s="7" t="str">
        <f>IF(I63="","",IFERROR(VLOOKUP($A63&amp;$L63,'On Hand Details'!$A$8:$L$219,COLUMN()+1,0),"Not Found"))</f>
        <v/>
      </c>
      <c r="K63" s="7" t="str">
        <f>IF(J63="","",IFERROR(VLOOKUP($A63&amp;$L63,'On Hand Details'!$A$8:$L$219,COLUMN()+1,0),"Not Found"))</f>
        <v/>
      </c>
      <c r="L63" s="7"/>
    </row>
    <row r="64" spans="1:12">
      <c r="A64" s="7"/>
      <c r="B64" s="7" t="str">
        <f>IF(A64="","",IFERROR(VLOOKUP($A64&amp;$L64,'On Hand Details'!$A$8:$L$219,COLUMN()+1,0),"Not Found"))</f>
        <v/>
      </c>
      <c r="C64" s="7" t="str">
        <f>IF(B64="","",IFERROR(VLOOKUP($A64&amp;$L64,'On Hand Details'!$A$8:$L$219,COLUMN()+1,0),"Not Found"))</f>
        <v/>
      </c>
      <c r="D64" s="7" t="str">
        <f>IF(C64="","",IFERROR(VLOOKUP($A64&amp;$L64,'On Hand Details'!$A$8:$L$219,COLUMN()+1,0),"Not Found"))</f>
        <v/>
      </c>
      <c r="E64" s="7" t="str">
        <f>IF(D64="","",IFERROR(VLOOKUP($A64&amp;$L64,'On Hand Details'!$A$8:$L$219,COLUMN()+1,0),"Not Found"))</f>
        <v/>
      </c>
      <c r="F64" s="7" t="str">
        <f>IF(E64="","",IFERROR(VLOOKUP($A64&amp;$L64,'On Hand Details'!$A$8:$L$219,COLUMN()+1,0),"Not Found"))</f>
        <v/>
      </c>
      <c r="G64" s="7" t="str">
        <f>IF(F64="","",IFERROR(VLOOKUP($A64&amp;$L64,'On Hand Details'!$A$8:$L$219,COLUMN()+1,0),"Not Found"))</f>
        <v/>
      </c>
      <c r="H64" s="7" t="str">
        <f>IF(G64="","",IFERROR(VLOOKUP($A64&amp;$L64,'On Hand Details'!$A$8:$L$219,COLUMN()+1,0),"Not Found"))</f>
        <v/>
      </c>
      <c r="I64" s="7" t="str">
        <f>IF(H64="","",IFERROR(VLOOKUP($A64&amp;$L64,'On Hand Details'!$A$8:$L$219,COLUMN()+1,0),"Not Found"))</f>
        <v/>
      </c>
      <c r="J64" s="7" t="str">
        <f>IF(I64="","",IFERROR(VLOOKUP($A64&amp;$L64,'On Hand Details'!$A$8:$L$219,COLUMN()+1,0),"Not Found"))</f>
        <v/>
      </c>
      <c r="K64" s="7" t="str">
        <f>IF(J64="","",IFERROR(VLOOKUP($A64&amp;$L64,'On Hand Details'!$A$8:$L$219,COLUMN()+1,0),"Not Found"))</f>
        <v/>
      </c>
      <c r="L64" s="7"/>
    </row>
    <row r="65" spans="1:12">
      <c r="A65" s="7"/>
      <c r="B65" s="7" t="str">
        <f>IF(A65="","",IFERROR(VLOOKUP($A65&amp;$L65,'On Hand Details'!$A$8:$L$219,COLUMN()+1,0),"Not Found"))</f>
        <v/>
      </c>
      <c r="C65" s="7" t="str">
        <f>IF(B65="","",IFERROR(VLOOKUP($A65&amp;$L65,'On Hand Details'!$A$8:$L$219,COLUMN()+1,0),"Not Found"))</f>
        <v/>
      </c>
      <c r="D65" s="7" t="str">
        <f>IF(C65="","",IFERROR(VLOOKUP($A65&amp;$L65,'On Hand Details'!$A$8:$L$219,COLUMN()+1,0),"Not Found"))</f>
        <v/>
      </c>
      <c r="E65" s="7" t="str">
        <f>IF(D65="","",IFERROR(VLOOKUP($A65&amp;$L65,'On Hand Details'!$A$8:$L$219,COLUMN()+1,0),"Not Found"))</f>
        <v/>
      </c>
      <c r="F65" s="7" t="str">
        <f>IF(E65="","",IFERROR(VLOOKUP($A65&amp;$L65,'On Hand Details'!$A$8:$L$219,COLUMN()+1,0),"Not Found"))</f>
        <v/>
      </c>
      <c r="G65" s="7" t="str">
        <f>IF(F65="","",IFERROR(VLOOKUP($A65&amp;$L65,'On Hand Details'!$A$8:$L$219,COLUMN()+1,0),"Not Found"))</f>
        <v/>
      </c>
      <c r="H65" s="7" t="str">
        <f>IF(G65="","",IFERROR(VLOOKUP($A65&amp;$L65,'On Hand Details'!$A$8:$L$219,COLUMN()+1,0),"Not Found"))</f>
        <v/>
      </c>
      <c r="I65" s="7" t="str">
        <f>IF(H65="","",IFERROR(VLOOKUP($A65&amp;$L65,'On Hand Details'!$A$8:$L$219,COLUMN()+1,0),"Not Found"))</f>
        <v/>
      </c>
      <c r="J65" s="7" t="str">
        <f>IF(I65="","",IFERROR(VLOOKUP($A65&amp;$L65,'On Hand Details'!$A$8:$L$219,COLUMN()+1,0),"Not Found"))</f>
        <v/>
      </c>
      <c r="K65" s="7" t="str">
        <f>IF(J65="","",IFERROR(VLOOKUP($A65&amp;$L65,'On Hand Details'!$A$8:$L$219,COLUMN()+1,0),"Not Found"))</f>
        <v/>
      </c>
      <c r="L65" s="7"/>
    </row>
    <row r="66" spans="1:12">
      <c r="A66" s="7"/>
      <c r="B66" s="7" t="str">
        <f>IF(A66="","",IFERROR(VLOOKUP($A66&amp;$L66,'On Hand Details'!$A$8:$L$219,COLUMN()+1,0),"Not Found"))</f>
        <v/>
      </c>
      <c r="C66" s="7" t="str">
        <f>IF(B66="","",IFERROR(VLOOKUP($A66&amp;$L66,'On Hand Details'!$A$8:$L$219,COLUMN()+1,0),"Not Found"))</f>
        <v/>
      </c>
      <c r="D66" s="7" t="str">
        <f>IF(C66="","",IFERROR(VLOOKUP($A66&amp;$L66,'On Hand Details'!$A$8:$L$219,COLUMN()+1,0),"Not Found"))</f>
        <v/>
      </c>
      <c r="E66" s="7" t="str">
        <f>IF(D66="","",IFERROR(VLOOKUP($A66&amp;$L66,'On Hand Details'!$A$8:$L$219,COLUMN()+1,0),"Not Found"))</f>
        <v/>
      </c>
      <c r="F66" s="7" t="str">
        <f>IF(E66="","",IFERROR(VLOOKUP($A66&amp;$L66,'On Hand Details'!$A$8:$L$219,COLUMN()+1,0),"Not Found"))</f>
        <v/>
      </c>
      <c r="G66" s="7" t="str">
        <f>IF(F66="","",IFERROR(VLOOKUP($A66&amp;$L66,'On Hand Details'!$A$8:$L$219,COLUMN()+1,0),"Not Found"))</f>
        <v/>
      </c>
      <c r="H66" s="7" t="str">
        <f>IF(G66="","",IFERROR(VLOOKUP($A66&amp;$L66,'On Hand Details'!$A$8:$L$219,COLUMN()+1,0),"Not Found"))</f>
        <v/>
      </c>
      <c r="I66" s="7" t="str">
        <f>IF(H66="","",IFERROR(VLOOKUP($A66&amp;$L66,'On Hand Details'!$A$8:$L$219,COLUMN()+1,0),"Not Found"))</f>
        <v/>
      </c>
      <c r="J66" s="7" t="str">
        <f>IF(I66="","",IFERROR(VLOOKUP($A66&amp;$L66,'On Hand Details'!$A$8:$L$219,COLUMN()+1,0),"Not Found"))</f>
        <v/>
      </c>
      <c r="K66" s="7" t="str">
        <f>IF(J66="","",IFERROR(VLOOKUP($A66&amp;$L66,'On Hand Details'!$A$8:$L$219,COLUMN()+1,0),"Not Found"))</f>
        <v/>
      </c>
      <c r="L66" s="7"/>
    </row>
    <row r="67" spans="1:12">
      <c r="A67" s="7"/>
      <c r="B67" s="7" t="str">
        <f>IF(A67="","",IFERROR(VLOOKUP($A67&amp;$L67,'On Hand Details'!$A$8:$L$219,COLUMN()+1,0),"Not Found"))</f>
        <v/>
      </c>
      <c r="C67" s="7" t="str">
        <f>IF(B67="","",IFERROR(VLOOKUP($A67&amp;$L67,'On Hand Details'!$A$8:$L$219,COLUMN()+1,0),"Not Found"))</f>
        <v/>
      </c>
      <c r="D67" s="7" t="str">
        <f>IF(C67="","",IFERROR(VLOOKUP($A67&amp;$L67,'On Hand Details'!$A$8:$L$219,COLUMN()+1,0),"Not Found"))</f>
        <v/>
      </c>
      <c r="E67" s="7" t="str">
        <f>IF(D67="","",IFERROR(VLOOKUP($A67&amp;$L67,'On Hand Details'!$A$8:$L$219,COLUMN()+1,0),"Not Found"))</f>
        <v/>
      </c>
      <c r="F67" s="7" t="str">
        <f>IF(E67="","",IFERROR(VLOOKUP($A67&amp;$L67,'On Hand Details'!$A$8:$L$219,COLUMN()+1,0),"Not Found"))</f>
        <v/>
      </c>
      <c r="G67" s="7" t="str">
        <f>IF(F67="","",IFERROR(VLOOKUP($A67&amp;$L67,'On Hand Details'!$A$8:$L$219,COLUMN()+1,0),"Not Found"))</f>
        <v/>
      </c>
      <c r="H67" s="7" t="str">
        <f>IF(G67="","",IFERROR(VLOOKUP($A67&amp;$L67,'On Hand Details'!$A$8:$L$219,COLUMN()+1,0),"Not Found"))</f>
        <v/>
      </c>
      <c r="I67" s="7" t="str">
        <f>IF(H67="","",IFERROR(VLOOKUP($A67&amp;$L67,'On Hand Details'!$A$8:$L$219,COLUMN()+1,0),"Not Found"))</f>
        <v/>
      </c>
      <c r="J67" s="7" t="str">
        <f>IF(I67="","",IFERROR(VLOOKUP($A67&amp;$L67,'On Hand Details'!$A$8:$L$219,COLUMN()+1,0),"Not Found"))</f>
        <v/>
      </c>
      <c r="K67" s="7" t="str">
        <f>IF(J67="","",IFERROR(VLOOKUP($A67&amp;$L67,'On Hand Details'!$A$8:$L$219,COLUMN()+1,0),"Not Found"))</f>
        <v/>
      </c>
      <c r="L67" s="7"/>
    </row>
    <row r="68" spans="1:12">
      <c r="A68" s="7"/>
      <c r="B68" s="7" t="str">
        <f>IF(A68="","",IFERROR(VLOOKUP($A68&amp;$L68,'On Hand Details'!$A$8:$L$219,COLUMN()+1,0),"Not Found"))</f>
        <v/>
      </c>
      <c r="C68" s="7" t="str">
        <f>IF(B68="","",IFERROR(VLOOKUP($A68&amp;$L68,'On Hand Details'!$A$8:$L$219,COLUMN()+1,0),"Not Found"))</f>
        <v/>
      </c>
      <c r="D68" s="7" t="str">
        <f>IF(C68="","",IFERROR(VLOOKUP($A68&amp;$L68,'On Hand Details'!$A$8:$L$219,COLUMN()+1,0),"Not Found"))</f>
        <v/>
      </c>
      <c r="E68" s="7" t="str">
        <f>IF(D68="","",IFERROR(VLOOKUP($A68&amp;$L68,'On Hand Details'!$A$8:$L$219,COLUMN()+1,0),"Not Found"))</f>
        <v/>
      </c>
      <c r="F68" s="7" t="str">
        <f>IF(E68="","",IFERROR(VLOOKUP($A68&amp;$L68,'On Hand Details'!$A$8:$L$219,COLUMN()+1,0),"Not Found"))</f>
        <v/>
      </c>
      <c r="G68" s="7" t="str">
        <f>IF(F68="","",IFERROR(VLOOKUP($A68&amp;$L68,'On Hand Details'!$A$8:$L$219,COLUMN()+1,0),"Not Found"))</f>
        <v/>
      </c>
      <c r="H68" s="7" t="str">
        <f>IF(G68="","",IFERROR(VLOOKUP($A68&amp;$L68,'On Hand Details'!$A$8:$L$219,COLUMN()+1,0),"Not Found"))</f>
        <v/>
      </c>
      <c r="I68" s="7" t="str">
        <f>IF(H68="","",IFERROR(VLOOKUP($A68&amp;$L68,'On Hand Details'!$A$8:$L$219,COLUMN()+1,0),"Not Found"))</f>
        <v/>
      </c>
      <c r="J68" s="7" t="str">
        <f>IF(I68="","",IFERROR(VLOOKUP($A68&amp;$L68,'On Hand Details'!$A$8:$L$219,COLUMN()+1,0),"Not Found"))</f>
        <v/>
      </c>
      <c r="K68" s="7" t="str">
        <f>IF(J68="","",IFERROR(VLOOKUP($A68&amp;$L68,'On Hand Details'!$A$8:$L$219,COLUMN()+1,0),"Not Found"))</f>
        <v/>
      </c>
      <c r="L68" s="7"/>
    </row>
    <row r="69" spans="1:12">
      <c r="A69" s="7"/>
      <c r="B69" s="7" t="str">
        <f>IF(A69="","",IFERROR(VLOOKUP($A69&amp;$L69,'On Hand Details'!$A$8:$L$219,COLUMN()+1,0),"Not Found"))</f>
        <v/>
      </c>
      <c r="C69" s="7" t="str">
        <f>IF(B69="","",IFERROR(VLOOKUP($A69&amp;$L69,'On Hand Details'!$A$8:$L$219,COLUMN()+1,0),"Not Found"))</f>
        <v/>
      </c>
      <c r="D69" s="7" t="str">
        <f>IF(C69="","",IFERROR(VLOOKUP($A69&amp;$L69,'On Hand Details'!$A$8:$L$219,COLUMN()+1,0),"Not Found"))</f>
        <v/>
      </c>
      <c r="E69" s="7" t="str">
        <f>IF(D69="","",IFERROR(VLOOKUP($A69&amp;$L69,'On Hand Details'!$A$8:$L$219,COLUMN()+1,0),"Not Found"))</f>
        <v/>
      </c>
      <c r="F69" s="7" t="str">
        <f>IF(E69="","",IFERROR(VLOOKUP($A69&amp;$L69,'On Hand Details'!$A$8:$L$219,COLUMN()+1,0),"Not Found"))</f>
        <v/>
      </c>
      <c r="G69" s="7" t="str">
        <f>IF(F69="","",IFERROR(VLOOKUP($A69&amp;$L69,'On Hand Details'!$A$8:$L$219,COLUMN()+1,0),"Not Found"))</f>
        <v/>
      </c>
      <c r="H69" s="7" t="str">
        <f>IF(G69="","",IFERROR(VLOOKUP($A69&amp;$L69,'On Hand Details'!$A$8:$L$219,COLUMN()+1,0),"Not Found"))</f>
        <v/>
      </c>
      <c r="I69" s="7" t="str">
        <f>IF(H69="","",IFERROR(VLOOKUP($A69&amp;$L69,'On Hand Details'!$A$8:$L$219,COLUMN()+1,0),"Not Found"))</f>
        <v/>
      </c>
      <c r="J69" s="7" t="str">
        <f>IF(I69="","",IFERROR(VLOOKUP($A69&amp;$L69,'On Hand Details'!$A$8:$L$219,COLUMN()+1,0),"Not Found"))</f>
        <v/>
      </c>
      <c r="K69" s="7" t="str">
        <f>IF(J69="","",IFERROR(VLOOKUP($A69&amp;$L69,'On Hand Details'!$A$8:$L$219,COLUMN()+1,0),"Not Found"))</f>
        <v/>
      </c>
      <c r="L69" s="7"/>
    </row>
    <row r="70" spans="1:12">
      <c r="A70" s="7"/>
      <c r="B70" s="7" t="str">
        <f>IF(A70="","",IFERROR(VLOOKUP($A70&amp;$L70,'On Hand Details'!$A$8:$L$219,COLUMN()+1,0),"Not Found"))</f>
        <v/>
      </c>
      <c r="C70" s="7" t="str">
        <f>IF(B70="","",IFERROR(VLOOKUP($A70&amp;$L70,'On Hand Details'!$A$8:$L$219,COLUMN()+1,0),"Not Found"))</f>
        <v/>
      </c>
      <c r="D70" s="7" t="str">
        <f>IF(C70="","",IFERROR(VLOOKUP($A70&amp;$L70,'On Hand Details'!$A$8:$L$219,COLUMN()+1,0),"Not Found"))</f>
        <v/>
      </c>
      <c r="E70" s="7" t="str">
        <f>IF(D70="","",IFERROR(VLOOKUP($A70&amp;$L70,'On Hand Details'!$A$8:$L$219,COLUMN()+1,0),"Not Found"))</f>
        <v/>
      </c>
      <c r="F70" s="7" t="str">
        <f>IF(E70="","",IFERROR(VLOOKUP($A70&amp;$L70,'On Hand Details'!$A$8:$L$219,COLUMN()+1,0),"Not Found"))</f>
        <v/>
      </c>
      <c r="G70" s="7" t="str">
        <f>IF(F70="","",IFERROR(VLOOKUP($A70&amp;$L70,'On Hand Details'!$A$8:$L$219,COLUMN()+1,0),"Not Found"))</f>
        <v/>
      </c>
      <c r="H70" s="7" t="str">
        <f>IF(G70="","",IFERROR(VLOOKUP($A70&amp;$L70,'On Hand Details'!$A$8:$L$219,COLUMN()+1,0),"Not Found"))</f>
        <v/>
      </c>
      <c r="I70" s="7" t="str">
        <f>IF(H70="","",IFERROR(VLOOKUP($A70&amp;$L70,'On Hand Details'!$A$8:$L$219,COLUMN()+1,0),"Not Found"))</f>
        <v/>
      </c>
      <c r="J70" s="7" t="str">
        <f>IF(I70="","",IFERROR(VLOOKUP($A70&amp;$L70,'On Hand Details'!$A$8:$L$219,COLUMN()+1,0),"Not Found"))</f>
        <v/>
      </c>
      <c r="K70" s="7" t="str">
        <f>IF(J70="","",IFERROR(VLOOKUP($A70&amp;$L70,'On Hand Details'!$A$8:$L$219,COLUMN()+1,0),"Not Found"))</f>
        <v/>
      </c>
      <c r="L70" s="7"/>
    </row>
    <row r="71" spans="1:12">
      <c r="A71" s="7"/>
      <c r="B71" s="7" t="str">
        <f>IF(A71="","",IFERROR(VLOOKUP($A71&amp;$L71,'On Hand Details'!$A$8:$L$219,COLUMN()+1,0),"Not Found"))</f>
        <v/>
      </c>
      <c r="C71" s="7" t="str">
        <f>IF(B71="","",IFERROR(VLOOKUP($A71&amp;$L71,'On Hand Details'!$A$8:$L$219,COLUMN()+1,0),"Not Found"))</f>
        <v/>
      </c>
      <c r="D71" s="7" t="str">
        <f>IF(C71="","",IFERROR(VLOOKUP($A71&amp;$L71,'On Hand Details'!$A$8:$L$219,COLUMN()+1,0),"Not Found"))</f>
        <v/>
      </c>
      <c r="E71" s="7" t="str">
        <f>IF(D71="","",IFERROR(VLOOKUP($A71&amp;$L71,'On Hand Details'!$A$8:$L$219,COLUMN()+1,0),"Not Found"))</f>
        <v/>
      </c>
      <c r="F71" s="7" t="str">
        <f>IF(E71="","",IFERROR(VLOOKUP($A71&amp;$L71,'On Hand Details'!$A$8:$L$219,COLUMN()+1,0),"Not Found"))</f>
        <v/>
      </c>
      <c r="G71" s="7" t="str">
        <f>IF(F71="","",IFERROR(VLOOKUP($A71&amp;$L71,'On Hand Details'!$A$8:$L$219,COLUMN()+1,0),"Not Found"))</f>
        <v/>
      </c>
      <c r="H71" s="7" t="str">
        <f>IF(G71="","",IFERROR(VLOOKUP($A71&amp;$L71,'On Hand Details'!$A$8:$L$219,COLUMN()+1,0),"Not Found"))</f>
        <v/>
      </c>
      <c r="I71" s="7" t="str">
        <f>IF(H71="","",IFERROR(VLOOKUP($A71&amp;$L71,'On Hand Details'!$A$8:$L$219,COLUMN()+1,0),"Not Found"))</f>
        <v/>
      </c>
      <c r="J71" s="7" t="str">
        <f>IF(I71="","",IFERROR(VLOOKUP($A71&amp;$L71,'On Hand Details'!$A$8:$L$219,COLUMN()+1,0),"Not Found"))</f>
        <v/>
      </c>
      <c r="K71" s="7" t="str">
        <f>IF(J71="","",IFERROR(VLOOKUP($A71&amp;$L71,'On Hand Details'!$A$8:$L$219,COLUMN()+1,0),"Not Found"))</f>
        <v/>
      </c>
      <c r="L71" s="7"/>
    </row>
    <row r="72" spans="1:12">
      <c r="A72" s="7"/>
      <c r="B72" s="7" t="str">
        <f>IF(A72="","",IFERROR(VLOOKUP($A72&amp;$L72,'On Hand Details'!$A$8:$L$219,COLUMN()+1,0),"Not Found"))</f>
        <v/>
      </c>
      <c r="C72" s="7" t="str">
        <f>IF(B72="","",IFERROR(VLOOKUP($A72&amp;$L72,'On Hand Details'!$A$8:$L$219,COLUMN()+1,0),"Not Found"))</f>
        <v/>
      </c>
      <c r="D72" s="7" t="str">
        <f>IF(C72="","",IFERROR(VLOOKUP($A72&amp;$L72,'On Hand Details'!$A$8:$L$219,COLUMN()+1,0),"Not Found"))</f>
        <v/>
      </c>
      <c r="E72" s="7" t="str">
        <f>IF(D72="","",IFERROR(VLOOKUP($A72&amp;$L72,'On Hand Details'!$A$8:$L$219,COLUMN()+1,0),"Not Found"))</f>
        <v/>
      </c>
      <c r="F72" s="7" t="str">
        <f>IF(E72="","",IFERROR(VLOOKUP($A72&amp;$L72,'On Hand Details'!$A$8:$L$219,COLUMN()+1,0),"Not Found"))</f>
        <v/>
      </c>
      <c r="G72" s="7" t="str">
        <f>IF(F72="","",IFERROR(VLOOKUP($A72&amp;$L72,'On Hand Details'!$A$8:$L$219,COLUMN()+1,0),"Not Found"))</f>
        <v/>
      </c>
      <c r="H72" s="7" t="str">
        <f>IF(G72="","",IFERROR(VLOOKUP($A72&amp;$L72,'On Hand Details'!$A$8:$L$219,COLUMN()+1,0),"Not Found"))</f>
        <v/>
      </c>
      <c r="I72" s="7" t="str">
        <f>IF(H72="","",IFERROR(VLOOKUP($A72&amp;$L72,'On Hand Details'!$A$8:$L$219,COLUMN()+1,0),"Not Found"))</f>
        <v/>
      </c>
      <c r="J72" s="7" t="str">
        <f>IF(I72="","",IFERROR(VLOOKUP($A72&amp;$L72,'On Hand Details'!$A$8:$L$219,COLUMN()+1,0),"Not Found"))</f>
        <v/>
      </c>
      <c r="K72" s="7" t="str">
        <f>IF(J72="","",IFERROR(VLOOKUP($A72&amp;$L72,'On Hand Details'!$A$8:$L$219,COLUMN()+1,0),"Not Found"))</f>
        <v/>
      </c>
      <c r="L72" s="7"/>
    </row>
    <row r="73" spans="1:12">
      <c r="A73" s="7"/>
      <c r="B73" s="7" t="str">
        <f>IF(A73="","",IFERROR(VLOOKUP($A73&amp;$L73,'On Hand Details'!$A$8:$L$219,COLUMN()+1,0),"Not Found"))</f>
        <v/>
      </c>
      <c r="C73" s="7" t="str">
        <f>IF(B73="","",IFERROR(VLOOKUP($A73&amp;$L73,'On Hand Details'!$A$8:$L$219,COLUMN()+1,0),"Not Found"))</f>
        <v/>
      </c>
      <c r="D73" s="7" t="str">
        <f>IF(C73="","",IFERROR(VLOOKUP($A73&amp;$L73,'On Hand Details'!$A$8:$L$219,COLUMN()+1,0),"Not Found"))</f>
        <v/>
      </c>
      <c r="E73" s="7" t="str">
        <f>IF(D73="","",IFERROR(VLOOKUP($A73&amp;$L73,'On Hand Details'!$A$8:$L$219,COLUMN()+1,0),"Not Found"))</f>
        <v/>
      </c>
      <c r="F73" s="7" t="str">
        <f>IF(E73="","",IFERROR(VLOOKUP($A73&amp;$L73,'On Hand Details'!$A$8:$L$219,COLUMN()+1,0),"Not Found"))</f>
        <v/>
      </c>
      <c r="G73" s="7" t="str">
        <f>IF(F73="","",IFERROR(VLOOKUP($A73&amp;$L73,'On Hand Details'!$A$8:$L$219,COLUMN()+1,0),"Not Found"))</f>
        <v/>
      </c>
      <c r="H73" s="7" t="str">
        <f>IF(G73="","",IFERROR(VLOOKUP($A73&amp;$L73,'On Hand Details'!$A$8:$L$219,COLUMN()+1,0),"Not Found"))</f>
        <v/>
      </c>
      <c r="I73" s="7" t="str">
        <f>IF(H73="","",IFERROR(VLOOKUP($A73&amp;$L73,'On Hand Details'!$A$8:$L$219,COLUMN()+1,0),"Not Found"))</f>
        <v/>
      </c>
      <c r="J73" s="7" t="str">
        <f>IF(I73="","",IFERROR(VLOOKUP($A73&amp;$L73,'On Hand Details'!$A$8:$L$219,COLUMN()+1,0),"Not Found"))</f>
        <v/>
      </c>
      <c r="K73" s="7" t="str">
        <f>IF(J73="","",IFERROR(VLOOKUP($A73&amp;$L73,'On Hand Details'!$A$8:$L$219,COLUMN()+1,0),"Not Found"))</f>
        <v/>
      </c>
      <c r="L73" s="7"/>
    </row>
    <row r="74" spans="1:12">
      <c r="A74" s="7"/>
      <c r="B74" s="7" t="str">
        <f>IF(A74="","",IFERROR(VLOOKUP($A74&amp;$L74,'On Hand Details'!$A$8:$L$219,COLUMN()+1,0),"Not Found"))</f>
        <v/>
      </c>
      <c r="C74" s="7" t="str">
        <f>IF(B74="","",IFERROR(VLOOKUP($A74&amp;$L74,'On Hand Details'!$A$8:$L$219,COLUMN()+1,0),"Not Found"))</f>
        <v/>
      </c>
      <c r="D74" s="7" t="str">
        <f>IF(C74="","",IFERROR(VLOOKUP($A74&amp;$L74,'On Hand Details'!$A$8:$L$219,COLUMN()+1,0),"Not Found"))</f>
        <v/>
      </c>
      <c r="E74" s="7" t="str">
        <f>IF(D74="","",IFERROR(VLOOKUP($A74&amp;$L74,'On Hand Details'!$A$8:$L$219,COLUMN()+1,0),"Not Found"))</f>
        <v/>
      </c>
      <c r="F74" s="7" t="str">
        <f>IF(E74="","",IFERROR(VLOOKUP($A74&amp;$L74,'On Hand Details'!$A$8:$L$219,COLUMN()+1,0),"Not Found"))</f>
        <v/>
      </c>
      <c r="G74" s="7" t="str">
        <f>IF(F74="","",IFERROR(VLOOKUP($A74&amp;$L74,'On Hand Details'!$A$8:$L$219,COLUMN()+1,0),"Not Found"))</f>
        <v/>
      </c>
      <c r="H74" s="7" t="str">
        <f>IF(G74="","",IFERROR(VLOOKUP($A74&amp;$L74,'On Hand Details'!$A$8:$L$219,COLUMN()+1,0),"Not Found"))</f>
        <v/>
      </c>
      <c r="I74" s="7" t="str">
        <f>IF(H74="","",IFERROR(VLOOKUP($A74&amp;$L74,'On Hand Details'!$A$8:$L$219,COLUMN()+1,0),"Not Found"))</f>
        <v/>
      </c>
      <c r="J74" s="7" t="str">
        <f>IF(I74="","",IFERROR(VLOOKUP($A74&amp;$L74,'On Hand Details'!$A$8:$L$219,COLUMN()+1,0),"Not Found"))</f>
        <v/>
      </c>
      <c r="K74" s="7" t="str">
        <f>IF(J74="","",IFERROR(VLOOKUP($A74&amp;$L74,'On Hand Details'!$A$8:$L$219,COLUMN()+1,0),"Not Found"))</f>
        <v/>
      </c>
      <c r="L74" s="7"/>
    </row>
    <row r="75" spans="1:12">
      <c r="A75" s="7"/>
      <c r="B75" s="7" t="str">
        <f>IF(A75="","",IFERROR(VLOOKUP($A75&amp;$L75,'On Hand Details'!$A$8:$L$219,COLUMN()+1,0),"Not Found"))</f>
        <v/>
      </c>
      <c r="C75" s="7" t="str">
        <f>IF(B75="","",IFERROR(VLOOKUP($A75&amp;$L75,'On Hand Details'!$A$8:$L$219,COLUMN()+1,0),"Not Found"))</f>
        <v/>
      </c>
      <c r="D75" s="7" t="str">
        <f>IF(C75="","",IFERROR(VLOOKUP($A75&amp;$L75,'On Hand Details'!$A$8:$L$219,COLUMN()+1,0),"Not Found"))</f>
        <v/>
      </c>
      <c r="E75" s="7" t="str">
        <f>IF(D75="","",IFERROR(VLOOKUP($A75&amp;$L75,'On Hand Details'!$A$8:$L$219,COLUMN()+1,0),"Not Found"))</f>
        <v/>
      </c>
      <c r="F75" s="7" t="str">
        <f>IF(E75="","",IFERROR(VLOOKUP($A75&amp;$L75,'On Hand Details'!$A$8:$L$219,COLUMN()+1,0),"Not Found"))</f>
        <v/>
      </c>
      <c r="G75" s="7" t="str">
        <f>IF(F75="","",IFERROR(VLOOKUP($A75&amp;$L75,'On Hand Details'!$A$8:$L$219,COLUMN()+1,0),"Not Found"))</f>
        <v/>
      </c>
      <c r="H75" s="7" t="str">
        <f>IF(G75="","",IFERROR(VLOOKUP($A75&amp;$L75,'On Hand Details'!$A$8:$L$219,COLUMN()+1,0),"Not Found"))</f>
        <v/>
      </c>
      <c r="I75" s="7" t="str">
        <f>IF(H75="","",IFERROR(VLOOKUP($A75&amp;$L75,'On Hand Details'!$A$8:$L$219,COLUMN()+1,0),"Not Found"))</f>
        <v/>
      </c>
      <c r="J75" s="7" t="str">
        <f>IF(I75="","",IFERROR(VLOOKUP($A75&amp;$L75,'On Hand Details'!$A$8:$L$219,COLUMN()+1,0),"Not Found"))</f>
        <v/>
      </c>
      <c r="K75" s="7" t="str">
        <f>IF(J75="","",IFERROR(VLOOKUP($A75&amp;$L75,'On Hand Details'!$A$8:$L$219,COLUMN()+1,0),"Not Found"))</f>
        <v/>
      </c>
      <c r="L75" s="7"/>
    </row>
    <row r="76" spans="1:12">
      <c r="A76" s="7"/>
      <c r="B76" s="7" t="str">
        <f>IF(A76="","",IFERROR(VLOOKUP($A76&amp;$L76,'On Hand Details'!$A$8:$L$219,COLUMN()+1,0),"Not Found"))</f>
        <v/>
      </c>
      <c r="C76" s="7" t="str">
        <f>IF(B76="","",IFERROR(VLOOKUP($A76&amp;$L76,'On Hand Details'!$A$8:$L$219,COLUMN()+1,0),"Not Found"))</f>
        <v/>
      </c>
      <c r="D76" s="7" t="str">
        <f>IF(C76="","",IFERROR(VLOOKUP($A76&amp;$L76,'On Hand Details'!$A$8:$L$219,COLUMN()+1,0),"Not Found"))</f>
        <v/>
      </c>
      <c r="E76" s="7" t="str">
        <f>IF(D76="","",IFERROR(VLOOKUP($A76&amp;$L76,'On Hand Details'!$A$8:$L$219,COLUMN()+1,0),"Not Found"))</f>
        <v/>
      </c>
      <c r="F76" s="7" t="str">
        <f>IF(E76="","",IFERROR(VLOOKUP($A76&amp;$L76,'On Hand Details'!$A$8:$L$219,COLUMN()+1,0),"Not Found"))</f>
        <v/>
      </c>
      <c r="G76" s="7" t="str">
        <f>IF(F76="","",IFERROR(VLOOKUP($A76&amp;$L76,'On Hand Details'!$A$8:$L$219,COLUMN()+1,0),"Not Found"))</f>
        <v/>
      </c>
      <c r="H76" s="7" t="str">
        <f>IF(G76="","",IFERROR(VLOOKUP($A76&amp;$L76,'On Hand Details'!$A$8:$L$219,COLUMN()+1,0),"Not Found"))</f>
        <v/>
      </c>
      <c r="I76" s="7" t="str">
        <f>IF(H76="","",IFERROR(VLOOKUP($A76&amp;$L76,'On Hand Details'!$A$8:$L$219,COLUMN()+1,0),"Not Found"))</f>
        <v/>
      </c>
      <c r="J76" s="7" t="str">
        <f>IF(I76="","",IFERROR(VLOOKUP($A76&amp;$L76,'On Hand Details'!$A$8:$L$219,COLUMN()+1,0),"Not Found"))</f>
        <v/>
      </c>
      <c r="K76" s="7" t="str">
        <f>IF(J76="","",IFERROR(VLOOKUP($A76&amp;$L76,'On Hand Details'!$A$8:$L$219,COLUMN()+1,0),"Not Found"))</f>
        <v/>
      </c>
      <c r="L76" s="7"/>
    </row>
    <row r="77" spans="1:12">
      <c r="A77" s="7"/>
      <c r="B77" s="7" t="str">
        <f>IF(A77="","",IFERROR(VLOOKUP($A77&amp;$L77,'On Hand Details'!$A$8:$L$219,COLUMN()+1,0),"Not Found"))</f>
        <v/>
      </c>
      <c r="C77" s="7" t="str">
        <f>IF(B77="","",IFERROR(VLOOKUP($A77&amp;$L77,'On Hand Details'!$A$8:$L$219,COLUMN()+1,0),"Not Found"))</f>
        <v/>
      </c>
      <c r="D77" s="7" t="str">
        <f>IF(C77="","",IFERROR(VLOOKUP($A77&amp;$L77,'On Hand Details'!$A$8:$L$219,COLUMN()+1,0),"Not Found"))</f>
        <v/>
      </c>
      <c r="E77" s="7" t="str">
        <f>IF(D77="","",IFERROR(VLOOKUP($A77&amp;$L77,'On Hand Details'!$A$8:$L$219,COLUMN()+1,0),"Not Found"))</f>
        <v/>
      </c>
      <c r="F77" s="7" t="str">
        <f>IF(E77="","",IFERROR(VLOOKUP($A77&amp;$L77,'On Hand Details'!$A$8:$L$219,COLUMN()+1,0),"Not Found"))</f>
        <v/>
      </c>
      <c r="G77" s="7" t="str">
        <f>IF(F77="","",IFERROR(VLOOKUP($A77&amp;$L77,'On Hand Details'!$A$8:$L$219,COLUMN()+1,0),"Not Found"))</f>
        <v/>
      </c>
      <c r="H77" s="7" t="str">
        <f>IF(G77="","",IFERROR(VLOOKUP($A77&amp;$L77,'On Hand Details'!$A$8:$L$219,COLUMN()+1,0),"Not Found"))</f>
        <v/>
      </c>
      <c r="I77" s="7" t="str">
        <f>IF(H77="","",IFERROR(VLOOKUP($A77&amp;$L77,'On Hand Details'!$A$8:$L$219,COLUMN()+1,0),"Not Found"))</f>
        <v/>
      </c>
      <c r="J77" s="7" t="str">
        <f>IF(I77="","",IFERROR(VLOOKUP($A77&amp;$L77,'On Hand Details'!$A$8:$L$219,COLUMN()+1,0),"Not Found"))</f>
        <v/>
      </c>
      <c r="K77" s="7" t="str">
        <f>IF(J77="","",IFERROR(VLOOKUP($A77&amp;$L77,'On Hand Details'!$A$8:$L$219,COLUMN()+1,0),"Not Found"))</f>
        <v/>
      </c>
      <c r="L77" s="7"/>
    </row>
    <row r="78" spans="1:12">
      <c r="A78" s="7"/>
      <c r="B78" s="7" t="str">
        <f>IF(A78="","",IFERROR(VLOOKUP($A78&amp;$L78,'On Hand Details'!$A$8:$L$219,COLUMN()+1,0),"Not Found"))</f>
        <v/>
      </c>
      <c r="C78" s="7" t="str">
        <f>IF(B78="","",IFERROR(VLOOKUP($A78&amp;$L78,'On Hand Details'!$A$8:$L$219,COLUMN()+1,0),"Not Found"))</f>
        <v/>
      </c>
      <c r="D78" s="7" t="str">
        <f>IF(C78="","",IFERROR(VLOOKUP($A78&amp;$L78,'On Hand Details'!$A$8:$L$219,COLUMN()+1,0),"Not Found"))</f>
        <v/>
      </c>
      <c r="E78" s="7" t="str">
        <f>IF(D78="","",IFERROR(VLOOKUP($A78&amp;$L78,'On Hand Details'!$A$8:$L$219,COLUMN()+1,0),"Not Found"))</f>
        <v/>
      </c>
      <c r="F78" s="7" t="str">
        <f>IF(E78="","",IFERROR(VLOOKUP($A78&amp;$L78,'On Hand Details'!$A$8:$L$219,COLUMN()+1,0),"Not Found"))</f>
        <v/>
      </c>
      <c r="G78" s="7" t="str">
        <f>IF(F78="","",IFERROR(VLOOKUP($A78&amp;$L78,'On Hand Details'!$A$8:$L$219,COLUMN()+1,0),"Not Found"))</f>
        <v/>
      </c>
      <c r="H78" s="7" t="str">
        <f>IF(G78="","",IFERROR(VLOOKUP($A78&amp;$L78,'On Hand Details'!$A$8:$L$219,COLUMN()+1,0),"Not Found"))</f>
        <v/>
      </c>
      <c r="I78" s="7" t="str">
        <f>IF(H78="","",IFERROR(VLOOKUP($A78&amp;$L78,'On Hand Details'!$A$8:$L$219,COLUMN()+1,0),"Not Found"))</f>
        <v/>
      </c>
      <c r="J78" s="7" t="str">
        <f>IF(I78="","",IFERROR(VLOOKUP($A78&amp;$L78,'On Hand Details'!$A$8:$L$219,COLUMN()+1,0),"Not Found"))</f>
        <v/>
      </c>
      <c r="K78" s="7" t="str">
        <f>IF(J78="","",IFERROR(VLOOKUP($A78&amp;$L78,'On Hand Details'!$A$8:$L$219,COLUMN()+1,0),"Not Found"))</f>
        <v/>
      </c>
      <c r="L78" s="7"/>
    </row>
    <row r="79" spans="1:12">
      <c r="A79" s="7"/>
      <c r="B79" s="7" t="str">
        <f>IF(A79="","",IFERROR(VLOOKUP($A79&amp;$L79,'On Hand Details'!$A$8:$L$219,COLUMN()+1,0),"Not Found"))</f>
        <v/>
      </c>
      <c r="C79" s="7" t="str">
        <f>IF(B79="","",IFERROR(VLOOKUP($A79&amp;$L79,'On Hand Details'!$A$8:$L$219,COLUMN()+1,0),"Not Found"))</f>
        <v/>
      </c>
      <c r="D79" s="7" t="str">
        <f>IF(C79="","",IFERROR(VLOOKUP($A79&amp;$L79,'On Hand Details'!$A$8:$L$219,COLUMN()+1,0),"Not Found"))</f>
        <v/>
      </c>
      <c r="E79" s="7" t="str">
        <f>IF(D79="","",IFERROR(VLOOKUP($A79&amp;$L79,'On Hand Details'!$A$8:$L$219,COLUMN()+1,0),"Not Found"))</f>
        <v/>
      </c>
      <c r="F79" s="7" t="str">
        <f>IF(E79="","",IFERROR(VLOOKUP($A79&amp;$L79,'On Hand Details'!$A$8:$L$219,COLUMN()+1,0),"Not Found"))</f>
        <v/>
      </c>
      <c r="G79" s="7" t="str">
        <f>IF(F79="","",IFERROR(VLOOKUP($A79&amp;$L79,'On Hand Details'!$A$8:$L$219,COLUMN()+1,0),"Not Found"))</f>
        <v/>
      </c>
      <c r="H79" s="7" t="str">
        <f>IF(G79="","",IFERROR(VLOOKUP($A79&amp;$L79,'On Hand Details'!$A$8:$L$219,COLUMN()+1,0),"Not Found"))</f>
        <v/>
      </c>
      <c r="I79" s="7" t="str">
        <f>IF(H79="","",IFERROR(VLOOKUP($A79&amp;$L79,'On Hand Details'!$A$8:$L$219,COLUMN()+1,0),"Not Found"))</f>
        <v/>
      </c>
      <c r="J79" s="7" t="str">
        <f>IF(I79="","",IFERROR(VLOOKUP($A79&amp;$L79,'On Hand Details'!$A$8:$L$219,COLUMN()+1,0),"Not Found"))</f>
        <v/>
      </c>
      <c r="K79" s="7" t="str">
        <f>IF(J79="","",IFERROR(VLOOKUP($A79&amp;$L79,'On Hand Details'!$A$8:$L$219,COLUMN()+1,0),"Not Found"))</f>
        <v/>
      </c>
      <c r="L79" s="7"/>
    </row>
    <row r="80" spans="1:12">
      <c r="A80" s="7"/>
      <c r="B80" s="7" t="str">
        <f>IF(A80="","",IFERROR(VLOOKUP($A80&amp;$L80,'On Hand Details'!$A$8:$L$219,COLUMN()+1,0),"Not Found"))</f>
        <v/>
      </c>
      <c r="C80" s="7" t="str">
        <f>IF(B80="","",IFERROR(VLOOKUP($A80&amp;$L80,'On Hand Details'!$A$8:$L$219,COLUMN()+1,0),"Not Found"))</f>
        <v/>
      </c>
      <c r="D80" s="7" t="str">
        <f>IF(C80="","",IFERROR(VLOOKUP($A80&amp;$L80,'On Hand Details'!$A$8:$L$219,COLUMN()+1,0),"Not Found"))</f>
        <v/>
      </c>
      <c r="E80" s="7" t="str">
        <f>IF(D80="","",IFERROR(VLOOKUP($A80&amp;$L80,'On Hand Details'!$A$8:$L$219,COLUMN()+1,0),"Not Found"))</f>
        <v/>
      </c>
      <c r="F80" s="7" t="str">
        <f>IF(E80="","",IFERROR(VLOOKUP($A80&amp;$L80,'On Hand Details'!$A$8:$L$219,COLUMN()+1,0),"Not Found"))</f>
        <v/>
      </c>
      <c r="G80" s="7" t="str">
        <f>IF(F80="","",IFERROR(VLOOKUP($A80&amp;$L80,'On Hand Details'!$A$8:$L$219,COLUMN()+1,0),"Not Found"))</f>
        <v/>
      </c>
      <c r="H80" s="7" t="str">
        <f>IF(G80="","",IFERROR(VLOOKUP($A80&amp;$L80,'On Hand Details'!$A$8:$L$219,COLUMN()+1,0),"Not Found"))</f>
        <v/>
      </c>
      <c r="I80" s="7" t="str">
        <f>IF(H80="","",IFERROR(VLOOKUP($A80&amp;$L80,'On Hand Details'!$A$8:$L$219,COLUMN()+1,0),"Not Found"))</f>
        <v/>
      </c>
      <c r="J80" s="7" t="str">
        <f>IF(I80="","",IFERROR(VLOOKUP($A80&amp;$L80,'On Hand Details'!$A$8:$L$219,COLUMN()+1,0),"Not Found"))</f>
        <v/>
      </c>
      <c r="K80" s="7" t="str">
        <f>IF(J80="","",IFERROR(VLOOKUP($A80&amp;$L80,'On Hand Details'!$A$8:$L$219,COLUMN()+1,0),"Not Found"))</f>
        <v/>
      </c>
      <c r="L80" s="7"/>
    </row>
    <row r="81" spans="1:12">
      <c r="A81" s="7"/>
      <c r="B81" s="7" t="str">
        <f>IF(A81="","",IFERROR(VLOOKUP($A81&amp;$L81,'On Hand Details'!$A$8:$L$219,COLUMN()+1,0),"Not Found"))</f>
        <v/>
      </c>
      <c r="C81" s="7" t="str">
        <f>IF(B81="","",IFERROR(VLOOKUP($A81&amp;$L81,'On Hand Details'!$A$8:$L$219,COLUMN()+1,0),"Not Found"))</f>
        <v/>
      </c>
      <c r="D81" s="7" t="str">
        <f>IF(C81="","",IFERROR(VLOOKUP($A81&amp;$L81,'On Hand Details'!$A$8:$L$219,COLUMN()+1,0),"Not Found"))</f>
        <v/>
      </c>
      <c r="E81" s="7" t="str">
        <f>IF(D81="","",IFERROR(VLOOKUP($A81&amp;$L81,'On Hand Details'!$A$8:$L$219,COLUMN()+1,0),"Not Found"))</f>
        <v/>
      </c>
      <c r="F81" s="7" t="str">
        <f>IF(E81="","",IFERROR(VLOOKUP($A81&amp;$L81,'On Hand Details'!$A$8:$L$219,COLUMN()+1,0),"Not Found"))</f>
        <v/>
      </c>
      <c r="G81" s="7" t="str">
        <f>IF(F81="","",IFERROR(VLOOKUP($A81&amp;$L81,'On Hand Details'!$A$8:$L$219,COLUMN()+1,0),"Not Found"))</f>
        <v/>
      </c>
      <c r="H81" s="7" t="str">
        <f>IF(G81="","",IFERROR(VLOOKUP($A81&amp;$L81,'On Hand Details'!$A$8:$L$219,COLUMN()+1,0),"Not Found"))</f>
        <v/>
      </c>
      <c r="I81" s="7" t="str">
        <f>IF(H81="","",IFERROR(VLOOKUP($A81&amp;$L81,'On Hand Details'!$A$8:$L$219,COLUMN()+1,0),"Not Found"))</f>
        <v/>
      </c>
      <c r="J81" s="7" t="str">
        <f>IF(I81="","",IFERROR(VLOOKUP($A81&amp;$L81,'On Hand Details'!$A$8:$L$219,COLUMN()+1,0),"Not Found"))</f>
        <v/>
      </c>
      <c r="K81" s="7" t="str">
        <f>IF(J81="","",IFERROR(VLOOKUP($A81&amp;$L81,'On Hand Details'!$A$8:$L$219,COLUMN()+1,0),"Not Found"))</f>
        <v/>
      </c>
      <c r="L81" s="7"/>
    </row>
    <row r="82" spans="1:12">
      <c r="A82" s="7"/>
      <c r="B82" s="7" t="str">
        <f>IF(A82="","",IFERROR(VLOOKUP($A82&amp;$L82,'On Hand Details'!$A$8:$L$219,COLUMN()+1,0),"Not Found"))</f>
        <v/>
      </c>
      <c r="C82" s="7" t="str">
        <f>IF(B82="","",IFERROR(VLOOKUP($A82&amp;$L82,'On Hand Details'!$A$8:$L$219,COLUMN()+1,0),"Not Found"))</f>
        <v/>
      </c>
      <c r="D82" s="7" t="str">
        <f>IF(C82="","",IFERROR(VLOOKUP($A82&amp;$L82,'On Hand Details'!$A$8:$L$219,COLUMN()+1,0),"Not Found"))</f>
        <v/>
      </c>
      <c r="E82" s="7" t="str">
        <f>IF(D82="","",IFERROR(VLOOKUP($A82&amp;$L82,'On Hand Details'!$A$8:$L$219,COLUMN()+1,0),"Not Found"))</f>
        <v/>
      </c>
      <c r="F82" s="7" t="str">
        <f>IF(E82="","",IFERROR(VLOOKUP($A82&amp;$L82,'On Hand Details'!$A$8:$L$219,COLUMN()+1,0),"Not Found"))</f>
        <v/>
      </c>
      <c r="G82" s="7" t="str">
        <f>IF(F82="","",IFERROR(VLOOKUP($A82&amp;$L82,'On Hand Details'!$A$8:$L$219,COLUMN()+1,0),"Not Found"))</f>
        <v/>
      </c>
      <c r="H82" s="7" t="str">
        <f>IF(G82="","",IFERROR(VLOOKUP($A82&amp;$L82,'On Hand Details'!$A$8:$L$219,COLUMN()+1,0),"Not Found"))</f>
        <v/>
      </c>
      <c r="I82" s="7" t="str">
        <f>IF(H82="","",IFERROR(VLOOKUP($A82&amp;$L82,'On Hand Details'!$A$8:$L$219,COLUMN()+1,0),"Not Found"))</f>
        <v/>
      </c>
      <c r="J82" s="7" t="str">
        <f>IF(I82="","",IFERROR(VLOOKUP($A82&amp;$L82,'On Hand Details'!$A$8:$L$219,COLUMN()+1,0),"Not Found"))</f>
        <v/>
      </c>
      <c r="K82" s="7" t="str">
        <f>IF(J82="","",IFERROR(VLOOKUP($A82&amp;$L82,'On Hand Details'!$A$8:$L$219,COLUMN()+1,0),"Not Found"))</f>
        <v/>
      </c>
      <c r="L82" s="7"/>
    </row>
    <row r="83" spans="1:12">
      <c r="A83" s="7"/>
      <c r="B83" s="7" t="str">
        <f>IF(A83="","",IFERROR(VLOOKUP($A83&amp;$L83,'On Hand Details'!$A$8:$L$219,COLUMN()+1,0),"Not Found"))</f>
        <v/>
      </c>
      <c r="C83" s="7" t="str">
        <f>IF(B83="","",IFERROR(VLOOKUP($A83&amp;$L83,'On Hand Details'!$A$8:$L$219,COLUMN()+1,0),"Not Found"))</f>
        <v/>
      </c>
      <c r="D83" s="7" t="str">
        <f>IF(C83="","",IFERROR(VLOOKUP($A83&amp;$L83,'On Hand Details'!$A$8:$L$219,COLUMN()+1,0),"Not Found"))</f>
        <v/>
      </c>
      <c r="E83" s="7" t="str">
        <f>IF(D83="","",IFERROR(VLOOKUP($A83&amp;$L83,'On Hand Details'!$A$8:$L$219,COLUMN()+1,0),"Not Found"))</f>
        <v/>
      </c>
      <c r="F83" s="7" t="str">
        <f>IF(E83="","",IFERROR(VLOOKUP($A83&amp;$L83,'On Hand Details'!$A$8:$L$219,COLUMN()+1,0),"Not Found"))</f>
        <v/>
      </c>
      <c r="G83" s="7" t="str">
        <f>IF(F83="","",IFERROR(VLOOKUP($A83&amp;$L83,'On Hand Details'!$A$8:$L$219,COLUMN()+1,0),"Not Found"))</f>
        <v/>
      </c>
      <c r="H83" s="7" t="str">
        <f>IF(G83="","",IFERROR(VLOOKUP($A83&amp;$L83,'On Hand Details'!$A$8:$L$219,COLUMN()+1,0),"Not Found"))</f>
        <v/>
      </c>
      <c r="I83" s="7" t="str">
        <f>IF(H83="","",IFERROR(VLOOKUP($A83&amp;$L83,'On Hand Details'!$A$8:$L$219,COLUMN()+1,0),"Not Found"))</f>
        <v/>
      </c>
      <c r="J83" s="7" t="str">
        <f>IF(I83="","",IFERROR(VLOOKUP($A83&amp;$L83,'On Hand Details'!$A$8:$L$219,COLUMN()+1,0),"Not Found"))</f>
        <v/>
      </c>
      <c r="K83" s="7" t="str">
        <f>IF(J83="","",IFERROR(VLOOKUP($A83&amp;$L83,'On Hand Details'!$A$8:$L$219,COLUMN()+1,0),"Not Found"))</f>
        <v/>
      </c>
      <c r="L83" s="7"/>
    </row>
    <row r="84" spans="1:12">
      <c r="A84" s="7"/>
      <c r="B84" s="7" t="str">
        <f>IF(A84="","",IFERROR(VLOOKUP($A84&amp;$L84,'On Hand Details'!$A$8:$L$219,COLUMN()+1,0),"Not Found"))</f>
        <v/>
      </c>
      <c r="C84" s="7" t="str">
        <f>IF(B84="","",IFERROR(VLOOKUP($A84&amp;$L84,'On Hand Details'!$A$8:$L$219,COLUMN()+1,0),"Not Found"))</f>
        <v/>
      </c>
      <c r="D84" s="7" t="str">
        <f>IF(C84="","",IFERROR(VLOOKUP($A84&amp;$L84,'On Hand Details'!$A$8:$L$219,COLUMN()+1,0),"Not Found"))</f>
        <v/>
      </c>
      <c r="E84" s="7" t="str">
        <f>IF(D84="","",IFERROR(VLOOKUP($A84&amp;$L84,'On Hand Details'!$A$8:$L$219,COLUMN()+1,0),"Not Found"))</f>
        <v/>
      </c>
      <c r="F84" s="7" t="str">
        <f>IF(E84="","",IFERROR(VLOOKUP($A84&amp;$L84,'On Hand Details'!$A$8:$L$219,COLUMN()+1,0),"Not Found"))</f>
        <v/>
      </c>
      <c r="G84" s="7" t="str">
        <f>IF(F84="","",IFERROR(VLOOKUP($A84&amp;$L84,'On Hand Details'!$A$8:$L$219,COLUMN()+1,0),"Not Found"))</f>
        <v/>
      </c>
      <c r="H84" s="7" t="str">
        <f>IF(G84="","",IFERROR(VLOOKUP($A84&amp;$L84,'On Hand Details'!$A$8:$L$219,COLUMN()+1,0),"Not Found"))</f>
        <v/>
      </c>
      <c r="I84" s="7" t="str">
        <f>IF(H84="","",IFERROR(VLOOKUP($A84&amp;$L84,'On Hand Details'!$A$8:$L$219,COLUMN()+1,0),"Not Found"))</f>
        <v/>
      </c>
      <c r="J84" s="7" t="str">
        <f>IF(I84="","",IFERROR(VLOOKUP($A84&amp;$L84,'On Hand Details'!$A$8:$L$219,COLUMN()+1,0),"Not Found"))</f>
        <v/>
      </c>
      <c r="K84" s="7" t="str">
        <f>IF(J84="","",IFERROR(VLOOKUP($A84&amp;$L84,'On Hand Details'!$A$8:$L$219,COLUMN()+1,0),"Not Found"))</f>
        <v/>
      </c>
      <c r="L84" s="7"/>
    </row>
    <row r="85" spans="1:12">
      <c r="A85" s="7"/>
      <c r="B85" s="7" t="str">
        <f>IF(A85="","",IFERROR(VLOOKUP($A85&amp;$L85,'On Hand Details'!$A$8:$L$219,COLUMN()+1,0),"Not Found"))</f>
        <v/>
      </c>
      <c r="C85" s="7" t="str">
        <f>IF(B85="","",IFERROR(VLOOKUP($A85&amp;$L85,'On Hand Details'!$A$8:$L$219,COLUMN()+1,0),"Not Found"))</f>
        <v/>
      </c>
      <c r="D85" s="7" t="str">
        <f>IF(C85="","",IFERROR(VLOOKUP($A85&amp;$L85,'On Hand Details'!$A$8:$L$219,COLUMN()+1,0),"Not Found"))</f>
        <v/>
      </c>
      <c r="E85" s="7" t="str">
        <f>IF(D85="","",IFERROR(VLOOKUP($A85&amp;$L85,'On Hand Details'!$A$8:$L$219,COLUMN()+1,0),"Not Found"))</f>
        <v/>
      </c>
      <c r="F85" s="7" t="str">
        <f>IF(E85="","",IFERROR(VLOOKUP($A85&amp;$L85,'On Hand Details'!$A$8:$L$219,COLUMN()+1,0),"Not Found"))</f>
        <v/>
      </c>
      <c r="G85" s="7" t="str">
        <f>IF(F85="","",IFERROR(VLOOKUP($A85&amp;$L85,'On Hand Details'!$A$8:$L$219,COLUMN()+1,0),"Not Found"))</f>
        <v/>
      </c>
      <c r="H85" s="7" t="str">
        <f>IF(G85="","",IFERROR(VLOOKUP($A85&amp;$L85,'On Hand Details'!$A$8:$L$219,COLUMN()+1,0),"Not Found"))</f>
        <v/>
      </c>
      <c r="I85" s="7" t="str">
        <f>IF(H85="","",IFERROR(VLOOKUP($A85&amp;$L85,'On Hand Details'!$A$8:$L$219,COLUMN()+1,0),"Not Found"))</f>
        <v/>
      </c>
      <c r="J85" s="7" t="str">
        <f>IF(I85="","",IFERROR(VLOOKUP($A85&amp;$L85,'On Hand Details'!$A$8:$L$219,COLUMN()+1,0),"Not Found"))</f>
        <v/>
      </c>
      <c r="K85" s="7" t="str">
        <f>IF(J85="","",IFERROR(VLOOKUP($A85&amp;$L85,'On Hand Details'!$A$8:$L$219,COLUMN()+1,0),"Not Found"))</f>
        <v/>
      </c>
      <c r="L85" s="7"/>
    </row>
    <row r="86" spans="1:12">
      <c r="A86" s="7"/>
      <c r="B86" s="7" t="str">
        <f>IF(A86="","",IFERROR(VLOOKUP($A86&amp;$L86,'On Hand Details'!$A$8:$L$219,COLUMN()+1,0),"Not Found"))</f>
        <v/>
      </c>
      <c r="C86" s="7" t="str">
        <f>IF(B86="","",IFERROR(VLOOKUP($A86&amp;$L86,'On Hand Details'!$A$8:$L$219,COLUMN()+1,0),"Not Found"))</f>
        <v/>
      </c>
      <c r="D86" s="7" t="str">
        <f>IF(C86="","",IFERROR(VLOOKUP($A86&amp;$L86,'On Hand Details'!$A$8:$L$219,COLUMN()+1,0),"Not Found"))</f>
        <v/>
      </c>
      <c r="E86" s="7" t="str">
        <f>IF(D86="","",IFERROR(VLOOKUP($A86&amp;$L86,'On Hand Details'!$A$8:$L$219,COLUMN()+1,0),"Not Found"))</f>
        <v/>
      </c>
      <c r="F86" s="7" t="str">
        <f>IF(E86="","",IFERROR(VLOOKUP($A86&amp;$L86,'On Hand Details'!$A$8:$L$219,COLUMN()+1,0),"Not Found"))</f>
        <v/>
      </c>
      <c r="G86" s="7" t="str">
        <f>IF(F86="","",IFERROR(VLOOKUP($A86&amp;$L86,'On Hand Details'!$A$8:$L$219,COLUMN()+1,0),"Not Found"))</f>
        <v/>
      </c>
      <c r="H86" s="7" t="str">
        <f>IF(G86="","",IFERROR(VLOOKUP($A86&amp;$L86,'On Hand Details'!$A$8:$L$219,COLUMN()+1,0),"Not Found"))</f>
        <v/>
      </c>
      <c r="I86" s="7" t="str">
        <f>IF(H86="","",IFERROR(VLOOKUP($A86&amp;$L86,'On Hand Details'!$A$8:$L$219,COLUMN()+1,0),"Not Found"))</f>
        <v/>
      </c>
      <c r="J86" s="7" t="str">
        <f>IF(I86="","",IFERROR(VLOOKUP($A86&amp;$L86,'On Hand Details'!$A$8:$L$219,COLUMN()+1,0),"Not Found"))</f>
        <v/>
      </c>
      <c r="K86" s="7" t="str">
        <f>IF(J86="","",IFERROR(VLOOKUP($A86&amp;$L86,'On Hand Details'!$A$8:$L$219,COLUMN()+1,0),"Not Found"))</f>
        <v/>
      </c>
      <c r="L86" s="7"/>
    </row>
    <row r="87" spans="1:12">
      <c r="A87" s="7"/>
      <c r="B87" s="7" t="str">
        <f>IF(A87="","",IFERROR(VLOOKUP($A87&amp;$L87,'On Hand Details'!$A$8:$L$219,COLUMN()+1,0),"Not Found"))</f>
        <v/>
      </c>
      <c r="C87" s="7" t="str">
        <f>IF(B87="","",IFERROR(VLOOKUP($A87&amp;$L87,'On Hand Details'!$A$8:$L$219,COLUMN()+1,0),"Not Found"))</f>
        <v/>
      </c>
      <c r="D87" s="7" t="str">
        <f>IF(C87="","",IFERROR(VLOOKUP($A87&amp;$L87,'On Hand Details'!$A$8:$L$219,COLUMN()+1,0),"Not Found"))</f>
        <v/>
      </c>
      <c r="E87" s="7" t="str">
        <f>IF(D87="","",IFERROR(VLOOKUP($A87&amp;$L87,'On Hand Details'!$A$8:$L$219,COLUMN()+1,0),"Not Found"))</f>
        <v/>
      </c>
      <c r="F87" s="7" t="str">
        <f>IF(E87="","",IFERROR(VLOOKUP($A87&amp;$L87,'On Hand Details'!$A$8:$L$219,COLUMN()+1,0),"Not Found"))</f>
        <v/>
      </c>
      <c r="G87" s="7" t="str">
        <f>IF(F87="","",IFERROR(VLOOKUP($A87&amp;$L87,'On Hand Details'!$A$8:$L$219,COLUMN()+1,0),"Not Found"))</f>
        <v/>
      </c>
      <c r="H87" s="7" t="str">
        <f>IF(G87="","",IFERROR(VLOOKUP($A87&amp;$L87,'On Hand Details'!$A$8:$L$219,COLUMN()+1,0),"Not Found"))</f>
        <v/>
      </c>
      <c r="I87" s="7" t="str">
        <f>IF(H87="","",IFERROR(VLOOKUP($A87&amp;$L87,'On Hand Details'!$A$8:$L$219,COLUMN()+1,0),"Not Found"))</f>
        <v/>
      </c>
      <c r="J87" s="7" t="str">
        <f>IF(I87="","",IFERROR(VLOOKUP($A87&amp;$L87,'On Hand Details'!$A$8:$L$219,COLUMN()+1,0),"Not Found"))</f>
        <v/>
      </c>
      <c r="K87" s="7" t="str">
        <f>IF(J87="","",IFERROR(VLOOKUP($A87&amp;$L87,'On Hand Details'!$A$8:$L$219,COLUMN()+1,0),"Not Found"))</f>
        <v/>
      </c>
      <c r="L87" s="7"/>
    </row>
    <row r="88" spans="1:12">
      <c r="A88" s="7"/>
      <c r="B88" s="7" t="str">
        <f>IF(A88="","",IFERROR(VLOOKUP($A88&amp;$L88,'On Hand Details'!$A$8:$L$219,COLUMN()+1,0),"Not Found"))</f>
        <v/>
      </c>
      <c r="C88" s="7" t="str">
        <f>IF(B88="","",IFERROR(VLOOKUP($A88&amp;$L88,'On Hand Details'!$A$8:$L$219,COLUMN()+1,0),"Not Found"))</f>
        <v/>
      </c>
      <c r="D88" s="7" t="str">
        <f>IF(C88="","",IFERROR(VLOOKUP($A88&amp;$L88,'On Hand Details'!$A$8:$L$219,COLUMN()+1,0),"Not Found"))</f>
        <v/>
      </c>
      <c r="E88" s="7" t="str">
        <f>IF(D88="","",IFERROR(VLOOKUP($A88&amp;$L88,'On Hand Details'!$A$8:$L$219,COLUMN()+1,0),"Not Found"))</f>
        <v/>
      </c>
      <c r="F88" s="7" t="str">
        <f>IF(E88="","",IFERROR(VLOOKUP($A88&amp;$L88,'On Hand Details'!$A$8:$L$219,COLUMN()+1,0),"Not Found"))</f>
        <v/>
      </c>
      <c r="G88" s="7" t="str">
        <f>IF(F88="","",IFERROR(VLOOKUP($A88&amp;$L88,'On Hand Details'!$A$8:$L$219,COLUMN()+1,0),"Not Found"))</f>
        <v/>
      </c>
      <c r="H88" s="7" t="str">
        <f>IF(G88="","",IFERROR(VLOOKUP($A88&amp;$L88,'On Hand Details'!$A$8:$L$219,COLUMN()+1,0),"Not Found"))</f>
        <v/>
      </c>
      <c r="I88" s="7" t="str">
        <f>IF(H88="","",IFERROR(VLOOKUP($A88&amp;$L88,'On Hand Details'!$A$8:$L$219,COLUMN()+1,0),"Not Found"))</f>
        <v/>
      </c>
      <c r="J88" s="7" t="str">
        <f>IF(I88="","",IFERROR(VLOOKUP($A88&amp;$L88,'On Hand Details'!$A$8:$L$219,COLUMN()+1,0),"Not Found"))</f>
        <v/>
      </c>
      <c r="K88" s="7" t="str">
        <f>IF(J88="","",IFERROR(VLOOKUP($A88&amp;$L88,'On Hand Details'!$A$8:$L$219,COLUMN()+1,0),"Not Found"))</f>
        <v/>
      </c>
      <c r="L88" s="7"/>
    </row>
    <row r="89" spans="1:12">
      <c r="A89" s="7"/>
      <c r="B89" s="7" t="str">
        <f>IF(A89="","",IFERROR(VLOOKUP($A89&amp;$L89,'On Hand Details'!$A$8:$L$219,COLUMN()+1,0),"Not Found"))</f>
        <v/>
      </c>
      <c r="C89" s="7" t="str">
        <f>IF(B89="","",IFERROR(VLOOKUP($A89&amp;$L89,'On Hand Details'!$A$8:$L$219,COLUMN()+1,0),"Not Found"))</f>
        <v/>
      </c>
      <c r="D89" s="7" t="str">
        <f>IF(C89="","",IFERROR(VLOOKUP($A89&amp;$L89,'On Hand Details'!$A$8:$L$219,COLUMN()+1,0),"Not Found"))</f>
        <v/>
      </c>
      <c r="E89" s="7" t="str">
        <f>IF(D89="","",IFERROR(VLOOKUP($A89&amp;$L89,'On Hand Details'!$A$8:$L$219,COLUMN()+1,0),"Not Found"))</f>
        <v/>
      </c>
      <c r="F89" s="7" t="str">
        <f>IF(E89="","",IFERROR(VLOOKUP($A89&amp;$L89,'On Hand Details'!$A$8:$L$219,COLUMN()+1,0),"Not Found"))</f>
        <v/>
      </c>
      <c r="G89" s="7" t="str">
        <f>IF(F89="","",IFERROR(VLOOKUP($A89&amp;$L89,'On Hand Details'!$A$8:$L$219,COLUMN()+1,0),"Not Found"))</f>
        <v/>
      </c>
      <c r="H89" s="7" t="str">
        <f>IF(G89="","",IFERROR(VLOOKUP($A89&amp;$L89,'On Hand Details'!$A$8:$L$219,COLUMN()+1,0),"Not Found"))</f>
        <v/>
      </c>
      <c r="I89" s="7" t="str">
        <f>IF(H89="","",IFERROR(VLOOKUP($A89&amp;$L89,'On Hand Details'!$A$8:$L$219,COLUMN()+1,0),"Not Found"))</f>
        <v/>
      </c>
      <c r="J89" s="7" t="str">
        <f>IF(I89="","",IFERROR(VLOOKUP($A89&amp;$L89,'On Hand Details'!$A$8:$L$219,COLUMN()+1,0),"Not Found"))</f>
        <v/>
      </c>
      <c r="K89" s="7" t="str">
        <f>IF(J89="","",IFERROR(VLOOKUP($A89&amp;$L89,'On Hand Details'!$A$8:$L$219,COLUMN()+1,0),"Not Found"))</f>
        <v/>
      </c>
      <c r="L89" s="7"/>
    </row>
    <row r="90" spans="1:12">
      <c r="A90" s="7"/>
      <c r="B90" s="7" t="str">
        <f>IF(A90="","",IFERROR(VLOOKUP($A90&amp;$L90,'On Hand Details'!$A$8:$L$219,COLUMN()+1,0),"Not Found"))</f>
        <v/>
      </c>
      <c r="C90" s="7" t="str">
        <f>IF(B90="","",IFERROR(VLOOKUP($A90&amp;$L90,'On Hand Details'!$A$8:$L$219,COLUMN()+1,0),"Not Found"))</f>
        <v/>
      </c>
      <c r="D90" s="7" t="str">
        <f>IF(C90="","",IFERROR(VLOOKUP($A90&amp;$L90,'On Hand Details'!$A$8:$L$219,COLUMN()+1,0),"Not Found"))</f>
        <v/>
      </c>
      <c r="E90" s="7" t="str">
        <f>IF(D90="","",IFERROR(VLOOKUP($A90&amp;$L90,'On Hand Details'!$A$8:$L$219,COLUMN()+1,0),"Not Found"))</f>
        <v/>
      </c>
      <c r="F90" s="7" t="str">
        <f>IF(E90="","",IFERROR(VLOOKUP($A90&amp;$L90,'On Hand Details'!$A$8:$L$219,COLUMN()+1,0),"Not Found"))</f>
        <v/>
      </c>
      <c r="G90" s="7" t="str">
        <f>IF(F90="","",IFERROR(VLOOKUP($A90&amp;$L90,'On Hand Details'!$A$8:$L$219,COLUMN()+1,0),"Not Found"))</f>
        <v/>
      </c>
      <c r="H90" s="7" t="str">
        <f>IF(G90="","",IFERROR(VLOOKUP($A90&amp;$L90,'On Hand Details'!$A$8:$L$219,COLUMN()+1,0),"Not Found"))</f>
        <v/>
      </c>
      <c r="I90" s="7" t="str">
        <f>IF(H90="","",IFERROR(VLOOKUP($A90&amp;$L90,'On Hand Details'!$A$8:$L$219,COLUMN()+1,0),"Not Found"))</f>
        <v/>
      </c>
      <c r="J90" s="7" t="str">
        <f>IF(I90="","",IFERROR(VLOOKUP($A90&amp;$L90,'On Hand Details'!$A$8:$L$219,COLUMN()+1,0),"Not Found"))</f>
        <v/>
      </c>
      <c r="K90" s="7" t="str">
        <f>IF(J90="","",IFERROR(VLOOKUP($A90&amp;$L90,'On Hand Details'!$A$8:$L$219,COLUMN()+1,0),"Not Found"))</f>
        <v/>
      </c>
      <c r="L90" s="7"/>
    </row>
    <row r="91" spans="1:12">
      <c r="A91" s="7"/>
      <c r="B91" s="7" t="str">
        <f>IF(A91="","",IFERROR(VLOOKUP($A91&amp;$L91,'On Hand Details'!$A$8:$L$219,COLUMN()+1,0),"Not Found"))</f>
        <v/>
      </c>
      <c r="C91" s="7" t="str">
        <f>IF(B91="","",IFERROR(VLOOKUP($A91&amp;$L91,'On Hand Details'!$A$8:$L$219,COLUMN()+1,0),"Not Found"))</f>
        <v/>
      </c>
      <c r="D91" s="7" t="str">
        <f>IF(C91="","",IFERROR(VLOOKUP($A91&amp;$L91,'On Hand Details'!$A$8:$L$219,COLUMN()+1,0),"Not Found"))</f>
        <v/>
      </c>
      <c r="E91" s="7" t="str">
        <f>IF(D91="","",IFERROR(VLOOKUP($A91&amp;$L91,'On Hand Details'!$A$8:$L$219,COLUMN()+1,0),"Not Found"))</f>
        <v/>
      </c>
      <c r="F91" s="7" t="str">
        <f>IF(E91="","",IFERROR(VLOOKUP($A91&amp;$L91,'On Hand Details'!$A$8:$L$219,COLUMN()+1,0),"Not Found"))</f>
        <v/>
      </c>
      <c r="G91" s="7" t="str">
        <f>IF(F91="","",IFERROR(VLOOKUP($A91&amp;$L91,'On Hand Details'!$A$8:$L$219,COLUMN()+1,0),"Not Found"))</f>
        <v/>
      </c>
      <c r="H91" s="7" t="str">
        <f>IF(G91="","",IFERROR(VLOOKUP($A91&amp;$L91,'On Hand Details'!$A$8:$L$219,COLUMN()+1,0),"Not Found"))</f>
        <v/>
      </c>
      <c r="I91" s="7" t="str">
        <f>IF(H91="","",IFERROR(VLOOKUP($A91&amp;$L91,'On Hand Details'!$A$8:$L$219,COLUMN()+1,0),"Not Found"))</f>
        <v/>
      </c>
      <c r="J91" s="7" t="str">
        <f>IF(I91="","",IFERROR(VLOOKUP($A91&amp;$L91,'On Hand Details'!$A$8:$L$219,COLUMN()+1,0),"Not Found"))</f>
        <v/>
      </c>
      <c r="K91" s="7" t="str">
        <f>IF(J91="","",IFERROR(VLOOKUP($A91&amp;$L91,'On Hand Details'!$A$8:$L$219,COLUMN()+1,0),"Not Found"))</f>
        <v/>
      </c>
      <c r="L91" s="7"/>
    </row>
    <row r="92" spans="1:12">
      <c r="A92" s="7"/>
      <c r="B92" s="7" t="str">
        <f>IF(A92="","",IFERROR(VLOOKUP($A92&amp;$L92,'On Hand Details'!$A$8:$L$219,COLUMN()+1,0),"Not Found"))</f>
        <v/>
      </c>
      <c r="C92" s="7" t="str">
        <f>IF(B92="","",IFERROR(VLOOKUP($A92&amp;$L92,'On Hand Details'!$A$8:$L$219,COLUMN()+1,0),"Not Found"))</f>
        <v/>
      </c>
      <c r="D92" s="7" t="str">
        <f>IF(C92="","",IFERROR(VLOOKUP($A92&amp;$L92,'On Hand Details'!$A$8:$L$219,COLUMN()+1,0),"Not Found"))</f>
        <v/>
      </c>
      <c r="E92" s="7" t="str">
        <f>IF(D92="","",IFERROR(VLOOKUP($A92&amp;$L92,'On Hand Details'!$A$8:$L$219,COLUMN()+1,0),"Not Found"))</f>
        <v/>
      </c>
      <c r="F92" s="7" t="str">
        <f>IF(E92="","",IFERROR(VLOOKUP($A92&amp;$L92,'On Hand Details'!$A$8:$L$219,COLUMN()+1,0),"Not Found"))</f>
        <v/>
      </c>
      <c r="G92" s="7" t="str">
        <f>IF(F92="","",IFERROR(VLOOKUP($A92&amp;$L92,'On Hand Details'!$A$8:$L$219,COLUMN()+1,0),"Not Found"))</f>
        <v/>
      </c>
      <c r="H92" s="7" t="str">
        <f>IF(G92="","",IFERROR(VLOOKUP($A92&amp;$L92,'On Hand Details'!$A$8:$L$219,COLUMN()+1,0),"Not Found"))</f>
        <v/>
      </c>
      <c r="I92" s="7" t="str">
        <f>IF(H92="","",IFERROR(VLOOKUP($A92&amp;$L92,'On Hand Details'!$A$8:$L$219,COLUMN()+1,0),"Not Found"))</f>
        <v/>
      </c>
      <c r="J92" s="7" t="str">
        <f>IF(I92="","",IFERROR(VLOOKUP($A92&amp;$L92,'On Hand Details'!$A$8:$L$219,COLUMN()+1,0),"Not Found"))</f>
        <v/>
      </c>
      <c r="K92" s="7" t="str">
        <f>IF(J92="","",IFERROR(VLOOKUP($A92&amp;$L92,'On Hand Details'!$A$8:$L$219,COLUMN()+1,0),"Not Found"))</f>
        <v/>
      </c>
      <c r="L92" s="7"/>
    </row>
    <row r="93" spans="1:12">
      <c r="A93" s="7"/>
      <c r="B93" s="7" t="str">
        <f>IF(A93="","",IFERROR(VLOOKUP($A93&amp;$L93,'On Hand Details'!$A$8:$L$219,COLUMN()+1,0),"Not Found"))</f>
        <v/>
      </c>
      <c r="C93" s="7" t="str">
        <f>IF(B93="","",IFERROR(VLOOKUP($A93&amp;$L93,'On Hand Details'!$A$8:$L$219,COLUMN()+1,0),"Not Found"))</f>
        <v/>
      </c>
      <c r="D93" s="7" t="str">
        <f>IF(C93="","",IFERROR(VLOOKUP($A93&amp;$L93,'On Hand Details'!$A$8:$L$219,COLUMN()+1,0),"Not Found"))</f>
        <v/>
      </c>
      <c r="E93" s="7" t="str">
        <f>IF(D93="","",IFERROR(VLOOKUP($A93&amp;$L93,'On Hand Details'!$A$8:$L$219,COLUMN()+1,0),"Not Found"))</f>
        <v/>
      </c>
      <c r="F93" s="7" t="str">
        <f>IF(E93="","",IFERROR(VLOOKUP($A93&amp;$L93,'On Hand Details'!$A$8:$L$219,COLUMN()+1,0),"Not Found"))</f>
        <v/>
      </c>
      <c r="G93" s="7" t="str">
        <f>IF(F93="","",IFERROR(VLOOKUP($A93&amp;$L93,'On Hand Details'!$A$8:$L$219,COLUMN()+1,0),"Not Found"))</f>
        <v/>
      </c>
      <c r="H93" s="7" t="str">
        <f>IF(G93="","",IFERROR(VLOOKUP($A93&amp;$L93,'On Hand Details'!$A$8:$L$219,COLUMN()+1,0),"Not Found"))</f>
        <v/>
      </c>
      <c r="I93" s="7" t="str">
        <f>IF(H93="","",IFERROR(VLOOKUP($A93&amp;$L93,'On Hand Details'!$A$8:$L$219,COLUMN()+1,0),"Not Found"))</f>
        <v/>
      </c>
      <c r="J93" s="7" t="str">
        <f>IF(I93="","",IFERROR(VLOOKUP($A93&amp;$L93,'On Hand Details'!$A$8:$L$219,COLUMN()+1,0),"Not Found"))</f>
        <v/>
      </c>
      <c r="K93" s="7" t="str">
        <f>IF(J93="","",IFERROR(VLOOKUP($A93&amp;$L93,'On Hand Details'!$A$8:$L$219,COLUMN()+1,0),"Not Found"))</f>
        <v/>
      </c>
      <c r="L93" s="7"/>
    </row>
    <row r="94" spans="1:12">
      <c r="A94" s="7"/>
      <c r="B94" s="7" t="str">
        <f>IF(A94="","",IFERROR(VLOOKUP($A94&amp;$L94,'On Hand Details'!$A$8:$L$219,COLUMN()+1,0),"Not Found"))</f>
        <v/>
      </c>
      <c r="C94" s="7" t="str">
        <f>IF(B94="","",IFERROR(VLOOKUP($A94&amp;$L94,'On Hand Details'!$A$8:$L$219,COLUMN()+1,0),"Not Found"))</f>
        <v/>
      </c>
      <c r="D94" s="7" t="str">
        <f>IF(C94="","",IFERROR(VLOOKUP($A94&amp;$L94,'On Hand Details'!$A$8:$L$219,COLUMN()+1,0),"Not Found"))</f>
        <v/>
      </c>
      <c r="E94" s="7" t="str">
        <f>IF(D94="","",IFERROR(VLOOKUP($A94&amp;$L94,'On Hand Details'!$A$8:$L$219,COLUMN()+1,0),"Not Found"))</f>
        <v/>
      </c>
      <c r="F94" s="7" t="str">
        <f>IF(E94="","",IFERROR(VLOOKUP($A94&amp;$L94,'On Hand Details'!$A$8:$L$219,COLUMN()+1,0),"Not Found"))</f>
        <v/>
      </c>
      <c r="G94" s="7" t="str">
        <f>IF(F94="","",IFERROR(VLOOKUP($A94&amp;$L94,'On Hand Details'!$A$8:$L$219,COLUMN()+1,0),"Not Found"))</f>
        <v/>
      </c>
      <c r="H94" s="7" t="str">
        <f>IF(G94="","",IFERROR(VLOOKUP($A94&amp;$L94,'On Hand Details'!$A$8:$L$219,COLUMN()+1,0),"Not Found"))</f>
        <v/>
      </c>
      <c r="I94" s="7" t="str">
        <f>IF(H94="","",IFERROR(VLOOKUP($A94&amp;$L94,'On Hand Details'!$A$8:$L$219,COLUMN()+1,0),"Not Found"))</f>
        <v/>
      </c>
      <c r="J94" s="7" t="str">
        <f>IF(I94="","",IFERROR(VLOOKUP($A94&amp;$L94,'On Hand Details'!$A$8:$L$219,COLUMN()+1,0),"Not Found"))</f>
        <v/>
      </c>
      <c r="K94" s="7" t="str">
        <f>IF(J94="","",IFERROR(VLOOKUP($A94&amp;$L94,'On Hand Details'!$A$8:$L$219,COLUMN()+1,0),"Not Found"))</f>
        <v/>
      </c>
      <c r="L94" s="7"/>
    </row>
    <row r="95" spans="1:12">
      <c r="A95" s="7"/>
      <c r="B95" s="7" t="str">
        <f>IF(A95="","",IFERROR(VLOOKUP($A95&amp;$L95,'On Hand Details'!$A$8:$L$219,COLUMN()+1,0),"Not Found"))</f>
        <v/>
      </c>
      <c r="C95" s="7" t="str">
        <f>IF(B95="","",IFERROR(VLOOKUP($A95&amp;$L95,'On Hand Details'!$A$8:$L$219,COLUMN()+1,0),"Not Found"))</f>
        <v/>
      </c>
      <c r="D95" s="7" t="str">
        <f>IF(C95="","",IFERROR(VLOOKUP($A95&amp;$L95,'On Hand Details'!$A$8:$L$219,COLUMN()+1,0),"Not Found"))</f>
        <v/>
      </c>
      <c r="E95" s="7" t="str">
        <f>IF(D95="","",IFERROR(VLOOKUP($A95&amp;$L95,'On Hand Details'!$A$8:$L$219,COLUMN()+1,0),"Not Found"))</f>
        <v/>
      </c>
      <c r="F95" s="7" t="str">
        <f>IF(E95="","",IFERROR(VLOOKUP($A95&amp;$L95,'On Hand Details'!$A$8:$L$219,COLUMN()+1,0),"Not Found"))</f>
        <v/>
      </c>
      <c r="G95" s="7" t="str">
        <f>IF(F95="","",IFERROR(VLOOKUP($A95&amp;$L95,'On Hand Details'!$A$8:$L$219,COLUMN()+1,0),"Not Found"))</f>
        <v/>
      </c>
      <c r="H95" s="7" t="str">
        <f>IF(G95="","",IFERROR(VLOOKUP($A95&amp;$L95,'On Hand Details'!$A$8:$L$219,COLUMN()+1,0),"Not Found"))</f>
        <v/>
      </c>
      <c r="I95" s="7" t="str">
        <f>IF(H95="","",IFERROR(VLOOKUP($A95&amp;$L95,'On Hand Details'!$A$8:$L$219,COLUMN()+1,0),"Not Found"))</f>
        <v/>
      </c>
      <c r="J95" s="7" t="str">
        <f>IF(I95="","",IFERROR(VLOOKUP($A95&amp;$L95,'On Hand Details'!$A$8:$L$219,COLUMN()+1,0),"Not Found"))</f>
        <v/>
      </c>
      <c r="K95" s="7" t="str">
        <f>IF(J95="","",IFERROR(VLOOKUP($A95&amp;$L95,'On Hand Details'!$A$8:$L$219,COLUMN()+1,0),"Not Found"))</f>
        <v/>
      </c>
      <c r="L95" s="7"/>
    </row>
    <row r="96" spans="1:12">
      <c r="A96" s="7"/>
      <c r="B96" s="7" t="str">
        <f>IF(A96="","",IFERROR(VLOOKUP($A96&amp;$L96,'On Hand Details'!$A$8:$L$219,COLUMN()+1,0),"Not Found"))</f>
        <v/>
      </c>
      <c r="C96" s="7" t="str">
        <f>IF(B96="","",IFERROR(VLOOKUP($A96&amp;$L96,'On Hand Details'!$A$8:$L$219,COLUMN()+1,0),"Not Found"))</f>
        <v/>
      </c>
      <c r="D96" s="7" t="str">
        <f>IF(C96="","",IFERROR(VLOOKUP($A96&amp;$L96,'On Hand Details'!$A$8:$L$219,COLUMN()+1,0),"Not Found"))</f>
        <v/>
      </c>
      <c r="E96" s="7" t="str">
        <f>IF(D96="","",IFERROR(VLOOKUP($A96&amp;$L96,'On Hand Details'!$A$8:$L$219,COLUMN()+1,0),"Not Found"))</f>
        <v/>
      </c>
      <c r="F96" s="7" t="str">
        <f>IF(E96="","",IFERROR(VLOOKUP($A96&amp;$L96,'On Hand Details'!$A$8:$L$219,COLUMN()+1,0),"Not Found"))</f>
        <v/>
      </c>
      <c r="G96" s="7" t="str">
        <f>IF(F96="","",IFERROR(VLOOKUP($A96&amp;$L96,'On Hand Details'!$A$8:$L$219,COLUMN()+1,0),"Not Found"))</f>
        <v/>
      </c>
      <c r="H96" s="7" t="str">
        <f>IF(G96="","",IFERROR(VLOOKUP($A96&amp;$L96,'On Hand Details'!$A$8:$L$219,COLUMN()+1,0),"Not Found"))</f>
        <v/>
      </c>
      <c r="I96" s="7" t="str">
        <f>IF(H96="","",IFERROR(VLOOKUP($A96&amp;$L96,'On Hand Details'!$A$8:$L$219,COLUMN()+1,0),"Not Found"))</f>
        <v/>
      </c>
      <c r="J96" s="7" t="str">
        <f>IF(I96="","",IFERROR(VLOOKUP($A96&amp;$L96,'On Hand Details'!$A$8:$L$219,COLUMN()+1,0),"Not Found"))</f>
        <v/>
      </c>
      <c r="K96" s="7" t="str">
        <f>IF(J96="","",IFERROR(VLOOKUP($A96&amp;$L96,'On Hand Details'!$A$8:$L$219,COLUMN()+1,0),"Not Found"))</f>
        <v/>
      </c>
      <c r="L96" s="7"/>
    </row>
    <row r="97" spans="1:12">
      <c r="A97" s="7"/>
      <c r="B97" s="7" t="str">
        <f>IF(A97="","",IFERROR(VLOOKUP($A97&amp;$L97,'On Hand Details'!$A$8:$L$219,COLUMN()+1,0),"Not Found"))</f>
        <v/>
      </c>
      <c r="C97" s="7" t="str">
        <f>IF(B97="","",IFERROR(VLOOKUP($A97&amp;$L97,'On Hand Details'!$A$8:$L$219,COLUMN()+1,0),"Not Found"))</f>
        <v/>
      </c>
      <c r="D97" s="7" t="str">
        <f>IF(C97="","",IFERROR(VLOOKUP($A97&amp;$L97,'On Hand Details'!$A$8:$L$219,COLUMN()+1,0),"Not Found"))</f>
        <v/>
      </c>
      <c r="E97" s="7" t="str">
        <f>IF(D97="","",IFERROR(VLOOKUP($A97&amp;$L97,'On Hand Details'!$A$8:$L$219,COLUMN()+1,0),"Not Found"))</f>
        <v/>
      </c>
      <c r="F97" s="7" t="str">
        <f>IF(E97="","",IFERROR(VLOOKUP($A97&amp;$L97,'On Hand Details'!$A$8:$L$219,COLUMN()+1,0),"Not Found"))</f>
        <v/>
      </c>
      <c r="G97" s="7" t="str">
        <f>IF(F97="","",IFERROR(VLOOKUP($A97&amp;$L97,'On Hand Details'!$A$8:$L$219,COLUMN()+1,0),"Not Found"))</f>
        <v/>
      </c>
      <c r="H97" s="7" t="str">
        <f>IF(G97="","",IFERROR(VLOOKUP($A97&amp;$L97,'On Hand Details'!$A$8:$L$219,COLUMN()+1,0),"Not Found"))</f>
        <v/>
      </c>
      <c r="I97" s="7" t="str">
        <f>IF(H97="","",IFERROR(VLOOKUP($A97&amp;$L97,'On Hand Details'!$A$8:$L$219,COLUMN()+1,0),"Not Found"))</f>
        <v/>
      </c>
      <c r="J97" s="7" t="str">
        <f>IF(I97="","",IFERROR(VLOOKUP($A97&amp;$L97,'On Hand Details'!$A$8:$L$219,COLUMN()+1,0),"Not Found"))</f>
        <v/>
      </c>
      <c r="K97" s="7" t="str">
        <f>IF(J97="","",IFERROR(VLOOKUP($A97&amp;$L97,'On Hand Details'!$A$8:$L$219,COLUMN()+1,0),"Not Found"))</f>
        <v/>
      </c>
      <c r="L97" s="7"/>
    </row>
    <row r="98" spans="1:12">
      <c r="A98" s="7"/>
      <c r="B98" s="7" t="str">
        <f>IF(A98="","",IFERROR(VLOOKUP($A98&amp;$L98,'On Hand Details'!$A$8:$L$219,COLUMN()+1,0),"Not Found"))</f>
        <v/>
      </c>
      <c r="C98" s="7" t="str">
        <f>IF(B98="","",IFERROR(VLOOKUP($A98&amp;$L98,'On Hand Details'!$A$8:$L$219,COLUMN()+1,0),"Not Found"))</f>
        <v/>
      </c>
      <c r="D98" s="7" t="str">
        <f>IF(C98="","",IFERROR(VLOOKUP($A98&amp;$L98,'On Hand Details'!$A$8:$L$219,COLUMN()+1,0),"Not Found"))</f>
        <v/>
      </c>
      <c r="E98" s="7" t="str">
        <f>IF(D98="","",IFERROR(VLOOKUP($A98&amp;$L98,'On Hand Details'!$A$8:$L$219,COLUMN()+1,0),"Not Found"))</f>
        <v/>
      </c>
      <c r="F98" s="7" t="str">
        <f>IF(E98="","",IFERROR(VLOOKUP($A98&amp;$L98,'On Hand Details'!$A$8:$L$219,COLUMN()+1,0),"Not Found"))</f>
        <v/>
      </c>
      <c r="G98" s="7" t="str">
        <f>IF(F98="","",IFERROR(VLOOKUP($A98&amp;$L98,'On Hand Details'!$A$8:$L$219,COLUMN()+1,0),"Not Found"))</f>
        <v/>
      </c>
      <c r="H98" s="7" t="str">
        <f>IF(G98="","",IFERROR(VLOOKUP($A98&amp;$L98,'On Hand Details'!$A$8:$L$219,COLUMN()+1,0),"Not Found"))</f>
        <v/>
      </c>
      <c r="I98" s="7" t="str">
        <f>IF(H98="","",IFERROR(VLOOKUP($A98&amp;$L98,'On Hand Details'!$A$8:$L$219,COLUMN()+1,0),"Not Found"))</f>
        <v/>
      </c>
      <c r="J98" s="7" t="str">
        <f>IF(I98="","",IFERROR(VLOOKUP($A98&amp;$L98,'On Hand Details'!$A$8:$L$219,COLUMN()+1,0),"Not Found"))</f>
        <v/>
      </c>
      <c r="K98" s="7" t="str">
        <f>IF(J98="","",IFERROR(VLOOKUP($A98&amp;$L98,'On Hand Details'!$A$8:$L$219,COLUMN()+1,0),"Not Found"))</f>
        <v/>
      </c>
      <c r="L98" s="7"/>
    </row>
    <row r="99" spans="1:12">
      <c r="A99" s="7"/>
      <c r="B99" s="7" t="str">
        <f>IF(A99="","",IFERROR(VLOOKUP($A99&amp;$L99,'On Hand Details'!$A$8:$L$219,COLUMN()+1,0),"Not Found"))</f>
        <v/>
      </c>
      <c r="C99" s="7" t="str">
        <f>IF(B99="","",IFERROR(VLOOKUP($A99&amp;$L99,'On Hand Details'!$A$8:$L$219,COLUMN()+1,0),"Not Found"))</f>
        <v/>
      </c>
      <c r="D99" s="7" t="str">
        <f>IF(C99="","",IFERROR(VLOOKUP($A99&amp;$L99,'On Hand Details'!$A$8:$L$219,COLUMN()+1,0),"Not Found"))</f>
        <v/>
      </c>
      <c r="E99" s="7" t="str">
        <f>IF(D99="","",IFERROR(VLOOKUP($A99&amp;$L99,'On Hand Details'!$A$8:$L$219,COLUMN()+1,0),"Not Found"))</f>
        <v/>
      </c>
      <c r="F99" s="7" t="str">
        <f>IF(E99="","",IFERROR(VLOOKUP($A99&amp;$L99,'On Hand Details'!$A$8:$L$219,COLUMN()+1,0),"Not Found"))</f>
        <v/>
      </c>
      <c r="G99" s="7" t="str">
        <f>IF(F99="","",IFERROR(VLOOKUP($A99&amp;$L99,'On Hand Details'!$A$8:$L$219,COLUMN()+1,0),"Not Found"))</f>
        <v/>
      </c>
      <c r="H99" s="7" t="str">
        <f>IF(G99="","",IFERROR(VLOOKUP($A99&amp;$L99,'On Hand Details'!$A$8:$L$219,COLUMN()+1,0),"Not Found"))</f>
        <v/>
      </c>
      <c r="I99" s="7" t="str">
        <f>IF(H99="","",IFERROR(VLOOKUP($A99&amp;$L99,'On Hand Details'!$A$8:$L$219,COLUMN()+1,0),"Not Found"))</f>
        <v/>
      </c>
      <c r="J99" s="7" t="str">
        <f>IF(I99="","",IFERROR(VLOOKUP($A99&amp;$L99,'On Hand Details'!$A$8:$L$219,COLUMN()+1,0),"Not Found"))</f>
        <v/>
      </c>
      <c r="K99" s="7" t="str">
        <f>IF(J99="","",IFERROR(VLOOKUP($A99&amp;$L99,'On Hand Details'!$A$8:$L$219,COLUMN()+1,0),"Not Found"))</f>
        <v/>
      </c>
      <c r="L99" s="7"/>
    </row>
    <row r="100" spans="1:12">
      <c r="A100" s="7"/>
      <c r="B100" s="7" t="str">
        <f>IF(A100="","",IFERROR(VLOOKUP($A100&amp;$L100,'On Hand Details'!$A$8:$L$219,COLUMN()+1,0),"Not Found"))</f>
        <v/>
      </c>
      <c r="C100" s="7" t="str">
        <f>IF(B100="","",IFERROR(VLOOKUP($A100&amp;$L100,'On Hand Details'!$A$8:$L$219,COLUMN()+1,0),"Not Found"))</f>
        <v/>
      </c>
      <c r="D100" s="7" t="str">
        <f>IF(C100="","",IFERROR(VLOOKUP($A100&amp;$L100,'On Hand Details'!$A$8:$L$219,COLUMN()+1,0),"Not Found"))</f>
        <v/>
      </c>
      <c r="E100" s="7" t="str">
        <f>IF(D100="","",IFERROR(VLOOKUP($A100&amp;$L100,'On Hand Details'!$A$8:$L$219,COLUMN()+1,0),"Not Found"))</f>
        <v/>
      </c>
      <c r="F100" s="7" t="str">
        <f>IF(E100="","",IFERROR(VLOOKUP($A100&amp;$L100,'On Hand Details'!$A$8:$L$219,COLUMN()+1,0),"Not Found"))</f>
        <v/>
      </c>
      <c r="G100" s="7" t="str">
        <f>IF(F100="","",IFERROR(VLOOKUP($A100&amp;$L100,'On Hand Details'!$A$8:$L$219,COLUMN()+1,0),"Not Found"))</f>
        <v/>
      </c>
      <c r="H100" s="7" t="str">
        <f>IF(G100="","",IFERROR(VLOOKUP($A100&amp;$L100,'On Hand Details'!$A$8:$L$219,COLUMN()+1,0),"Not Found"))</f>
        <v/>
      </c>
      <c r="I100" s="7" t="str">
        <f>IF(H100="","",IFERROR(VLOOKUP($A100&amp;$L100,'On Hand Details'!$A$8:$L$219,COLUMN()+1,0),"Not Found"))</f>
        <v/>
      </c>
      <c r="J100" s="7" t="str">
        <f>IF(I100="","",IFERROR(VLOOKUP($A100&amp;$L100,'On Hand Details'!$A$8:$L$219,COLUMN()+1,0),"Not Found"))</f>
        <v/>
      </c>
      <c r="K100" s="7" t="str">
        <f>IF(J100="","",IFERROR(VLOOKUP($A100&amp;$L100,'On Hand Details'!$A$8:$L$219,COLUMN()+1,0),"Not Found"))</f>
        <v/>
      </c>
      <c r="L100" s="7"/>
    </row>
    <row r="101" spans="1:12">
      <c r="A101" s="7"/>
      <c r="B101" s="7" t="str">
        <f>IF(A101="","",IFERROR(VLOOKUP($A101&amp;$L101,'On Hand Details'!$A$8:$L$219,COLUMN()+1,0),"Not Found"))</f>
        <v/>
      </c>
      <c r="C101" s="7" t="str">
        <f>IF(B101="","",IFERROR(VLOOKUP($A101&amp;$L101,'On Hand Details'!$A$8:$L$219,COLUMN()+1,0),"Not Found"))</f>
        <v/>
      </c>
      <c r="D101" s="7" t="str">
        <f>IF(C101="","",IFERROR(VLOOKUP($A101&amp;$L101,'On Hand Details'!$A$8:$L$219,COLUMN()+1,0),"Not Found"))</f>
        <v/>
      </c>
      <c r="E101" s="7" t="str">
        <f>IF(D101="","",IFERROR(VLOOKUP($A101&amp;$L101,'On Hand Details'!$A$8:$L$219,COLUMN()+1,0),"Not Found"))</f>
        <v/>
      </c>
      <c r="F101" s="7" t="str">
        <f>IF(E101="","",IFERROR(VLOOKUP($A101&amp;$L101,'On Hand Details'!$A$8:$L$219,COLUMN()+1,0),"Not Found"))</f>
        <v/>
      </c>
      <c r="G101" s="7" t="str">
        <f>IF(F101="","",IFERROR(VLOOKUP($A101&amp;$L101,'On Hand Details'!$A$8:$L$219,COLUMN()+1,0),"Not Found"))</f>
        <v/>
      </c>
      <c r="H101" s="7" t="str">
        <f>IF(G101="","",IFERROR(VLOOKUP($A101&amp;$L101,'On Hand Details'!$A$8:$L$219,COLUMN()+1,0),"Not Found"))</f>
        <v/>
      </c>
      <c r="I101" s="7" t="str">
        <f>IF(H101="","",IFERROR(VLOOKUP($A101&amp;$L101,'On Hand Details'!$A$8:$L$219,COLUMN()+1,0),"Not Found"))</f>
        <v/>
      </c>
      <c r="J101" s="7" t="str">
        <f>IF(I101="","",IFERROR(VLOOKUP($A101&amp;$L101,'On Hand Details'!$A$8:$L$219,COLUMN()+1,0),"Not Found"))</f>
        <v/>
      </c>
      <c r="K101" s="7" t="str">
        <f>IF(J101="","",IFERROR(VLOOKUP($A101&amp;$L101,'On Hand Details'!$A$8:$L$219,COLUMN()+1,0),"Not Found"))</f>
        <v/>
      </c>
      <c r="L101" s="7"/>
    </row>
    <row r="102" spans="1:12">
      <c r="A102" s="7"/>
      <c r="B102" s="7" t="str">
        <f>IF(A102="","",IFERROR(VLOOKUP($A102&amp;$L102,'On Hand Details'!$A$8:$L$219,COLUMN()+1,0),"Not Found"))</f>
        <v/>
      </c>
      <c r="C102" s="7" t="str">
        <f>IF(B102="","",IFERROR(VLOOKUP($A102&amp;$L102,'On Hand Details'!$A$8:$L$219,COLUMN()+1,0),"Not Found"))</f>
        <v/>
      </c>
      <c r="D102" s="7" t="str">
        <f>IF(C102="","",IFERROR(VLOOKUP($A102&amp;$L102,'On Hand Details'!$A$8:$L$219,COLUMN()+1,0),"Not Found"))</f>
        <v/>
      </c>
      <c r="E102" s="7" t="str">
        <f>IF(D102="","",IFERROR(VLOOKUP($A102&amp;$L102,'On Hand Details'!$A$8:$L$219,COLUMN()+1,0),"Not Found"))</f>
        <v/>
      </c>
      <c r="F102" s="7" t="str">
        <f>IF(E102="","",IFERROR(VLOOKUP($A102&amp;$L102,'On Hand Details'!$A$8:$L$219,COLUMN()+1,0),"Not Found"))</f>
        <v/>
      </c>
      <c r="G102" s="7" t="str">
        <f>IF(F102="","",IFERROR(VLOOKUP($A102&amp;$L102,'On Hand Details'!$A$8:$L$219,COLUMN()+1,0),"Not Found"))</f>
        <v/>
      </c>
      <c r="H102" s="7" t="str">
        <f>IF(G102="","",IFERROR(VLOOKUP($A102&amp;$L102,'On Hand Details'!$A$8:$L$219,COLUMN()+1,0),"Not Found"))</f>
        <v/>
      </c>
      <c r="I102" s="7" t="str">
        <f>IF(H102="","",IFERROR(VLOOKUP($A102&amp;$L102,'On Hand Details'!$A$8:$L$219,COLUMN()+1,0),"Not Found"))</f>
        <v/>
      </c>
      <c r="J102" s="7" t="str">
        <f>IF(I102="","",IFERROR(VLOOKUP($A102&amp;$L102,'On Hand Details'!$A$8:$L$219,COLUMN()+1,0),"Not Found"))</f>
        <v/>
      </c>
      <c r="K102" s="7" t="str">
        <f>IF(J102="","",IFERROR(VLOOKUP($A102&amp;$L102,'On Hand Details'!$A$8:$L$219,COLUMN()+1,0),"Not Found"))</f>
        <v/>
      </c>
      <c r="L102" s="7"/>
    </row>
  </sheetData>
  <mergeCells count="5">
    <mergeCell ref="A1:K1"/>
    <mergeCell ref="A2:K2"/>
    <mergeCell ref="A3:K3"/>
    <mergeCell ref="A4:K4"/>
    <mergeCell ref="A7:K7"/>
  </mergeCells>
  <conditionalFormatting sqref="M9:M19">
    <cfRule type="expression" dxfId="1" priority="6">
      <formula>M9-I9=0</formula>
    </cfRule>
  </conditionalFormatting>
  <conditionalFormatting sqref="A9:L102">
    <cfRule type="expression" dxfId="0" priority="1">
      <formula>$A9&gt;0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Imported Data</vt:lpstr>
      <vt:lpstr>Check Report</vt:lpstr>
      <vt:lpstr>Material Transaction</vt:lpstr>
      <vt:lpstr>Check Mat Trans</vt:lpstr>
      <vt:lpstr>Ledger Summery</vt:lpstr>
      <vt:lpstr>Check ILS</vt:lpstr>
      <vt:lpstr>On Hand Details</vt:lpstr>
      <vt:lpstr>Check OHD</vt:lpstr>
      <vt:lpstr>BurstingOracleDB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Ripon</dc:creator>
  <cp:lastModifiedBy>Ripon</cp:lastModifiedBy>
  <dcterms:created xsi:type="dcterms:W3CDTF">2023-09-02T11:30:00Z</dcterms:created>
  <dcterms:modified xsi:type="dcterms:W3CDTF">2024-03-26T03:17:02Z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4693A69FEDB649A8951AF0772ED7CE9F_12</vt:lpwstr>
  </property>
  <property fmtid="{D5CDD505-2E9C-101B-9397-08002B2CF9AE}" pid="3" name="KSOProductBuildVer">
    <vt:lpwstr>1033-12.2.0.13359</vt:lpwstr>
  </property>
</Properties>
</file>